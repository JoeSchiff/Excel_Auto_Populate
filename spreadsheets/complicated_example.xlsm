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schiffler\Desktop\"/>
    </mc:Choice>
  </mc:AlternateContent>
  <bookViews>
    <workbookView xWindow="0" yWindow="0" windowWidth="21600" windowHeight="8340" tabRatio="571"/>
  </bookViews>
  <sheets>
    <sheet name="sample_log" sheetId="1" r:id="rId1"/>
    <sheet name="mon_p" sheetId="9" r:id="rId2"/>
    <sheet name="params" sheetId="2" r:id="rId3"/>
    <sheet name="tri_params" sheetId="4" r:id="rId4"/>
    <sheet name="auto_pop" sheetId="6" r:id="rId5"/>
    <sheet name="data_val" sheetId="7" r:id="rId6"/>
  </sheets>
  <definedNames>
    <definedName name="Ammonia">#REF!</definedName>
    <definedName name="Arsenic">#REF!</definedName>
    <definedName name="BOD">#REF!</definedName>
    <definedName name="Cadmium">#REF!</definedName>
    <definedName name="chapin_mon">mon_p!$B$3:$B$4</definedName>
    <definedName name="Chlorine">#REF!</definedName>
    <definedName name="Chromium_\poIV\pc">#REF!</definedName>
    <definedName name="Chromium_\poT\pc">#REF!</definedName>
    <definedName name="cm">mon_p!$B$3:$B$4</definedName>
    <definedName name="Copper">#REF!</definedName>
    <definedName name="Cyanide_\poCATC\pc">#REF!</definedName>
    <definedName name="Cyanide_\poT\pc">#REF!</definedName>
    <definedName name="Fluoride">#REF!</definedName>
    <definedName name="iu_param_list">params!$B$2:$S$2</definedName>
    <definedName name="Lead">#REF!</definedName>
    <definedName name="Mercury">#REF!</definedName>
    <definedName name="Nickel">#REF!</definedName>
    <definedName name="oatka_mon">mon_p!$C$3:$C$4</definedName>
    <definedName name="Oil_\a_grease">#REF!</definedName>
    <definedName name="one">data_val!$D$3</definedName>
    <definedName name="one_two">data_val!$D$3:$D$4</definedName>
    <definedName name="pH">#REF!</definedName>
    <definedName name="Phenols">#REF!</definedName>
    <definedName name="Phosphorus">#REF!</definedName>
    <definedName name="Selenium">#REF!</definedName>
    <definedName name="seneca_mon">mon_p!$D$3:$D$4</definedName>
    <definedName name="Silver">#REF!</definedName>
    <definedName name="Sulfide">#REF!</definedName>
    <definedName name="Temperature_\po\dC\pc">#REF!</definedName>
    <definedName name="TKN">#REF!</definedName>
    <definedName name="TPH">#REF!</definedName>
    <definedName name="TSS">#REF!</definedName>
    <definedName name="TTO">#REF!</definedName>
    <definedName name="Zinc">#REF!</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F3" i="9" l="1"/>
  <c r="D1999" i="1" l="1"/>
  <c r="D1998" i="1"/>
  <c r="D1997" i="1"/>
  <c r="D1996" i="1"/>
  <c r="D1995" i="1"/>
  <c r="D1994" i="1"/>
  <c r="D1993" i="1"/>
  <c r="D1992" i="1"/>
  <c r="D1991" i="1"/>
  <c r="D1990" i="1"/>
  <c r="D1989" i="1"/>
  <c r="D1988" i="1"/>
  <c r="D1987" i="1"/>
  <c r="D1986" i="1"/>
  <c r="D1985" i="1"/>
  <c r="D1984" i="1"/>
  <c r="D1983" i="1"/>
  <c r="D1982" i="1"/>
  <c r="D1981" i="1"/>
  <c r="D1980" i="1"/>
  <c r="D1979" i="1"/>
  <c r="D1978" i="1"/>
  <c r="D1977" i="1"/>
  <c r="D1976" i="1"/>
  <c r="D1975" i="1"/>
  <c r="D1974" i="1"/>
  <c r="D1973" i="1"/>
  <c r="D1972" i="1"/>
  <c r="D1971" i="1"/>
  <c r="D1970" i="1"/>
  <c r="D1969" i="1"/>
  <c r="D1968" i="1"/>
  <c r="D1967" i="1"/>
  <c r="D1966" i="1"/>
  <c r="D1965" i="1"/>
  <c r="D1964" i="1"/>
  <c r="D1963" i="1"/>
  <c r="D1962" i="1"/>
  <c r="D1961" i="1"/>
  <c r="D1960" i="1"/>
  <c r="D1959" i="1"/>
  <c r="D1958" i="1"/>
  <c r="D1957" i="1"/>
  <c r="D1956" i="1"/>
  <c r="D1955" i="1"/>
  <c r="D1954" i="1"/>
  <c r="D1953" i="1"/>
  <c r="D1952" i="1"/>
  <c r="D1951" i="1"/>
  <c r="D1950" i="1"/>
  <c r="D1949" i="1"/>
  <c r="D1948" i="1"/>
  <c r="D1947" i="1"/>
  <c r="D1946" i="1"/>
  <c r="D1945" i="1"/>
  <c r="D1944" i="1"/>
  <c r="D1943" i="1"/>
  <c r="D1942" i="1"/>
  <c r="D1941" i="1"/>
  <c r="D1940" i="1"/>
  <c r="D1939" i="1"/>
  <c r="D1938" i="1"/>
  <c r="D1937" i="1"/>
  <c r="D1936" i="1"/>
  <c r="D1935" i="1"/>
  <c r="D1934" i="1"/>
  <c r="D1933" i="1"/>
  <c r="D1932" i="1"/>
  <c r="D1931" i="1"/>
  <c r="D1930" i="1"/>
  <c r="D1929" i="1"/>
  <c r="D1928" i="1"/>
  <c r="D1927" i="1"/>
  <c r="D1926" i="1"/>
  <c r="D1925" i="1"/>
  <c r="D1924" i="1"/>
  <c r="D1923" i="1"/>
  <c r="D1922" i="1"/>
  <c r="D1921" i="1"/>
  <c r="D1920" i="1"/>
  <c r="D1919" i="1"/>
  <c r="D1918" i="1"/>
  <c r="D1917" i="1"/>
  <c r="D1916" i="1"/>
  <c r="D1915" i="1"/>
  <c r="D1914" i="1"/>
  <c r="D1913" i="1"/>
  <c r="D1912" i="1"/>
  <c r="D1911" i="1"/>
  <c r="D1910" i="1"/>
  <c r="D1909" i="1"/>
  <c r="D1908" i="1"/>
  <c r="D1907" i="1"/>
  <c r="D1906" i="1"/>
  <c r="D1905" i="1"/>
  <c r="D1904" i="1"/>
  <c r="D1903" i="1"/>
  <c r="D1902" i="1"/>
  <c r="D1901" i="1"/>
  <c r="D1900" i="1"/>
  <c r="D1899" i="1"/>
  <c r="D1898" i="1"/>
  <c r="D1897" i="1"/>
  <c r="D1896" i="1"/>
  <c r="D1895" i="1"/>
  <c r="D1894" i="1"/>
  <c r="D1893" i="1"/>
  <c r="D1892" i="1"/>
  <c r="D1891" i="1"/>
  <c r="D1890" i="1"/>
  <c r="D1889" i="1"/>
  <c r="D1888" i="1"/>
  <c r="D1887" i="1"/>
  <c r="D1886" i="1"/>
  <c r="D1885" i="1"/>
  <c r="D1884" i="1"/>
  <c r="D1883" i="1"/>
  <c r="D1882" i="1"/>
  <c r="D1881" i="1"/>
  <c r="D1880" i="1"/>
  <c r="D1879" i="1"/>
  <c r="D1878" i="1"/>
  <c r="D1877" i="1"/>
  <c r="D1876" i="1"/>
  <c r="D1875" i="1"/>
  <c r="D1874" i="1"/>
  <c r="D1873" i="1"/>
  <c r="D1872" i="1"/>
  <c r="D1871" i="1"/>
  <c r="D1870" i="1"/>
  <c r="D1869" i="1"/>
  <c r="D1868" i="1"/>
  <c r="D1867" i="1"/>
  <c r="D1866" i="1"/>
  <c r="D1865" i="1"/>
  <c r="D1864" i="1"/>
  <c r="D1863" i="1"/>
  <c r="D1862" i="1"/>
  <c r="D1861" i="1"/>
  <c r="D1860" i="1"/>
  <c r="D1859" i="1"/>
  <c r="D1858" i="1"/>
  <c r="D1857" i="1"/>
  <c r="D1856" i="1"/>
  <c r="D1855" i="1"/>
  <c r="D1854" i="1"/>
  <c r="D1853" i="1"/>
  <c r="D1852" i="1"/>
  <c r="D1851" i="1"/>
  <c r="D1850" i="1"/>
  <c r="D1849" i="1"/>
  <c r="D1848" i="1"/>
  <c r="D1847" i="1"/>
  <c r="D1846" i="1"/>
  <c r="D1845" i="1"/>
  <c r="D1844" i="1"/>
  <c r="D1843" i="1"/>
  <c r="D1842" i="1"/>
  <c r="D1841" i="1"/>
  <c r="D1840" i="1"/>
  <c r="D1839" i="1"/>
  <c r="D1838" i="1"/>
  <c r="D1837" i="1"/>
  <c r="D1836" i="1"/>
  <c r="D1835" i="1"/>
  <c r="D1834" i="1"/>
  <c r="D1833" i="1"/>
  <c r="D1832" i="1"/>
  <c r="D1831" i="1"/>
  <c r="D1830" i="1"/>
  <c r="D1829" i="1"/>
  <c r="D1828" i="1"/>
  <c r="D1827" i="1"/>
  <c r="D1826" i="1"/>
  <c r="D1825" i="1"/>
  <c r="D1824" i="1"/>
  <c r="D1823" i="1"/>
  <c r="D1822" i="1"/>
  <c r="D1821" i="1"/>
  <c r="D1820" i="1"/>
  <c r="D1819" i="1"/>
  <c r="D1818" i="1"/>
  <c r="D1817" i="1"/>
  <c r="D1816" i="1"/>
  <c r="D1815" i="1"/>
  <c r="D1814" i="1"/>
  <c r="D1813" i="1"/>
  <c r="D1812" i="1"/>
  <c r="D1811" i="1"/>
  <c r="D1810" i="1"/>
  <c r="D1809" i="1"/>
  <c r="D1808" i="1"/>
  <c r="D1807" i="1"/>
  <c r="D1806" i="1"/>
  <c r="D1805" i="1"/>
  <c r="D1804" i="1"/>
  <c r="D1803" i="1"/>
  <c r="D1802" i="1"/>
  <c r="D1801" i="1"/>
  <c r="D1800" i="1"/>
  <c r="D1799" i="1"/>
  <c r="D1798" i="1"/>
  <c r="D1797" i="1"/>
  <c r="D1796" i="1"/>
  <c r="D1795" i="1"/>
  <c r="D1794" i="1"/>
  <c r="D1793" i="1"/>
  <c r="D1792" i="1"/>
  <c r="D1791" i="1"/>
  <c r="D1790" i="1"/>
  <c r="D1789" i="1"/>
  <c r="D1788" i="1"/>
  <c r="D1787" i="1"/>
  <c r="D1786" i="1"/>
  <c r="D1785" i="1"/>
  <c r="D1784" i="1"/>
  <c r="D1783" i="1"/>
  <c r="D1782" i="1"/>
  <c r="D1781" i="1"/>
  <c r="D1780" i="1"/>
  <c r="D1779" i="1"/>
  <c r="D1778" i="1"/>
  <c r="D1777" i="1"/>
  <c r="D1776" i="1"/>
  <c r="D1775" i="1"/>
  <c r="D1774" i="1"/>
  <c r="D1773" i="1"/>
  <c r="D1772" i="1"/>
  <c r="D1771" i="1"/>
  <c r="D1770" i="1"/>
  <c r="D1769" i="1"/>
  <c r="D1768" i="1"/>
  <c r="D1767" i="1"/>
  <c r="D1766" i="1"/>
  <c r="D1765" i="1"/>
  <c r="D1764" i="1"/>
  <c r="D1763" i="1"/>
  <c r="D1762" i="1"/>
  <c r="D1761" i="1"/>
  <c r="D1760" i="1"/>
  <c r="D1759" i="1"/>
  <c r="D1758" i="1"/>
  <c r="D1757" i="1"/>
  <c r="D1756" i="1"/>
  <c r="D1755" i="1"/>
  <c r="D1754" i="1"/>
  <c r="D1753" i="1"/>
  <c r="D1752" i="1"/>
  <c r="D1751" i="1"/>
  <c r="D1750" i="1"/>
  <c r="D1749" i="1"/>
  <c r="D1748" i="1"/>
  <c r="D1747" i="1"/>
  <c r="D1746" i="1"/>
  <c r="D1745" i="1"/>
  <c r="D1744" i="1"/>
  <c r="D1743" i="1"/>
  <c r="D1742" i="1"/>
  <c r="D1741" i="1"/>
  <c r="D1740" i="1"/>
  <c r="D1739" i="1"/>
  <c r="D1738" i="1"/>
  <c r="D1737" i="1"/>
  <c r="D1736" i="1"/>
  <c r="D1735" i="1"/>
  <c r="D1734" i="1"/>
  <c r="D1733" i="1"/>
  <c r="D1732" i="1"/>
  <c r="D1731" i="1"/>
  <c r="D1730" i="1"/>
  <c r="D1729" i="1"/>
  <c r="D1728" i="1"/>
  <c r="D1727" i="1"/>
  <c r="D1726" i="1"/>
  <c r="D1725" i="1"/>
  <c r="D1724" i="1"/>
  <c r="D1723" i="1"/>
  <c r="D1722" i="1"/>
  <c r="D1721" i="1"/>
  <c r="D1720" i="1"/>
  <c r="D1719" i="1"/>
  <c r="D1718" i="1"/>
  <c r="D1717" i="1"/>
  <c r="D1716" i="1"/>
  <c r="D1715" i="1"/>
  <c r="D1714" i="1"/>
  <c r="D1713" i="1"/>
  <c r="D1712" i="1"/>
  <c r="D1711" i="1"/>
  <c r="D1710" i="1"/>
  <c r="D1709" i="1"/>
  <c r="D1708" i="1"/>
  <c r="D1707" i="1"/>
  <c r="D1706" i="1"/>
  <c r="D1705" i="1"/>
  <c r="D1704" i="1"/>
  <c r="D1703" i="1"/>
  <c r="D1702" i="1"/>
  <c r="D1701" i="1"/>
  <c r="D1700" i="1"/>
  <c r="D1699" i="1"/>
  <c r="D1698" i="1"/>
  <c r="D1697" i="1"/>
  <c r="D1696" i="1"/>
  <c r="D1695" i="1"/>
  <c r="D1694" i="1"/>
  <c r="D1693" i="1"/>
  <c r="D1692" i="1"/>
  <c r="D1691" i="1"/>
  <c r="D1690" i="1"/>
  <c r="D1689" i="1"/>
  <c r="D1688" i="1"/>
  <c r="D1687" i="1"/>
  <c r="D1686" i="1"/>
  <c r="D1685" i="1"/>
  <c r="D1684" i="1"/>
  <c r="D1683" i="1"/>
  <c r="D1682" i="1"/>
  <c r="D1681" i="1"/>
  <c r="D1680" i="1"/>
  <c r="D1679" i="1"/>
  <c r="D1678" i="1"/>
  <c r="D1677" i="1"/>
  <c r="D1676" i="1"/>
  <c r="D1675" i="1"/>
  <c r="D1674" i="1"/>
  <c r="D1673" i="1"/>
  <c r="D1672" i="1"/>
  <c r="D1671" i="1"/>
  <c r="D1670" i="1"/>
  <c r="D1669" i="1"/>
  <c r="D1668" i="1"/>
  <c r="D1667" i="1"/>
  <c r="D1666" i="1"/>
  <c r="D1665" i="1"/>
  <c r="D1664" i="1"/>
  <c r="D1663" i="1"/>
  <c r="D1662" i="1"/>
  <c r="D1661" i="1"/>
  <c r="D1660" i="1"/>
  <c r="D1659" i="1"/>
  <c r="D1658" i="1"/>
  <c r="D1657" i="1"/>
  <c r="D1656" i="1"/>
  <c r="D1655" i="1"/>
  <c r="D1654" i="1"/>
  <c r="D1653" i="1"/>
  <c r="D1652" i="1"/>
  <c r="D1651" i="1"/>
  <c r="D1650" i="1"/>
  <c r="D1649" i="1"/>
  <c r="D1648" i="1"/>
  <c r="D1647" i="1"/>
  <c r="D1646" i="1"/>
  <c r="D1645" i="1"/>
  <c r="D1644" i="1"/>
  <c r="D1643" i="1"/>
  <c r="D1642" i="1"/>
  <c r="D1641" i="1"/>
  <c r="D1640" i="1"/>
  <c r="D1639" i="1"/>
  <c r="D1638" i="1"/>
  <c r="D1637" i="1"/>
  <c r="D1636" i="1"/>
  <c r="D1635" i="1"/>
  <c r="D1634" i="1"/>
  <c r="D1633" i="1"/>
  <c r="D1632" i="1"/>
  <c r="D1631" i="1"/>
  <c r="D1630" i="1"/>
  <c r="D1629" i="1"/>
  <c r="D1628" i="1"/>
  <c r="D1627" i="1"/>
  <c r="D1626" i="1"/>
  <c r="D1625" i="1"/>
  <c r="D1624" i="1"/>
  <c r="D1623" i="1"/>
  <c r="D1622" i="1"/>
  <c r="D1621" i="1"/>
  <c r="D1620" i="1"/>
  <c r="D1619" i="1"/>
  <c r="D1618" i="1"/>
  <c r="D1617" i="1"/>
  <c r="D1616" i="1"/>
  <c r="D1615" i="1"/>
  <c r="D1614" i="1"/>
  <c r="D1613" i="1"/>
  <c r="D1612" i="1"/>
  <c r="D1611" i="1"/>
  <c r="D1610" i="1"/>
  <c r="D1609" i="1"/>
  <c r="D1608" i="1"/>
  <c r="D1607" i="1"/>
  <c r="D1606" i="1"/>
  <c r="D1605" i="1"/>
  <c r="D1604" i="1"/>
  <c r="D1603" i="1"/>
  <c r="D1602" i="1"/>
  <c r="D1601" i="1"/>
  <c r="D1600" i="1"/>
  <c r="D1599" i="1"/>
  <c r="D1598" i="1"/>
  <c r="D1597" i="1"/>
  <c r="D1596" i="1"/>
  <c r="D1595" i="1"/>
  <c r="D1594" i="1"/>
  <c r="D1593" i="1"/>
  <c r="D1592" i="1"/>
  <c r="D1591" i="1"/>
  <c r="D1590" i="1"/>
  <c r="D1589" i="1"/>
  <c r="D1588" i="1"/>
  <c r="D1587" i="1"/>
  <c r="D1586" i="1"/>
  <c r="D1585" i="1"/>
  <c r="D1584" i="1"/>
  <c r="D1583" i="1"/>
  <c r="D1582" i="1"/>
  <c r="D1581" i="1"/>
  <c r="D1580" i="1"/>
  <c r="D1579" i="1"/>
  <c r="D1578" i="1"/>
  <c r="D1577" i="1"/>
  <c r="D1576" i="1"/>
  <c r="D1575" i="1"/>
  <c r="D1574" i="1"/>
  <c r="D1573" i="1"/>
  <c r="D1572" i="1"/>
  <c r="D1571" i="1"/>
  <c r="D1570" i="1"/>
  <c r="D1569" i="1"/>
  <c r="D1568" i="1"/>
  <c r="D1567" i="1"/>
  <c r="D1566" i="1"/>
  <c r="D1565" i="1"/>
  <c r="D1564" i="1"/>
  <c r="D1563" i="1"/>
  <c r="D1562" i="1"/>
  <c r="D1561" i="1"/>
  <c r="D1560" i="1"/>
  <c r="D1559" i="1"/>
  <c r="D1558" i="1"/>
  <c r="D1557" i="1"/>
  <c r="D1556" i="1"/>
  <c r="D1555" i="1"/>
  <c r="D1554" i="1"/>
  <c r="D1553" i="1"/>
  <c r="D1552" i="1"/>
  <c r="D1551" i="1"/>
  <c r="D1550" i="1"/>
  <c r="D1549" i="1"/>
  <c r="D1548" i="1"/>
  <c r="D1547" i="1"/>
  <c r="D1546" i="1"/>
  <c r="D1545" i="1"/>
  <c r="D1544" i="1"/>
  <c r="D1543" i="1"/>
  <c r="D1542" i="1"/>
  <c r="D1541" i="1"/>
  <c r="D1540" i="1"/>
  <c r="D1539" i="1"/>
  <c r="D1538" i="1"/>
  <c r="D1537" i="1"/>
  <c r="D1536" i="1"/>
  <c r="D1535" i="1"/>
  <c r="D1534" i="1"/>
  <c r="D1533" i="1"/>
  <c r="D1532" i="1"/>
  <c r="D1531" i="1"/>
  <c r="D1530" i="1"/>
  <c r="D1529" i="1"/>
  <c r="D1528" i="1"/>
  <c r="D1527" i="1"/>
  <c r="D1526" i="1"/>
  <c r="D1525" i="1"/>
  <c r="D1524" i="1"/>
  <c r="D1523" i="1"/>
  <c r="D1522" i="1"/>
  <c r="D1521" i="1"/>
  <c r="D1520" i="1"/>
  <c r="D1519" i="1"/>
  <c r="D1518" i="1"/>
  <c r="D1517" i="1"/>
  <c r="D1516" i="1"/>
  <c r="D1515" i="1"/>
  <c r="D1514" i="1"/>
  <c r="D1513" i="1"/>
  <c r="D1512" i="1"/>
  <c r="D1511" i="1"/>
  <c r="D1510" i="1"/>
  <c r="D1509" i="1"/>
  <c r="D1508" i="1"/>
  <c r="D1507" i="1"/>
  <c r="D1506" i="1"/>
  <c r="D1505" i="1"/>
  <c r="D1504" i="1"/>
  <c r="D1503" i="1"/>
  <c r="D1502" i="1"/>
  <c r="D1501" i="1"/>
  <c r="D1500" i="1"/>
  <c r="D1499" i="1"/>
  <c r="D1498" i="1"/>
  <c r="D1497" i="1"/>
  <c r="D1496" i="1"/>
  <c r="D1495" i="1"/>
  <c r="D1494" i="1"/>
  <c r="D1493" i="1"/>
  <c r="D1492" i="1"/>
  <c r="D1491" i="1"/>
  <c r="D1490" i="1"/>
  <c r="D1489" i="1"/>
  <c r="D1488" i="1"/>
  <c r="D1487" i="1"/>
  <c r="D1486" i="1"/>
  <c r="D1485" i="1"/>
  <c r="D1484" i="1"/>
  <c r="D1483" i="1"/>
  <c r="D1482" i="1"/>
  <c r="D1481" i="1"/>
  <c r="D1480" i="1"/>
  <c r="D1479" i="1"/>
  <c r="D1478" i="1"/>
  <c r="D1477" i="1"/>
  <c r="D1476" i="1"/>
  <c r="D1475" i="1"/>
  <c r="D1474" i="1"/>
  <c r="D1473" i="1"/>
  <c r="D1472" i="1"/>
  <c r="D1471" i="1"/>
  <c r="D1470" i="1"/>
  <c r="D1469" i="1"/>
  <c r="D1468" i="1"/>
  <c r="D1467" i="1"/>
  <c r="D1466" i="1"/>
  <c r="D1465" i="1"/>
  <c r="D1464" i="1"/>
  <c r="D1463" i="1"/>
  <c r="D1462" i="1"/>
  <c r="D1461" i="1"/>
  <c r="D1460" i="1"/>
  <c r="D1459" i="1"/>
  <c r="D1458" i="1"/>
  <c r="D1457" i="1"/>
  <c r="D1456" i="1"/>
  <c r="D1455" i="1"/>
  <c r="D1454" i="1"/>
  <c r="D1453" i="1"/>
  <c r="D1452" i="1"/>
  <c r="D1451" i="1"/>
  <c r="D1450" i="1"/>
  <c r="D1449" i="1"/>
  <c r="D1448" i="1"/>
  <c r="D1447" i="1"/>
  <c r="D1446" i="1"/>
  <c r="D1445" i="1"/>
  <c r="D1444" i="1"/>
  <c r="D1443" i="1"/>
  <c r="D1442" i="1"/>
  <c r="D1441" i="1"/>
  <c r="D1440" i="1"/>
  <c r="D1439" i="1"/>
  <c r="D1438" i="1"/>
  <c r="D1437" i="1"/>
  <c r="D1436" i="1"/>
  <c r="D1435" i="1"/>
  <c r="D1434" i="1"/>
  <c r="D1433" i="1"/>
  <c r="D1432" i="1"/>
  <c r="D1431" i="1"/>
  <c r="D1430" i="1"/>
  <c r="D1429" i="1"/>
  <c r="D1428" i="1"/>
  <c r="D1427" i="1"/>
  <c r="D1426" i="1"/>
  <c r="D1425" i="1"/>
  <c r="D1424" i="1"/>
  <c r="D1423" i="1"/>
  <c r="D1422" i="1"/>
  <c r="D1421" i="1"/>
  <c r="D1420" i="1"/>
  <c r="D1419" i="1"/>
  <c r="D1418" i="1"/>
  <c r="D1417" i="1"/>
  <c r="D1416" i="1"/>
  <c r="D1415" i="1"/>
  <c r="D1414" i="1"/>
  <c r="D1413" i="1"/>
  <c r="D1412" i="1"/>
  <c r="D1411" i="1"/>
  <c r="D1410" i="1"/>
  <c r="D1409" i="1"/>
  <c r="D1408" i="1"/>
  <c r="D1407" i="1"/>
  <c r="D1406" i="1"/>
  <c r="D1405" i="1"/>
  <c r="D1404" i="1"/>
  <c r="D1403" i="1"/>
  <c r="D1402" i="1"/>
  <c r="D1401" i="1"/>
  <c r="D1400" i="1"/>
  <c r="D1399" i="1"/>
  <c r="D1398" i="1"/>
  <c r="D1397" i="1"/>
  <c r="D1396" i="1"/>
  <c r="D1395" i="1"/>
  <c r="D1394" i="1"/>
  <c r="D1393" i="1"/>
  <c r="D1392" i="1"/>
  <c r="D1391" i="1"/>
  <c r="D1390" i="1"/>
  <c r="D1389" i="1"/>
  <c r="D1388" i="1"/>
  <c r="D1387" i="1"/>
  <c r="D1386" i="1"/>
  <c r="D1385" i="1"/>
  <c r="D1384" i="1"/>
  <c r="D1383" i="1"/>
  <c r="D1382" i="1"/>
  <c r="D1381" i="1"/>
  <c r="D1380" i="1"/>
  <c r="D1379" i="1"/>
  <c r="D1378" i="1"/>
  <c r="D1377" i="1"/>
  <c r="D1376" i="1"/>
  <c r="D1375" i="1"/>
  <c r="D1374" i="1"/>
  <c r="D1373" i="1"/>
  <c r="D1372" i="1"/>
  <c r="D1371" i="1"/>
  <c r="D1370" i="1"/>
  <c r="D1369" i="1"/>
  <c r="D1368" i="1"/>
  <c r="D1367" i="1"/>
  <c r="D1366" i="1"/>
  <c r="D1365" i="1"/>
  <c r="D1364" i="1"/>
  <c r="D1363" i="1"/>
  <c r="D1362" i="1"/>
  <c r="D1361" i="1"/>
  <c r="D1360" i="1"/>
  <c r="D1359" i="1"/>
  <c r="D1358" i="1"/>
  <c r="D1357" i="1"/>
  <c r="D1356" i="1"/>
  <c r="D1355" i="1"/>
  <c r="D1354" i="1"/>
  <c r="D1353" i="1"/>
  <c r="D1352" i="1"/>
  <c r="D1351" i="1"/>
  <c r="D1350" i="1"/>
  <c r="D1349" i="1"/>
  <c r="D1348" i="1"/>
  <c r="D1347" i="1"/>
  <c r="D1346" i="1"/>
  <c r="D1345" i="1"/>
  <c r="D1344" i="1"/>
  <c r="D1343" i="1"/>
  <c r="D1342" i="1"/>
  <c r="D1341" i="1"/>
  <c r="D1340" i="1"/>
  <c r="D1339" i="1"/>
  <c r="D1338" i="1"/>
  <c r="D1337" i="1"/>
  <c r="D1336" i="1"/>
  <c r="D1335" i="1"/>
  <c r="D1334" i="1"/>
  <c r="D1333" i="1"/>
  <c r="D1332" i="1"/>
  <c r="D1331" i="1"/>
  <c r="D1330" i="1"/>
  <c r="D1329" i="1"/>
  <c r="D1328" i="1"/>
  <c r="D1327" i="1"/>
  <c r="D1326" i="1"/>
  <c r="D1325" i="1"/>
  <c r="D1324" i="1"/>
  <c r="D1323" i="1"/>
  <c r="D1322" i="1"/>
  <c r="D1321" i="1"/>
  <c r="D1320" i="1"/>
  <c r="D1319" i="1"/>
  <c r="D1318" i="1"/>
  <c r="D1317" i="1"/>
  <c r="D1316" i="1"/>
  <c r="D1315" i="1"/>
  <c r="D1314" i="1"/>
  <c r="D1313" i="1"/>
  <c r="D1312" i="1"/>
  <c r="D1311" i="1"/>
  <c r="D1310" i="1"/>
  <c r="D1309" i="1"/>
  <c r="D1308" i="1"/>
  <c r="D1307" i="1"/>
  <c r="D1306" i="1"/>
  <c r="D1305" i="1"/>
  <c r="D1304" i="1"/>
  <c r="D1303" i="1"/>
  <c r="D1302" i="1"/>
  <c r="D1301" i="1"/>
  <c r="D1300" i="1"/>
  <c r="D1299" i="1"/>
  <c r="D1298" i="1"/>
  <c r="D1297" i="1"/>
  <c r="D1296" i="1"/>
  <c r="D1295" i="1"/>
  <c r="D1294" i="1"/>
  <c r="D1293" i="1"/>
  <c r="D1292" i="1"/>
  <c r="D1291" i="1"/>
  <c r="D1290" i="1"/>
  <c r="D1289" i="1"/>
  <c r="D1288" i="1"/>
  <c r="D1287" i="1"/>
  <c r="D1286" i="1"/>
  <c r="D1285" i="1"/>
  <c r="D1284" i="1"/>
  <c r="D1283" i="1"/>
  <c r="D1282" i="1"/>
  <c r="D1281" i="1"/>
  <c r="D1280" i="1"/>
  <c r="D1279" i="1"/>
  <c r="D1278" i="1"/>
  <c r="D1277" i="1"/>
  <c r="D1276" i="1"/>
  <c r="D1275" i="1"/>
  <c r="D1274" i="1"/>
  <c r="D1273" i="1"/>
  <c r="D1272" i="1"/>
  <c r="D1271" i="1"/>
  <c r="D1270" i="1"/>
  <c r="D1269" i="1"/>
  <c r="D1268" i="1"/>
  <c r="D1267" i="1"/>
  <c r="D1266" i="1"/>
  <c r="D1265" i="1"/>
  <c r="D1264" i="1"/>
  <c r="D1263" i="1"/>
  <c r="D1262" i="1"/>
  <c r="D1261" i="1"/>
  <c r="D1260" i="1"/>
  <c r="D1259" i="1"/>
  <c r="D1258" i="1"/>
  <c r="D1257" i="1"/>
  <c r="D1256" i="1"/>
  <c r="D1255" i="1"/>
  <c r="D1254" i="1"/>
  <c r="D1253" i="1"/>
  <c r="D1252" i="1"/>
  <c r="D1251" i="1"/>
  <c r="D1250" i="1"/>
  <c r="D1249" i="1"/>
  <c r="D1248" i="1"/>
  <c r="D1247" i="1"/>
  <c r="D1246" i="1"/>
  <c r="D1245" i="1"/>
  <c r="D1244" i="1"/>
  <c r="D1243" i="1"/>
  <c r="D1242" i="1"/>
  <c r="D1241" i="1"/>
  <c r="D1240" i="1"/>
  <c r="D1239" i="1"/>
  <c r="D1238" i="1"/>
  <c r="D1237" i="1"/>
  <c r="D1236" i="1"/>
  <c r="D1235" i="1"/>
  <c r="D1234" i="1"/>
  <c r="D1233" i="1"/>
  <c r="D1232" i="1"/>
  <c r="D1231" i="1"/>
  <c r="D1230" i="1"/>
  <c r="D1229" i="1"/>
  <c r="D1228" i="1"/>
  <c r="D1227" i="1"/>
  <c r="D1226" i="1"/>
  <c r="D1225" i="1"/>
  <c r="D1224" i="1"/>
  <c r="D1223" i="1"/>
  <c r="D1222" i="1"/>
  <c r="D1221" i="1"/>
  <c r="D1220" i="1"/>
  <c r="D1219" i="1"/>
  <c r="D1218" i="1"/>
  <c r="D1217" i="1"/>
  <c r="D1216" i="1"/>
  <c r="D1215" i="1"/>
  <c r="D1214" i="1"/>
  <c r="D1213" i="1"/>
  <c r="D1212" i="1"/>
  <c r="D1211" i="1"/>
  <c r="D1210" i="1"/>
  <c r="D1209" i="1"/>
  <c r="D1208" i="1"/>
  <c r="D1207" i="1"/>
  <c r="D1206" i="1"/>
  <c r="D1205" i="1"/>
  <c r="D1204" i="1"/>
  <c r="D1203" i="1"/>
  <c r="D1202" i="1"/>
  <c r="D1201" i="1"/>
  <c r="D1200" i="1"/>
  <c r="D1199" i="1"/>
  <c r="D1198" i="1"/>
  <c r="D1197" i="1"/>
  <c r="D1196" i="1"/>
  <c r="D1195" i="1"/>
  <c r="D1194" i="1"/>
  <c r="D1193" i="1"/>
  <c r="D1192" i="1"/>
  <c r="D1191" i="1"/>
  <c r="D1190" i="1"/>
  <c r="D1189" i="1"/>
  <c r="D1188" i="1"/>
  <c r="D1187" i="1"/>
  <c r="D1186" i="1"/>
  <c r="D1185" i="1"/>
  <c r="D1184" i="1"/>
  <c r="D1183" i="1"/>
  <c r="D1182" i="1"/>
  <c r="D1181" i="1"/>
  <c r="D1180" i="1"/>
  <c r="D1179" i="1"/>
  <c r="D1178" i="1"/>
  <c r="D1177" i="1"/>
  <c r="D1176" i="1"/>
  <c r="D1175" i="1"/>
  <c r="D1174" i="1"/>
  <c r="D1173" i="1"/>
  <c r="D1172" i="1"/>
  <c r="D1171" i="1"/>
  <c r="D1170" i="1"/>
  <c r="D1169" i="1"/>
  <c r="D1168" i="1"/>
  <c r="D1167" i="1"/>
  <c r="D1166" i="1"/>
  <c r="D1165" i="1"/>
  <c r="D1164" i="1"/>
  <c r="D1163" i="1"/>
  <c r="D1162" i="1"/>
  <c r="D1161" i="1"/>
  <c r="D1160" i="1"/>
  <c r="D1159" i="1"/>
  <c r="D1158" i="1"/>
  <c r="D1157" i="1"/>
  <c r="D1156" i="1"/>
  <c r="D1155" i="1"/>
  <c r="D1154" i="1"/>
  <c r="D1153" i="1"/>
  <c r="D1152" i="1"/>
  <c r="D1151" i="1"/>
  <c r="D1150" i="1"/>
  <c r="D1149" i="1"/>
  <c r="D1148" i="1"/>
  <c r="D1147" i="1"/>
  <c r="D1146" i="1"/>
  <c r="D1145" i="1"/>
  <c r="D1144" i="1"/>
  <c r="D1143" i="1"/>
  <c r="D1142" i="1"/>
  <c r="D1141" i="1"/>
  <c r="D1140" i="1"/>
  <c r="D1139" i="1"/>
  <c r="D1138" i="1"/>
  <c r="D1137" i="1"/>
  <c r="D1136" i="1"/>
  <c r="D1135" i="1"/>
  <c r="D1134" i="1"/>
  <c r="D1133" i="1"/>
  <c r="D1132" i="1"/>
  <c r="D1131" i="1"/>
  <c r="D1130" i="1"/>
  <c r="D1129" i="1"/>
  <c r="D1128" i="1"/>
  <c r="D1127" i="1"/>
  <c r="D1126" i="1"/>
  <c r="D1125" i="1"/>
  <c r="D1124" i="1"/>
  <c r="D1123" i="1"/>
  <c r="D1122" i="1"/>
  <c r="D1121" i="1"/>
  <c r="D1120" i="1"/>
  <c r="D1119" i="1"/>
  <c r="D1118" i="1"/>
  <c r="D1117" i="1"/>
  <c r="D1116" i="1"/>
  <c r="D1115" i="1"/>
  <c r="D1114" i="1"/>
  <c r="D1113" i="1"/>
  <c r="D1112" i="1"/>
  <c r="D1111" i="1"/>
  <c r="D1110" i="1"/>
  <c r="D1109" i="1"/>
  <c r="D1108" i="1"/>
  <c r="D1107" i="1"/>
  <c r="D1106" i="1"/>
  <c r="D1105" i="1"/>
  <c r="D1104" i="1"/>
  <c r="D1103" i="1"/>
  <c r="D1102" i="1"/>
  <c r="D1101" i="1"/>
  <c r="D1100" i="1"/>
  <c r="D1099" i="1"/>
  <c r="D1098" i="1"/>
  <c r="D1097" i="1"/>
  <c r="D1096" i="1"/>
  <c r="D1095" i="1"/>
  <c r="D1094" i="1"/>
  <c r="D1093" i="1"/>
  <c r="D1092" i="1"/>
  <c r="D1091" i="1"/>
  <c r="D1090" i="1"/>
  <c r="D1089" i="1"/>
  <c r="D1088" i="1"/>
  <c r="D1087" i="1"/>
  <c r="D1086" i="1"/>
  <c r="D1085" i="1"/>
  <c r="D1084" i="1"/>
  <c r="D1083" i="1"/>
  <c r="D1082" i="1"/>
  <c r="D1081" i="1"/>
  <c r="D1080" i="1"/>
  <c r="D1079" i="1"/>
  <c r="D1078" i="1"/>
  <c r="D1077" i="1"/>
  <c r="D1076" i="1"/>
  <c r="D1075" i="1"/>
  <c r="D1074" i="1"/>
  <c r="D1073" i="1"/>
  <c r="D1072" i="1"/>
  <c r="D1071" i="1"/>
  <c r="D1070" i="1"/>
  <c r="D1069" i="1"/>
  <c r="D1068" i="1"/>
  <c r="D1067" i="1"/>
  <c r="D1066" i="1"/>
  <c r="D1065" i="1"/>
  <c r="D1064" i="1"/>
  <c r="D1063" i="1"/>
  <c r="D1062" i="1"/>
  <c r="D1061" i="1"/>
  <c r="D1060" i="1"/>
  <c r="D1059" i="1"/>
  <c r="D1058" i="1"/>
  <c r="D1057" i="1"/>
  <c r="D1056" i="1"/>
  <c r="D1055" i="1"/>
  <c r="D1054" i="1"/>
  <c r="D1053" i="1"/>
  <c r="D1052" i="1"/>
  <c r="D1051" i="1"/>
  <c r="D1050" i="1"/>
  <c r="D1049" i="1"/>
  <c r="D1048" i="1"/>
  <c r="D1047" i="1"/>
  <c r="D1046" i="1"/>
  <c r="D1045" i="1"/>
  <c r="D1044" i="1"/>
  <c r="D1043" i="1"/>
  <c r="D1042" i="1"/>
  <c r="D1041" i="1"/>
  <c r="D1040" i="1"/>
  <c r="D1039" i="1"/>
  <c r="D1038" i="1"/>
  <c r="D1037" i="1"/>
  <c r="D1036" i="1"/>
  <c r="D1035" i="1"/>
  <c r="D1034" i="1"/>
  <c r="D1033" i="1"/>
  <c r="D1032" i="1"/>
  <c r="D1031" i="1"/>
  <c r="D1030" i="1"/>
  <c r="D1029" i="1"/>
  <c r="D1028" i="1"/>
  <c r="D1027" i="1"/>
  <c r="D1026" i="1"/>
  <c r="D1025" i="1"/>
  <c r="D1024" i="1"/>
  <c r="D1023" i="1"/>
  <c r="D1022" i="1"/>
  <c r="D1021" i="1"/>
  <c r="D1020" i="1"/>
  <c r="D1019" i="1"/>
  <c r="D1018" i="1"/>
  <c r="D1017" i="1"/>
  <c r="D1016" i="1"/>
  <c r="D1015" i="1"/>
  <c r="D1014" i="1"/>
  <c r="D1013" i="1"/>
  <c r="D1012" i="1"/>
  <c r="D1011" i="1"/>
  <c r="D1010" i="1"/>
  <c r="D1009" i="1"/>
  <c r="D1008" i="1"/>
  <c r="D1007" i="1"/>
  <c r="D1006" i="1"/>
  <c r="D1005" i="1"/>
  <c r="D1004" i="1"/>
  <c r="D1003" i="1"/>
  <c r="D1002" i="1"/>
  <c r="D1001" i="1"/>
  <c r="D1000" i="1"/>
  <c r="D999" i="1"/>
  <c r="D998" i="1"/>
  <c r="D997" i="1"/>
  <c r="D996" i="1"/>
  <c r="D995" i="1"/>
  <c r="D994" i="1"/>
  <c r="D993" i="1"/>
  <c r="D992" i="1"/>
  <c r="D991" i="1"/>
  <c r="D990" i="1"/>
  <c r="D989" i="1"/>
  <c r="D988" i="1"/>
  <c r="D987" i="1"/>
  <c r="D986" i="1"/>
  <c r="D985" i="1"/>
  <c r="D984" i="1"/>
  <c r="D983" i="1"/>
  <c r="D982" i="1"/>
  <c r="D981" i="1"/>
  <c r="D980" i="1"/>
  <c r="D979" i="1"/>
  <c r="D978" i="1"/>
  <c r="D977" i="1"/>
  <c r="D976" i="1"/>
  <c r="D975" i="1"/>
  <c r="D974" i="1"/>
  <c r="D973" i="1"/>
  <c r="D972" i="1"/>
  <c r="D971" i="1"/>
  <c r="D970" i="1"/>
  <c r="D969" i="1"/>
  <c r="D968" i="1"/>
  <c r="D967" i="1"/>
  <c r="D966" i="1"/>
  <c r="D965" i="1"/>
  <c r="D964" i="1"/>
  <c r="D963" i="1"/>
  <c r="D962" i="1"/>
  <c r="D961" i="1"/>
  <c r="D960" i="1"/>
  <c r="D959" i="1"/>
  <c r="D958" i="1"/>
  <c r="D957" i="1"/>
  <c r="D956" i="1"/>
  <c r="D955" i="1"/>
  <c r="D954" i="1"/>
  <c r="D953" i="1"/>
  <c r="D952" i="1"/>
  <c r="D951" i="1"/>
  <c r="D950" i="1"/>
  <c r="D949" i="1"/>
  <c r="D948" i="1"/>
  <c r="D947" i="1"/>
  <c r="D946" i="1"/>
  <c r="D945" i="1"/>
  <c r="D944" i="1"/>
  <c r="D943" i="1"/>
  <c r="D942" i="1"/>
  <c r="D941" i="1"/>
  <c r="D940" i="1"/>
  <c r="D939" i="1"/>
  <c r="D938" i="1"/>
  <c r="D937" i="1"/>
  <c r="D936" i="1"/>
  <c r="D935" i="1"/>
  <c r="D934" i="1"/>
  <c r="D933" i="1"/>
  <c r="D932" i="1"/>
  <c r="D931" i="1"/>
  <c r="D930" i="1"/>
  <c r="D929" i="1"/>
  <c r="D928" i="1"/>
  <c r="D927" i="1"/>
  <c r="D926" i="1"/>
  <c r="D925" i="1"/>
  <c r="D924" i="1"/>
  <c r="D923" i="1"/>
  <c r="D922" i="1"/>
  <c r="D921" i="1"/>
  <c r="D920" i="1"/>
  <c r="D919" i="1"/>
  <c r="D918" i="1"/>
  <c r="D917" i="1"/>
  <c r="D916" i="1"/>
  <c r="D915" i="1"/>
  <c r="D914" i="1"/>
  <c r="D913" i="1"/>
  <c r="D912" i="1"/>
  <c r="D911" i="1"/>
  <c r="D910" i="1"/>
  <c r="D909" i="1"/>
  <c r="D908" i="1"/>
  <c r="D907" i="1"/>
  <c r="D906" i="1"/>
  <c r="D905" i="1"/>
  <c r="D904" i="1"/>
  <c r="D903" i="1"/>
  <c r="D902" i="1"/>
  <c r="D901" i="1"/>
  <c r="D900" i="1"/>
  <c r="D899" i="1"/>
  <c r="D898" i="1"/>
  <c r="D897" i="1"/>
  <c r="D896" i="1"/>
  <c r="D895" i="1"/>
  <c r="D894" i="1"/>
  <c r="D893" i="1"/>
  <c r="D892" i="1"/>
  <c r="D891" i="1"/>
  <c r="D890" i="1"/>
  <c r="D889" i="1"/>
  <c r="D888" i="1"/>
  <c r="D887" i="1"/>
  <c r="D886" i="1"/>
  <c r="D885" i="1"/>
  <c r="D884" i="1"/>
  <c r="D883" i="1"/>
  <c r="D882" i="1"/>
  <c r="D881" i="1"/>
  <c r="D880" i="1"/>
  <c r="D879" i="1"/>
  <c r="D878" i="1"/>
  <c r="D877" i="1"/>
  <c r="D876" i="1"/>
  <c r="D875" i="1"/>
  <c r="D874" i="1"/>
  <c r="D873" i="1"/>
  <c r="D872" i="1"/>
  <c r="D871" i="1"/>
  <c r="D870" i="1"/>
  <c r="D869" i="1"/>
  <c r="D868" i="1"/>
  <c r="D867" i="1"/>
  <c r="D866" i="1"/>
  <c r="D865" i="1"/>
  <c r="D864" i="1"/>
  <c r="D863" i="1"/>
  <c r="D862" i="1"/>
  <c r="D861" i="1"/>
  <c r="D860" i="1"/>
  <c r="D859" i="1"/>
  <c r="D858" i="1"/>
  <c r="D857" i="1"/>
  <c r="D856" i="1"/>
  <c r="D855" i="1"/>
  <c r="D854" i="1"/>
  <c r="D853" i="1"/>
  <c r="D852" i="1"/>
  <c r="D851" i="1"/>
  <c r="D850" i="1"/>
  <c r="D849" i="1"/>
  <c r="D848" i="1"/>
  <c r="D847" i="1"/>
  <c r="D846" i="1"/>
  <c r="D845" i="1"/>
  <c r="D844" i="1"/>
  <c r="D843" i="1"/>
  <c r="D842" i="1"/>
  <c r="D841" i="1"/>
  <c r="D840" i="1"/>
  <c r="D839" i="1"/>
  <c r="D838" i="1"/>
  <c r="D837" i="1"/>
  <c r="D836" i="1"/>
  <c r="D835" i="1"/>
  <c r="D834" i="1"/>
  <c r="D833" i="1"/>
  <c r="D832" i="1"/>
  <c r="D831" i="1"/>
  <c r="D830" i="1"/>
  <c r="D829" i="1"/>
  <c r="D828" i="1"/>
  <c r="D827" i="1"/>
  <c r="D826" i="1"/>
  <c r="D825" i="1"/>
  <c r="D824" i="1"/>
  <c r="D823" i="1"/>
  <c r="D822" i="1"/>
  <c r="D821" i="1"/>
  <c r="D820" i="1"/>
  <c r="D819" i="1"/>
  <c r="D818" i="1"/>
  <c r="D817" i="1"/>
  <c r="D816" i="1"/>
  <c r="D815" i="1"/>
  <c r="D814" i="1"/>
  <c r="D813" i="1"/>
  <c r="D812" i="1"/>
  <c r="D811" i="1"/>
  <c r="D810" i="1"/>
  <c r="D809" i="1"/>
  <c r="D808" i="1"/>
  <c r="D807" i="1"/>
  <c r="D806" i="1"/>
  <c r="D805" i="1"/>
  <c r="D804" i="1"/>
  <c r="D803" i="1"/>
  <c r="D802" i="1"/>
  <c r="D801" i="1"/>
  <c r="D800" i="1"/>
  <c r="D799" i="1"/>
  <c r="D798" i="1"/>
  <c r="D797" i="1"/>
  <c r="D796" i="1"/>
  <c r="D795" i="1"/>
  <c r="D794" i="1"/>
  <c r="D793" i="1"/>
  <c r="D792" i="1"/>
  <c r="D791" i="1"/>
  <c r="D790" i="1"/>
  <c r="D789" i="1"/>
  <c r="D788" i="1"/>
  <c r="D787" i="1"/>
  <c r="D786" i="1"/>
  <c r="D785" i="1"/>
  <c r="D784" i="1"/>
  <c r="D783" i="1"/>
  <c r="D782" i="1"/>
  <c r="D781" i="1"/>
  <c r="D780" i="1"/>
  <c r="D779" i="1"/>
  <c r="D778" i="1"/>
  <c r="D777" i="1"/>
  <c r="D776" i="1"/>
  <c r="D775" i="1"/>
  <c r="D774" i="1"/>
  <c r="D773" i="1"/>
  <c r="D772" i="1"/>
  <c r="D771" i="1"/>
  <c r="D770" i="1"/>
  <c r="D769" i="1"/>
  <c r="D768" i="1"/>
  <c r="D767" i="1"/>
  <c r="D766" i="1"/>
  <c r="D765" i="1"/>
  <c r="D764" i="1"/>
  <c r="D763" i="1"/>
  <c r="D762" i="1"/>
  <c r="D761" i="1"/>
  <c r="D760" i="1"/>
  <c r="D759" i="1"/>
  <c r="D758" i="1"/>
  <c r="D757" i="1"/>
  <c r="D756" i="1"/>
  <c r="D755" i="1"/>
  <c r="D754" i="1"/>
  <c r="D753" i="1"/>
  <c r="D752" i="1"/>
  <c r="D751" i="1"/>
  <c r="D750" i="1"/>
  <c r="D749" i="1"/>
  <c r="D748" i="1"/>
  <c r="D747" i="1"/>
  <c r="D746" i="1"/>
  <c r="D745" i="1"/>
  <c r="D744" i="1"/>
  <c r="D743" i="1"/>
  <c r="D742" i="1"/>
  <c r="D741" i="1"/>
  <c r="D740" i="1"/>
  <c r="D739" i="1"/>
  <c r="D738" i="1"/>
  <c r="D737" i="1"/>
  <c r="D736" i="1"/>
  <c r="D735" i="1"/>
  <c r="D734" i="1"/>
  <c r="D733" i="1"/>
  <c r="D732" i="1"/>
  <c r="D731" i="1"/>
  <c r="D730" i="1"/>
  <c r="D729" i="1"/>
  <c r="D728" i="1"/>
  <c r="D727" i="1"/>
  <c r="D726" i="1"/>
  <c r="D725" i="1"/>
  <c r="D724" i="1"/>
  <c r="D723" i="1"/>
  <c r="D722" i="1"/>
  <c r="D721" i="1"/>
  <c r="D720" i="1"/>
  <c r="D719" i="1"/>
  <c r="D718" i="1"/>
  <c r="D717" i="1"/>
  <c r="D716" i="1"/>
  <c r="D715" i="1"/>
  <c r="D714" i="1"/>
  <c r="D713" i="1"/>
  <c r="D712" i="1"/>
  <c r="D711" i="1"/>
  <c r="D710" i="1"/>
  <c r="D709" i="1"/>
  <c r="D708" i="1"/>
  <c r="D707" i="1"/>
  <c r="D706" i="1"/>
  <c r="D705" i="1"/>
  <c r="D704" i="1"/>
  <c r="D703" i="1"/>
  <c r="D702" i="1"/>
  <c r="D701" i="1"/>
  <c r="D700" i="1"/>
  <c r="D699" i="1"/>
  <c r="D698" i="1"/>
  <c r="D697" i="1"/>
  <c r="D696" i="1"/>
  <c r="D695" i="1"/>
  <c r="D694" i="1"/>
  <c r="D693" i="1"/>
  <c r="D692" i="1"/>
  <c r="D691" i="1"/>
  <c r="D690" i="1"/>
  <c r="D689" i="1"/>
  <c r="D688" i="1"/>
  <c r="D687" i="1"/>
  <c r="D686" i="1"/>
  <c r="D685" i="1"/>
  <c r="D684" i="1"/>
  <c r="D683" i="1"/>
  <c r="D682" i="1"/>
  <c r="D681" i="1"/>
  <c r="D680" i="1"/>
  <c r="D679" i="1"/>
  <c r="D678" i="1"/>
  <c r="D677" i="1"/>
  <c r="D676" i="1"/>
  <c r="D675" i="1"/>
  <c r="D674" i="1"/>
  <c r="D673" i="1"/>
  <c r="D672" i="1"/>
  <c r="D671" i="1"/>
  <c r="D670" i="1"/>
  <c r="D669" i="1"/>
  <c r="D668" i="1"/>
  <c r="D667" i="1"/>
  <c r="D666" i="1"/>
  <c r="D665" i="1"/>
  <c r="D664" i="1"/>
  <c r="D663" i="1"/>
  <c r="D662" i="1"/>
  <c r="D661" i="1"/>
  <c r="D660" i="1"/>
  <c r="D659" i="1"/>
  <c r="D658" i="1"/>
  <c r="D657" i="1"/>
  <c r="D656" i="1"/>
  <c r="D655" i="1"/>
  <c r="D654" i="1"/>
  <c r="D653" i="1"/>
  <c r="D652" i="1"/>
  <c r="D651" i="1"/>
  <c r="D650" i="1"/>
  <c r="D649" i="1"/>
  <c r="D648" i="1"/>
  <c r="D647" i="1"/>
  <c r="D646" i="1"/>
  <c r="D645" i="1"/>
  <c r="D644" i="1"/>
  <c r="D643" i="1"/>
  <c r="D642" i="1"/>
  <c r="D641" i="1"/>
  <c r="D640" i="1"/>
  <c r="D639" i="1"/>
  <c r="D638" i="1"/>
  <c r="D637" i="1"/>
  <c r="D636" i="1"/>
  <c r="D635" i="1"/>
  <c r="D634" i="1"/>
  <c r="D633" i="1"/>
  <c r="D632" i="1"/>
  <c r="D631" i="1"/>
  <c r="D630" i="1"/>
  <c r="D629" i="1"/>
  <c r="D628" i="1"/>
  <c r="D627" i="1"/>
  <c r="D626" i="1"/>
  <c r="D625" i="1"/>
  <c r="D624" i="1"/>
  <c r="D623" i="1"/>
  <c r="D622" i="1"/>
  <c r="D621" i="1"/>
  <c r="D620" i="1"/>
  <c r="D619" i="1"/>
  <c r="D618" i="1"/>
  <c r="D617" i="1"/>
  <c r="D616" i="1"/>
  <c r="D615" i="1"/>
  <c r="D614" i="1"/>
  <c r="D613" i="1"/>
  <c r="D612" i="1"/>
  <c r="D611" i="1"/>
  <c r="D610" i="1"/>
  <c r="D609" i="1"/>
  <c r="D608" i="1"/>
  <c r="D607" i="1"/>
  <c r="D606" i="1"/>
  <c r="D605" i="1"/>
  <c r="D604" i="1"/>
  <c r="D603" i="1"/>
  <c r="D602" i="1"/>
  <c r="D601" i="1"/>
  <c r="D600" i="1"/>
  <c r="D599" i="1"/>
  <c r="D598" i="1"/>
  <c r="D597" i="1"/>
  <c r="D596" i="1"/>
  <c r="D595" i="1"/>
  <c r="D594" i="1"/>
  <c r="D593" i="1"/>
  <c r="D592" i="1"/>
  <c r="D591" i="1"/>
  <c r="D590" i="1"/>
  <c r="D589"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D531" i="1"/>
  <c r="D530" i="1"/>
  <c r="D529" i="1"/>
  <c r="D528" i="1"/>
  <c r="D527" i="1"/>
  <c r="D526" i="1"/>
  <c r="D525" i="1"/>
  <c r="D524" i="1"/>
  <c r="D523"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B1999" i="6" l="1"/>
  <c r="B1998" i="6"/>
  <c r="B1997" i="6"/>
  <c r="B1996" i="6"/>
  <c r="B1995" i="6"/>
  <c r="B1994" i="6"/>
  <c r="B1993" i="6"/>
  <c r="B1992" i="6"/>
  <c r="B1991" i="6"/>
  <c r="B1990" i="6"/>
  <c r="B1989" i="6"/>
  <c r="B1988" i="6"/>
  <c r="B1987" i="6"/>
  <c r="B1986" i="6"/>
  <c r="B1985" i="6"/>
  <c r="B1984" i="6"/>
  <c r="B1983" i="6"/>
  <c r="B1982" i="6"/>
  <c r="B1981" i="6"/>
  <c r="B1980" i="6"/>
  <c r="B1979" i="6"/>
  <c r="B1978" i="6"/>
  <c r="B1977" i="6"/>
  <c r="B1976" i="6"/>
  <c r="B1975" i="6"/>
  <c r="B1974" i="6"/>
  <c r="B1973" i="6"/>
  <c r="B1972" i="6"/>
  <c r="B1971" i="6"/>
  <c r="B1970" i="6"/>
  <c r="B1969" i="6"/>
  <c r="B1968" i="6"/>
  <c r="B1967" i="6"/>
  <c r="B1966" i="6"/>
  <c r="B1965" i="6"/>
  <c r="B1964" i="6"/>
  <c r="B1963" i="6"/>
  <c r="B1962" i="6"/>
  <c r="B1961" i="6"/>
  <c r="B1960" i="6"/>
  <c r="B1959" i="6"/>
  <c r="B1958" i="6"/>
  <c r="B1957" i="6"/>
  <c r="B1956" i="6"/>
  <c r="B1955" i="6"/>
  <c r="B1954" i="6"/>
  <c r="B1953" i="6"/>
  <c r="B1952" i="6"/>
  <c r="B1951" i="6"/>
  <c r="B1950" i="6"/>
  <c r="B1949" i="6"/>
  <c r="B1948" i="6"/>
  <c r="B1947" i="6"/>
  <c r="B1946" i="6"/>
  <c r="B1945" i="6"/>
  <c r="B1944" i="6"/>
  <c r="B1943" i="6"/>
  <c r="B1942" i="6"/>
  <c r="B1941" i="6"/>
  <c r="B1940" i="6"/>
  <c r="B1939" i="6"/>
  <c r="B1938" i="6"/>
  <c r="B1937" i="6"/>
  <c r="B1936" i="6"/>
  <c r="B1935" i="6"/>
  <c r="B1934" i="6"/>
  <c r="B1933" i="6"/>
  <c r="B1932" i="6"/>
  <c r="B1931" i="6"/>
  <c r="B1930" i="6"/>
  <c r="B1929" i="6"/>
  <c r="B1928" i="6"/>
  <c r="B1927" i="6"/>
  <c r="B1926" i="6"/>
  <c r="B1925" i="6"/>
  <c r="B1924" i="6"/>
  <c r="B1923" i="6"/>
  <c r="B1922" i="6"/>
  <c r="B1921" i="6"/>
  <c r="B1920" i="6"/>
  <c r="B1919" i="6"/>
  <c r="B1918" i="6"/>
  <c r="B1917" i="6"/>
  <c r="B1916" i="6"/>
  <c r="B1915" i="6"/>
  <c r="B1914" i="6"/>
  <c r="B1913" i="6"/>
  <c r="B1912" i="6"/>
  <c r="B1911" i="6"/>
  <c r="B1910" i="6"/>
  <c r="B1909" i="6"/>
  <c r="B1908" i="6"/>
  <c r="B1907" i="6"/>
  <c r="B1906" i="6"/>
  <c r="B1905" i="6"/>
  <c r="B1904" i="6"/>
  <c r="B1903" i="6"/>
  <c r="B1902" i="6"/>
  <c r="B1901" i="6"/>
  <c r="B1900" i="6"/>
  <c r="B1899" i="6"/>
  <c r="B1898" i="6"/>
  <c r="B1897" i="6"/>
  <c r="B1896" i="6"/>
  <c r="B1895" i="6"/>
  <c r="B1894" i="6"/>
  <c r="B1893" i="6"/>
  <c r="B1892" i="6"/>
  <c r="B1891" i="6"/>
  <c r="B1890" i="6"/>
  <c r="B1889" i="6"/>
  <c r="B1888" i="6"/>
  <c r="B1887" i="6"/>
  <c r="B1886" i="6"/>
  <c r="B1885" i="6"/>
  <c r="B1884" i="6"/>
  <c r="B1883" i="6"/>
  <c r="B1882" i="6"/>
  <c r="B1881" i="6"/>
  <c r="B1880" i="6"/>
  <c r="B1879" i="6"/>
  <c r="B1878" i="6"/>
  <c r="B1877" i="6"/>
  <c r="B1876" i="6"/>
  <c r="B1875" i="6"/>
  <c r="B1874" i="6"/>
  <c r="B1873" i="6"/>
  <c r="B1872" i="6"/>
  <c r="B1871" i="6"/>
  <c r="B1870" i="6"/>
  <c r="B1869" i="6"/>
  <c r="B1868" i="6"/>
  <c r="B1867" i="6"/>
  <c r="B1866" i="6"/>
  <c r="B1865" i="6"/>
  <c r="B1864" i="6"/>
  <c r="B1863" i="6"/>
  <c r="B1862" i="6"/>
  <c r="B1861" i="6"/>
  <c r="B1860" i="6"/>
  <c r="B1859" i="6"/>
  <c r="B1858" i="6"/>
  <c r="B1857" i="6"/>
  <c r="B1856" i="6"/>
  <c r="B1855" i="6"/>
  <c r="B1854" i="6"/>
  <c r="B1853" i="6"/>
  <c r="B1852" i="6"/>
  <c r="B1851" i="6"/>
  <c r="B1850" i="6"/>
  <c r="B1849" i="6"/>
  <c r="B1848" i="6"/>
  <c r="B1847" i="6"/>
  <c r="B1846" i="6"/>
  <c r="B1845" i="6"/>
  <c r="B1844" i="6"/>
  <c r="B1843" i="6"/>
  <c r="B1842" i="6"/>
  <c r="B1841" i="6"/>
  <c r="B1840" i="6"/>
  <c r="B1839" i="6"/>
  <c r="B1838" i="6"/>
  <c r="B1837" i="6"/>
  <c r="B1836" i="6"/>
  <c r="B1835" i="6"/>
  <c r="B1834" i="6"/>
  <c r="B1833" i="6"/>
  <c r="B1832" i="6"/>
  <c r="B1831" i="6"/>
  <c r="B1830" i="6"/>
  <c r="B1829" i="6"/>
  <c r="B1828" i="6"/>
  <c r="B1827" i="6"/>
  <c r="B1826" i="6"/>
  <c r="B1825" i="6"/>
  <c r="B1824" i="6"/>
  <c r="B1823" i="6"/>
  <c r="B1822" i="6"/>
  <c r="B1821" i="6"/>
  <c r="B1820" i="6"/>
  <c r="B1819" i="6"/>
  <c r="B1818" i="6"/>
  <c r="B1817" i="6"/>
  <c r="B1816" i="6"/>
  <c r="B1815" i="6"/>
  <c r="B1814" i="6"/>
  <c r="B1813" i="6"/>
  <c r="B1812" i="6"/>
  <c r="B1811" i="6"/>
  <c r="B1810" i="6"/>
  <c r="B1809" i="6"/>
  <c r="B1808" i="6"/>
  <c r="B1807" i="6"/>
  <c r="B1806" i="6"/>
  <c r="B1805" i="6"/>
  <c r="B1804" i="6"/>
  <c r="B1803" i="6"/>
  <c r="B1802" i="6"/>
  <c r="B1801" i="6"/>
  <c r="B1800" i="6"/>
  <c r="B1799" i="6"/>
  <c r="B1798" i="6"/>
  <c r="B1797" i="6"/>
  <c r="B1796" i="6"/>
  <c r="B1795" i="6"/>
  <c r="B1794" i="6"/>
  <c r="B1793" i="6"/>
  <c r="B1792" i="6"/>
  <c r="B1791" i="6"/>
  <c r="B1790" i="6"/>
  <c r="B1789" i="6"/>
  <c r="B1788" i="6"/>
  <c r="B1787" i="6"/>
  <c r="B1786" i="6"/>
  <c r="B1785" i="6"/>
  <c r="B1784" i="6"/>
  <c r="B1783" i="6"/>
  <c r="B1782" i="6"/>
  <c r="B1781" i="6"/>
  <c r="B1780" i="6"/>
  <c r="B1779" i="6"/>
  <c r="B1778" i="6"/>
  <c r="B1777" i="6"/>
  <c r="B1776" i="6"/>
  <c r="B1775" i="6"/>
  <c r="B1774" i="6"/>
  <c r="B1773" i="6"/>
  <c r="B1772" i="6"/>
  <c r="B1771" i="6"/>
  <c r="B1770" i="6"/>
  <c r="B1769" i="6"/>
  <c r="B1768" i="6"/>
  <c r="B1767" i="6"/>
  <c r="B1766" i="6"/>
  <c r="B1765" i="6"/>
  <c r="B1764" i="6"/>
  <c r="B1763" i="6"/>
  <c r="B1762" i="6"/>
  <c r="B1761" i="6"/>
  <c r="B1760" i="6"/>
  <c r="B1759" i="6"/>
  <c r="B1758" i="6"/>
  <c r="B1757" i="6"/>
  <c r="B1756" i="6"/>
  <c r="B1755" i="6"/>
  <c r="B1754" i="6"/>
  <c r="B1753" i="6"/>
  <c r="B1752" i="6"/>
  <c r="B1751" i="6"/>
  <c r="B1750" i="6"/>
  <c r="B1749" i="6"/>
  <c r="B1748" i="6"/>
  <c r="B1747" i="6"/>
  <c r="B1746" i="6"/>
  <c r="B1745" i="6"/>
  <c r="B1744" i="6"/>
  <c r="B1743" i="6"/>
  <c r="B1742" i="6"/>
  <c r="B1741" i="6"/>
  <c r="B1740" i="6"/>
  <c r="B1739" i="6"/>
  <c r="B1738" i="6"/>
  <c r="B1737" i="6"/>
  <c r="B1736" i="6"/>
  <c r="B1735" i="6"/>
  <c r="B1734" i="6"/>
  <c r="B1733" i="6"/>
  <c r="B1732" i="6"/>
  <c r="B1731" i="6"/>
  <c r="B1730" i="6"/>
  <c r="B1729" i="6"/>
  <c r="B1728" i="6"/>
  <c r="B1727" i="6"/>
  <c r="B1726" i="6"/>
  <c r="B1725" i="6"/>
  <c r="B1724" i="6"/>
  <c r="B1723" i="6"/>
  <c r="B1722" i="6"/>
  <c r="B1721" i="6"/>
  <c r="B1720" i="6"/>
  <c r="B1719" i="6"/>
  <c r="B1718" i="6"/>
  <c r="B1717" i="6"/>
  <c r="B1716" i="6"/>
  <c r="B1715" i="6"/>
  <c r="B1714" i="6"/>
  <c r="B1713" i="6"/>
  <c r="B1712" i="6"/>
  <c r="B1711" i="6"/>
  <c r="B1710" i="6"/>
  <c r="B1709" i="6"/>
  <c r="B1708" i="6"/>
  <c r="B1707" i="6"/>
  <c r="B1706" i="6"/>
  <c r="B1705" i="6"/>
  <c r="B1704" i="6"/>
  <c r="B1703" i="6"/>
  <c r="B1702" i="6"/>
  <c r="B1701" i="6"/>
  <c r="B1700" i="6"/>
  <c r="B1699" i="6"/>
  <c r="B1698" i="6"/>
  <c r="B1697" i="6"/>
  <c r="B1696" i="6"/>
  <c r="B1695" i="6"/>
  <c r="B1694" i="6"/>
  <c r="B1693" i="6"/>
  <c r="B1692" i="6"/>
  <c r="B1691" i="6"/>
  <c r="B1690" i="6"/>
  <c r="B1689" i="6"/>
  <c r="B1688" i="6"/>
  <c r="B1687" i="6"/>
  <c r="B1686" i="6"/>
  <c r="B1685" i="6"/>
  <c r="B1684" i="6"/>
  <c r="B1683" i="6"/>
  <c r="B1682" i="6"/>
  <c r="B1681" i="6"/>
  <c r="B1680" i="6"/>
  <c r="B1679" i="6"/>
  <c r="B1678" i="6"/>
  <c r="B1677" i="6"/>
  <c r="B1676" i="6"/>
  <c r="B1675" i="6"/>
  <c r="B1674" i="6"/>
  <c r="B1673" i="6"/>
  <c r="B1672" i="6"/>
  <c r="B1671" i="6"/>
  <c r="B1670" i="6"/>
  <c r="B1669" i="6"/>
  <c r="B1668" i="6"/>
  <c r="B1667" i="6"/>
  <c r="B1666" i="6"/>
  <c r="B1665" i="6"/>
  <c r="B1664" i="6"/>
  <c r="B1663" i="6"/>
  <c r="B1662" i="6"/>
  <c r="B1661" i="6"/>
  <c r="B1660" i="6"/>
  <c r="B1659" i="6"/>
  <c r="B1658" i="6"/>
  <c r="B1657" i="6"/>
  <c r="B1656" i="6"/>
  <c r="B1655" i="6"/>
  <c r="B1654" i="6"/>
  <c r="B1653" i="6"/>
  <c r="B1652" i="6"/>
  <c r="B1651" i="6"/>
  <c r="B1650" i="6"/>
  <c r="B1649" i="6"/>
  <c r="B1648" i="6"/>
  <c r="B1647" i="6"/>
  <c r="B1646" i="6"/>
  <c r="B1645" i="6"/>
  <c r="B1644" i="6"/>
  <c r="B1643" i="6"/>
  <c r="B1642" i="6"/>
  <c r="B1641" i="6"/>
  <c r="B1640" i="6"/>
  <c r="B1639" i="6"/>
  <c r="B1638" i="6"/>
  <c r="B1637" i="6"/>
  <c r="B1636" i="6"/>
  <c r="B1635" i="6"/>
  <c r="B1634" i="6"/>
  <c r="B1633" i="6"/>
  <c r="B1632" i="6"/>
  <c r="B1631" i="6"/>
  <c r="B1630" i="6"/>
  <c r="B1629" i="6"/>
  <c r="B1628" i="6"/>
  <c r="B1627" i="6"/>
  <c r="B1626" i="6"/>
  <c r="B1625" i="6"/>
  <c r="B1624" i="6"/>
  <c r="B1623" i="6"/>
  <c r="B1622" i="6"/>
  <c r="B1621" i="6"/>
  <c r="B1620" i="6"/>
  <c r="B1619" i="6"/>
  <c r="B1618" i="6"/>
  <c r="B1617" i="6"/>
  <c r="B1616" i="6"/>
  <c r="B1615" i="6"/>
  <c r="B1614" i="6"/>
  <c r="B1613" i="6"/>
  <c r="B1612" i="6"/>
  <c r="B1611" i="6"/>
  <c r="B1610" i="6"/>
  <c r="B1609" i="6"/>
  <c r="B1608" i="6"/>
  <c r="B1607" i="6"/>
  <c r="B1606" i="6"/>
  <c r="B1605" i="6"/>
  <c r="B1604" i="6"/>
  <c r="B1603" i="6"/>
  <c r="B1602" i="6"/>
  <c r="B1601" i="6"/>
  <c r="B1600" i="6"/>
  <c r="B1599" i="6"/>
  <c r="B1598" i="6"/>
  <c r="B1597" i="6"/>
  <c r="B1596" i="6"/>
  <c r="B1595" i="6"/>
  <c r="B1594" i="6"/>
  <c r="B1593" i="6"/>
  <c r="B1592" i="6"/>
  <c r="B1591" i="6"/>
  <c r="B1590" i="6"/>
  <c r="B1589" i="6"/>
  <c r="B1588" i="6"/>
  <c r="B1587" i="6"/>
  <c r="B1586" i="6"/>
  <c r="B1585" i="6"/>
  <c r="B1584" i="6"/>
  <c r="B1583" i="6"/>
  <c r="B1582" i="6"/>
  <c r="B1581" i="6"/>
  <c r="B1580" i="6"/>
  <c r="B1579" i="6"/>
  <c r="B1578" i="6"/>
  <c r="B1577" i="6"/>
  <c r="B1576" i="6"/>
  <c r="B1575" i="6"/>
  <c r="B1574" i="6"/>
  <c r="B1573" i="6"/>
  <c r="B1572" i="6"/>
  <c r="B1571" i="6"/>
  <c r="B1570" i="6"/>
  <c r="B1569" i="6"/>
  <c r="B1568" i="6"/>
  <c r="B1567" i="6"/>
  <c r="B1566" i="6"/>
  <c r="B1565" i="6"/>
  <c r="B1564" i="6"/>
  <c r="B1563" i="6"/>
  <c r="B1562" i="6"/>
  <c r="B1561" i="6"/>
  <c r="B1560" i="6"/>
  <c r="B1559" i="6"/>
  <c r="B1558" i="6"/>
  <c r="B1557" i="6"/>
  <c r="B1556" i="6"/>
  <c r="B1555" i="6"/>
  <c r="B1554" i="6"/>
  <c r="B1553" i="6"/>
  <c r="B1552" i="6"/>
  <c r="B1551" i="6"/>
  <c r="B1550" i="6"/>
  <c r="B1549" i="6"/>
  <c r="B1548" i="6"/>
  <c r="B1547" i="6"/>
  <c r="B1546" i="6"/>
  <c r="B1545" i="6"/>
  <c r="B1544" i="6"/>
  <c r="B1543" i="6"/>
  <c r="B1542" i="6"/>
  <c r="B1541" i="6"/>
  <c r="B1540" i="6"/>
  <c r="B1539" i="6"/>
  <c r="B1538" i="6"/>
  <c r="B1537" i="6"/>
  <c r="B1536" i="6"/>
  <c r="B1535" i="6"/>
  <c r="B1534" i="6"/>
  <c r="B1533" i="6"/>
  <c r="B1532" i="6"/>
  <c r="B1531" i="6"/>
  <c r="B1530" i="6"/>
  <c r="B1529" i="6"/>
  <c r="B1528" i="6"/>
  <c r="B1527" i="6"/>
  <c r="B1526" i="6"/>
  <c r="B1525" i="6"/>
  <c r="B1524" i="6"/>
  <c r="B1523" i="6"/>
  <c r="B1522" i="6"/>
  <c r="B1521" i="6"/>
  <c r="B1520" i="6"/>
  <c r="B1519" i="6"/>
  <c r="B1518" i="6"/>
  <c r="B1517" i="6"/>
  <c r="B1516" i="6"/>
  <c r="B1515" i="6"/>
  <c r="B1514" i="6"/>
  <c r="B1513" i="6"/>
  <c r="B1512" i="6"/>
  <c r="B1511" i="6"/>
  <c r="B1510" i="6"/>
  <c r="B1509" i="6"/>
  <c r="B1508" i="6"/>
  <c r="B1507" i="6"/>
  <c r="B1506" i="6"/>
  <c r="B1505" i="6"/>
  <c r="B1504" i="6"/>
  <c r="B1503" i="6"/>
  <c r="B1502" i="6"/>
  <c r="B1501" i="6"/>
  <c r="B1500" i="6"/>
  <c r="B1499" i="6"/>
  <c r="B1498" i="6"/>
  <c r="B1497" i="6"/>
  <c r="B1496" i="6"/>
  <c r="B1495" i="6"/>
  <c r="B1494" i="6"/>
  <c r="B1493" i="6"/>
  <c r="B1492" i="6"/>
  <c r="B1491" i="6"/>
  <c r="B1490" i="6"/>
  <c r="B1489" i="6"/>
  <c r="B1488" i="6"/>
  <c r="B1487" i="6"/>
  <c r="B1486" i="6"/>
  <c r="B1485" i="6"/>
  <c r="B1484" i="6"/>
  <c r="B1483" i="6"/>
  <c r="B1482" i="6"/>
  <c r="B1481" i="6"/>
  <c r="B1480" i="6"/>
  <c r="B1479" i="6"/>
  <c r="B1478" i="6"/>
  <c r="B1477" i="6"/>
  <c r="B1476" i="6"/>
  <c r="B1475" i="6"/>
  <c r="B1474" i="6"/>
  <c r="B1473" i="6"/>
  <c r="B1472" i="6"/>
  <c r="B1471" i="6"/>
  <c r="B1470" i="6"/>
  <c r="B1469" i="6"/>
  <c r="B1468" i="6"/>
  <c r="B1467" i="6"/>
  <c r="B1466" i="6"/>
  <c r="B1465" i="6"/>
  <c r="B1464" i="6"/>
  <c r="B1463" i="6"/>
  <c r="B1462" i="6"/>
  <c r="B1461" i="6"/>
  <c r="B1460" i="6"/>
  <c r="B1459" i="6"/>
  <c r="B1458" i="6"/>
  <c r="B1457" i="6"/>
  <c r="B1456" i="6"/>
  <c r="B1455" i="6"/>
  <c r="B1454" i="6"/>
  <c r="B1453" i="6"/>
  <c r="B1452" i="6"/>
  <c r="B1451" i="6"/>
  <c r="B1450" i="6"/>
  <c r="B1449" i="6"/>
  <c r="B1448" i="6"/>
  <c r="B1447" i="6"/>
  <c r="B1446" i="6"/>
  <c r="B1445" i="6"/>
  <c r="B1444" i="6"/>
  <c r="B1443" i="6"/>
  <c r="B1442" i="6"/>
  <c r="B1441" i="6"/>
  <c r="B1440" i="6"/>
  <c r="B1439" i="6"/>
  <c r="B1438" i="6"/>
  <c r="B1437" i="6"/>
  <c r="B1436" i="6"/>
  <c r="B1435" i="6"/>
  <c r="B1434" i="6"/>
  <c r="B1433" i="6"/>
  <c r="B1432" i="6"/>
  <c r="B1431" i="6"/>
  <c r="B1430" i="6"/>
  <c r="B1429" i="6"/>
  <c r="B1428" i="6"/>
  <c r="B1427" i="6"/>
  <c r="B1426" i="6"/>
  <c r="B1425" i="6"/>
  <c r="B1424" i="6"/>
  <c r="B1423" i="6"/>
  <c r="B1422" i="6"/>
  <c r="B1421" i="6"/>
  <c r="B1420" i="6"/>
  <c r="B1419" i="6"/>
  <c r="B1418" i="6"/>
  <c r="B1417" i="6"/>
  <c r="B1416" i="6"/>
  <c r="B1415" i="6"/>
  <c r="B1414" i="6"/>
  <c r="B1413" i="6"/>
  <c r="B1412" i="6"/>
  <c r="B1411" i="6"/>
  <c r="B1410" i="6"/>
  <c r="B1409" i="6"/>
  <c r="B1408" i="6"/>
  <c r="B1407" i="6"/>
  <c r="B1406" i="6"/>
  <c r="B1405" i="6"/>
  <c r="B1404" i="6"/>
  <c r="B1403" i="6"/>
  <c r="B1402" i="6"/>
  <c r="B1401" i="6"/>
  <c r="B1400" i="6"/>
  <c r="B1399" i="6"/>
  <c r="B1398" i="6"/>
  <c r="B1397" i="6"/>
  <c r="B1396" i="6"/>
  <c r="B1395" i="6"/>
  <c r="B1394" i="6"/>
  <c r="B1393" i="6"/>
  <c r="B1392" i="6"/>
  <c r="B1391" i="6"/>
  <c r="B1390" i="6"/>
  <c r="B1389" i="6"/>
  <c r="B1388" i="6"/>
  <c r="B1387" i="6"/>
  <c r="B1386" i="6"/>
  <c r="B1385" i="6"/>
  <c r="B1384" i="6"/>
  <c r="B1383" i="6"/>
  <c r="B1382" i="6"/>
  <c r="B1381" i="6"/>
  <c r="B1380" i="6"/>
  <c r="B1379" i="6"/>
  <c r="B1378" i="6"/>
  <c r="B1377" i="6"/>
  <c r="B1376" i="6"/>
  <c r="B1375" i="6"/>
  <c r="B1374" i="6"/>
  <c r="B1373" i="6"/>
  <c r="B1372" i="6"/>
  <c r="B1371" i="6"/>
  <c r="B1370" i="6"/>
  <c r="B1369" i="6"/>
  <c r="B1368" i="6"/>
  <c r="B1367" i="6"/>
  <c r="B1366" i="6"/>
  <c r="B1365" i="6"/>
  <c r="B1364" i="6"/>
  <c r="B1363" i="6"/>
  <c r="B1362" i="6"/>
  <c r="B1361" i="6"/>
  <c r="B1360" i="6"/>
  <c r="B1359" i="6"/>
  <c r="B1358" i="6"/>
  <c r="B1357" i="6"/>
  <c r="B1356" i="6"/>
  <c r="B1355" i="6"/>
  <c r="B1354" i="6"/>
  <c r="B1353" i="6"/>
  <c r="B1352" i="6"/>
  <c r="B1351" i="6"/>
  <c r="B1350" i="6"/>
  <c r="B1349" i="6"/>
  <c r="B1348" i="6"/>
  <c r="B1347" i="6"/>
  <c r="B1346" i="6"/>
  <c r="B1345" i="6"/>
  <c r="B1344" i="6"/>
  <c r="B1343" i="6"/>
  <c r="B1342" i="6"/>
  <c r="B1341" i="6"/>
  <c r="B1340" i="6"/>
  <c r="B1339" i="6"/>
  <c r="B1338" i="6"/>
  <c r="B1337" i="6"/>
  <c r="B1336" i="6"/>
  <c r="B1335" i="6"/>
  <c r="B1334" i="6"/>
  <c r="B1333" i="6"/>
  <c r="B1332" i="6"/>
  <c r="B1331" i="6"/>
  <c r="B1330" i="6"/>
  <c r="B1329" i="6"/>
  <c r="B1328" i="6"/>
  <c r="B1327" i="6"/>
  <c r="B1326" i="6"/>
  <c r="B1325" i="6"/>
  <c r="B1324" i="6"/>
  <c r="B1323" i="6"/>
  <c r="B1322" i="6"/>
  <c r="B1321" i="6"/>
  <c r="B1320" i="6"/>
  <c r="B1319" i="6"/>
  <c r="B1318" i="6"/>
  <c r="B1317" i="6"/>
  <c r="B1316" i="6"/>
  <c r="B1315" i="6"/>
  <c r="B1314" i="6"/>
  <c r="B1313" i="6"/>
  <c r="B1312" i="6"/>
  <c r="B1311" i="6"/>
  <c r="B1310" i="6"/>
  <c r="B1309" i="6"/>
  <c r="B1308" i="6"/>
  <c r="B1307" i="6"/>
  <c r="B1306" i="6"/>
  <c r="B1305" i="6"/>
  <c r="B1304" i="6"/>
  <c r="B1303" i="6"/>
  <c r="B1302" i="6"/>
  <c r="B1301" i="6"/>
  <c r="B1300" i="6"/>
  <c r="B1299" i="6"/>
  <c r="B1298" i="6"/>
  <c r="B1297" i="6"/>
  <c r="B1296" i="6"/>
  <c r="B1295" i="6"/>
  <c r="B1294" i="6"/>
  <c r="B1293" i="6"/>
  <c r="B1292" i="6"/>
  <c r="B1291" i="6"/>
  <c r="B1290" i="6"/>
  <c r="B1289" i="6"/>
  <c r="B1288" i="6"/>
  <c r="B1287" i="6"/>
  <c r="B1286" i="6"/>
  <c r="B1285" i="6"/>
  <c r="B1284" i="6"/>
  <c r="B1283" i="6"/>
  <c r="B1282" i="6"/>
  <c r="B1281" i="6"/>
  <c r="B1280" i="6"/>
  <c r="B1279" i="6"/>
  <c r="B1278" i="6"/>
  <c r="B1277" i="6"/>
  <c r="B1276" i="6"/>
  <c r="B1275" i="6"/>
  <c r="B1274" i="6"/>
  <c r="B1273" i="6"/>
  <c r="B1272" i="6"/>
  <c r="B1271" i="6"/>
  <c r="B1270" i="6"/>
  <c r="B1269" i="6"/>
  <c r="B1268" i="6"/>
  <c r="B1267" i="6"/>
  <c r="B1266" i="6"/>
  <c r="B1265" i="6"/>
  <c r="B1264" i="6"/>
  <c r="B1263" i="6"/>
  <c r="B1262" i="6"/>
  <c r="B1261" i="6"/>
  <c r="B1260" i="6"/>
  <c r="B1259" i="6"/>
  <c r="B1258" i="6"/>
  <c r="B1257" i="6"/>
  <c r="B1256" i="6"/>
  <c r="B1255" i="6"/>
  <c r="B1254" i="6"/>
  <c r="B1253" i="6"/>
  <c r="B1252" i="6"/>
  <c r="B1251" i="6"/>
  <c r="B1250" i="6"/>
  <c r="B1249" i="6"/>
  <c r="B1248" i="6"/>
  <c r="B1247" i="6"/>
  <c r="B1246" i="6"/>
  <c r="B1245" i="6"/>
  <c r="B1244" i="6"/>
  <c r="B1243" i="6"/>
  <c r="B1242" i="6"/>
  <c r="B1241" i="6"/>
  <c r="B1240" i="6"/>
  <c r="B1239" i="6"/>
  <c r="B1238" i="6"/>
  <c r="B1237" i="6"/>
  <c r="B1236" i="6"/>
  <c r="B1235" i="6"/>
  <c r="B1234" i="6"/>
  <c r="B1233" i="6"/>
  <c r="B1232" i="6"/>
  <c r="B1231" i="6"/>
  <c r="B1230" i="6"/>
  <c r="B1229" i="6"/>
  <c r="B1228" i="6"/>
  <c r="B1227" i="6"/>
  <c r="B1226" i="6"/>
  <c r="B1225" i="6"/>
  <c r="B1224" i="6"/>
  <c r="B1223" i="6"/>
  <c r="B1222" i="6"/>
  <c r="B1221" i="6"/>
  <c r="B1220" i="6"/>
  <c r="B1219" i="6"/>
  <c r="B1218" i="6"/>
  <c r="B1217" i="6"/>
  <c r="B1216" i="6"/>
  <c r="B1215" i="6"/>
  <c r="B1214" i="6"/>
  <c r="B1213" i="6"/>
  <c r="B1212" i="6"/>
  <c r="B1211" i="6"/>
  <c r="B1210" i="6"/>
  <c r="B1209" i="6"/>
  <c r="B1208" i="6"/>
  <c r="B1207" i="6"/>
  <c r="B1206" i="6"/>
  <c r="B1205" i="6"/>
  <c r="B1204" i="6"/>
  <c r="B1203" i="6"/>
  <c r="B1202" i="6"/>
  <c r="B1201" i="6"/>
  <c r="B1200" i="6"/>
  <c r="B1199" i="6"/>
  <c r="B1198" i="6"/>
  <c r="B1197" i="6"/>
  <c r="B1196" i="6"/>
  <c r="B1195" i="6"/>
  <c r="B1194" i="6"/>
  <c r="B1193" i="6"/>
  <c r="B1192" i="6"/>
  <c r="B1191" i="6"/>
  <c r="B1190" i="6"/>
  <c r="B1189" i="6"/>
  <c r="B1188" i="6"/>
  <c r="B1187" i="6"/>
  <c r="B1186" i="6"/>
  <c r="B1185" i="6"/>
  <c r="B1184" i="6"/>
  <c r="B1183" i="6"/>
  <c r="B1182" i="6"/>
  <c r="B1181" i="6"/>
  <c r="B1180" i="6"/>
  <c r="B1179" i="6"/>
  <c r="B1178" i="6"/>
  <c r="B1177" i="6"/>
  <c r="B1176" i="6"/>
  <c r="B1175" i="6"/>
  <c r="B1174" i="6"/>
  <c r="B1173" i="6"/>
  <c r="B1172" i="6"/>
  <c r="B1171" i="6"/>
  <c r="B1170" i="6"/>
  <c r="B1169" i="6"/>
  <c r="B1168" i="6"/>
  <c r="B1167" i="6"/>
  <c r="B1166" i="6"/>
  <c r="B1165" i="6"/>
  <c r="B1164" i="6"/>
  <c r="B1163" i="6"/>
  <c r="B1162" i="6"/>
  <c r="B1161" i="6"/>
  <c r="B1160" i="6"/>
  <c r="B1159" i="6"/>
  <c r="B1158" i="6"/>
  <c r="B1157" i="6"/>
  <c r="B1156" i="6"/>
  <c r="B1155" i="6"/>
  <c r="B1154" i="6"/>
  <c r="B1153" i="6"/>
  <c r="B1152" i="6"/>
  <c r="B1151" i="6"/>
  <c r="B1150" i="6"/>
  <c r="B1149" i="6"/>
  <c r="B1148" i="6"/>
  <c r="B1147" i="6"/>
  <c r="B1146" i="6"/>
  <c r="B1145" i="6"/>
  <c r="B1144" i="6"/>
  <c r="B1143" i="6"/>
  <c r="B1142" i="6"/>
  <c r="B1141" i="6"/>
  <c r="B1140" i="6"/>
  <c r="B1139" i="6"/>
  <c r="B1138" i="6"/>
  <c r="B1137" i="6"/>
  <c r="B1136" i="6"/>
  <c r="B1135" i="6"/>
  <c r="B1134" i="6"/>
  <c r="B1133" i="6"/>
  <c r="B1132" i="6"/>
  <c r="B1131" i="6"/>
  <c r="B1130" i="6"/>
  <c r="B1129" i="6"/>
  <c r="B1128" i="6"/>
  <c r="B1127" i="6"/>
  <c r="B1126" i="6"/>
  <c r="B1125" i="6"/>
  <c r="B1124" i="6"/>
  <c r="B1123" i="6"/>
  <c r="B1122" i="6"/>
  <c r="B1121" i="6"/>
  <c r="B1120" i="6"/>
  <c r="B1119" i="6"/>
  <c r="B1118" i="6"/>
  <c r="B1117" i="6"/>
  <c r="B1116" i="6"/>
  <c r="B1115" i="6"/>
  <c r="B1114" i="6"/>
  <c r="B1113" i="6"/>
  <c r="B1112" i="6"/>
  <c r="B1111" i="6"/>
  <c r="B1110" i="6"/>
  <c r="B1109" i="6"/>
  <c r="B1108" i="6"/>
  <c r="B1107" i="6"/>
  <c r="B1106" i="6"/>
  <c r="B1105" i="6"/>
  <c r="B1104" i="6"/>
  <c r="B1103" i="6"/>
  <c r="B1102" i="6"/>
  <c r="B1101" i="6"/>
  <c r="B1100" i="6"/>
  <c r="B1099" i="6"/>
  <c r="B1098" i="6"/>
  <c r="B1097" i="6"/>
  <c r="B1096" i="6"/>
  <c r="B1095" i="6"/>
  <c r="B1094" i="6"/>
  <c r="B1093" i="6"/>
  <c r="B1092" i="6"/>
  <c r="B1091" i="6"/>
  <c r="B1090" i="6"/>
  <c r="B1089" i="6"/>
  <c r="B1088" i="6"/>
  <c r="B1087" i="6"/>
  <c r="B1086" i="6"/>
  <c r="B1085" i="6"/>
  <c r="B1084" i="6"/>
  <c r="B1083" i="6"/>
  <c r="B1082" i="6"/>
  <c r="B1081" i="6"/>
  <c r="B1080" i="6"/>
  <c r="B1079" i="6"/>
  <c r="B1078" i="6"/>
  <c r="B1077" i="6"/>
  <c r="B1076" i="6"/>
  <c r="B1075" i="6"/>
  <c r="B1074" i="6"/>
  <c r="B1073" i="6"/>
  <c r="B1072" i="6"/>
  <c r="B1071" i="6"/>
  <c r="B1070" i="6"/>
  <c r="B1069" i="6"/>
  <c r="B1068" i="6"/>
  <c r="B1067" i="6"/>
  <c r="B1066" i="6"/>
  <c r="B1065" i="6"/>
  <c r="B1064" i="6"/>
  <c r="B1063" i="6"/>
  <c r="B1062" i="6"/>
  <c r="B1061" i="6"/>
  <c r="B1060" i="6"/>
  <c r="B1059" i="6"/>
  <c r="B1058" i="6"/>
  <c r="B1057" i="6"/>
  <c r="B1056" i="6"/>
  <c r="B1055" i="6"/>
  <c r="B1054" i="6"/>
  <c r="B1053" i="6"/>
  <c r="B1052" i="6"/>
  <c r="B1051" i="6"/>
  <c r="B1050" i="6"/>
  <c r="B1049" i="6"/>
  <c r="B1048" i="6"/>
  <c r="B1047" i="6"/>
  <c r="B1046" i="6"/>
  <c r="B1045" i="6"/>
  <c r="B1044" i="6"/>
  <c r="B1043" i="6"/>
  <c r="B1042" i="6"/>
  <c r="B1041" i="6"/>
  <c r="B1040" i="6"/>
  <c r="B1039" i="6"/>
  <c r="B1038" i="6"/>
  <c r="B1037" i="6"/>
  <c r="B1036" i="6"/>
  <c r="B1035" i="6"/>
  <c r="B1034" i="6"/>
  <c r="B1033" i="6"/>
  <c r="B1032" i="6"/>
  <c r="B1031" i="6"/>
  <c r="B1030" i="6"/>
  <c r="B1029" i="6"/>
  <c r="B1028" i="6"/>
  <c r="B1027" i="6"/>
  <c r="B1026" i="6"/>
  <c r="B1025" i="6"/>
  <c r="B1024" i="6"/>
  <c r="B1023" i="6"/>
  <c r="B1022" i="6"/>
  <c r="B1021" i="6"/>
  <c r="B1020" i="6"/>
  <c r="B1019" i="6"/>
  <c r="B1018" i="6"/>
  <c r="B1017" i="6"/>
  <c r="B1016" i="6"/>
  <c r="B1015" i="6"/>
  <c r="B1014" i="6"/>
  <c r="B1013" i="6"/>
  <c r="B1012" i="6"/>
  <c r="B1011" i="6"/>
  <c r="B1010" i="6"/>
  <c r="B1009" i="6"/>
  <c r="B1008" i="6"/>
  <c r="B1007" i="6"/>
  <c r="B1006" i="6"/>
  <c r="B1005" i="6"/>
  <c r="B1004" i="6"/>
  <c r="B1003" i="6"/>
  <c r="B1002" i="6"/>
  <c r="B1001" i="6"/>
  <c r="B1000" i="6"/>
  <c r="B999" i="6"/>
  <c r="B998" i="6"/>
  <c r="B997" i="6"/>
  <c r="B996" i="6"/>
  <c r="B995" i="6"/>
  <c r="B994" i="6"/>
  <c r="B993" i="6"/>
  <c r="B992" i="6"/>
  <c r="B991" i="6"/>
  <c r="B990" i="6"/>
  <c r="B989" i="6"/>
  <c r="B988" i="6"/>
  <c r="B987" i="6"/>
  <c r="B986" i="6"/>
  <c r="B985" i="6"/>
  <c r="B984" i="6"/>
  <c r="B983" i="6"/>
  <c r="B982" i="6"/>
  <c r="B981" i="6"/>
  <c r="B980" i="6"/>
  <c r="B979" i="6"/>
  <c r="B978" i="6"/>
  <c r="B977" i="6"/>
  <c r="B976" i="6"/>
  <c r="B975" i="6"/>
  <c r="B974" i="6"/>
  <c r="B973" i="6"/>
  <c r="B972" i="6"/>
  <c r="B971" i="6"/>
  <c r="B970" i="6"/>
  <c r="B969" i="6"/>
  <c r="B968" i="6"/>
  <c r="B967" i="6"/>
  <c r="B966" i="6"/>
  <c r="B965" i="6"/>
  <c r="B964" i="6"/>
  <c r="B963" i="6"/>
  <c r="B962" i="6"/>
  <c r="B961" i="6"/>
  <c r="B960" i="6"/>
  <c r="B959" i="6"/>
  <c r="B958" i="6"/>
  <c r="B957" i="6"/>
  <c r="B956" i="6"/>
  <c r="B955" i="6"/>
  <c r="B954" i="6"/>
  <c r="B953" i="6"/>
  <c r="B952" i="6"/>
  <c r="B951" i="6"/>
  <c r="B950" i="6"/>
  <c r="B949" i="6"/>
  <c r="B948" i="6"/>
  <c r="B947" i="6"/>
  <c r="B946" i="6"/>
  <c r="B945" i="6"/>
  <c r="B944" i="6"/>
  <c r="B943" i="6"/>
  <c r="B942" i="6"/>
  <c r="B941" i="6"/>
  <c r="B940" i="6"/>
  <c r="B939" i="6"/>
  <c r="B938" i="6"/>
  <c r="B937" i="6"/>
  <c r="B936" i="6"/>
  <c r="B935" i="6"/>
  <c r="B934" i="6"/>
  <c r="B933" i="6"/>
  <c r="B932" i="6"/>
  <c r="B931" i="6"/>
  <c r="B930" i="6"/>
  <c r="B929" i="6"/>
  <c r="B928" i="6"/>
  <c r="B927" i="6"/>
  <c r="B926" i="6"/>
  <c r="B925" i="6"/>
  <c r="B924" i="6"/>
  <c r="B923" i="6"/>
  <c r="B922" i="6"/>
  <c r="B921" i="6"/>
  <c r="B920" i="6"/>
  <c r="B919" i="6"/>
  <c r="B918" i="6"/>
  <c r="B917" i="6"/>
  <c r="B916" i="6"/>
  <c r="B915" i="6"/>
  <c r="B914" i="6"/>
  <c r="B913" i="6"/>
  <c r="B912" i="6"/>
  <c r="B911" i="6"/>
  <c r="B910" i="6"/>
  <c r="B909" i="6"/>
  <c r="B908" i="6"/>
  <c r="B907" i="6"/>
  <c r="B906" i="6"/>
  <c r="B905" i="6"/>
  <c r="B904" i="6"/>
  <c r="B903" i="6"/>
  <c r="B902" i="6"/>
  <c r="B901" i="6"/>
  <c r="B900" i="6"/>
  <c r="B899" i="6"/>
  <c r="B898" i="6"/>
  <c r="B897" i="6"/>
  <c r="B896" i="6"/>
  <c r="B895" i="6"/>
  <c r="B894" i="6"/>
  <c r="B893" i="6"/>
  <c r="B892" i="6"/>
  <c r="B891" i="6"/>
  <c r="B890" i="6"/>
  <c r="B889" i="6"/>
  <c r="B888" i="6"/>
  <c r="B887" i="6"/>
  <c r="B886" i="6"/>
  <c r="B885" i="6"/>
  <c r="B884" i="6"/>
  <c r="B883" i="6"/>
  <c r="B882" i="6"/>
  <c r="B881" i="6"/>
  <c r="B880" i="6"/>
  <c r="B879" i="6"/>
  <c r="B878" i="6"/>
  <c r="B877" i="6"/>
  <c r="B876" i="6"/>
  <c r="B875" i="6"/>
  <c r="B874" i="6"/>
  <c r="B873" i="6"/>
  <c r="B872" i="6"/>
  <c r="B871" i="6"/>
  <c r="B870" i="6"/>
  <c r="B869" i="6"/>
  <c r="B868" i="6"/>
  <c r="B867" i="6"/>
  <c r="B866" i="6"/>
  <c r="B865" i="6"/>
  <c r="B864" i="6"/>
  <c r="B863" i="6"/>
  <c r="B862" i="6"/>
  <c r="B861" i="6"/>
  <c r="B860" i="6"/>
  <c r="B859" i="6"/>
  <c r="B858" i="6"/>
  <c r="B857" i="6"/>
  <c r="B856" i="6"/>
  <c r="B855" i="6"/>
  <c r="B854" i="6"/>
  <c r="B853" i="6"/>
  <c r="B852" i="6"/>
  <c r="B851" i="6"/>
  <c r="B850" i="6"/>
  <c r="B849" i="6"/>
  <c r="B848" i="6"/>
  <c r="B847" i="6"/>
  <c r="B846" i="6"/>
  <c r="B845" i="6"/>
  <c r="B844" i="6"/>
  <c r="B843" i="6"/>
  <c r="B842" i="6"/>
  <c r="B841" i="6"/>
  <c r="B840" i="6"/>
  <c r="B839" i="6"/>
  <c r="B838" i="6"/>
  <c r="B837" i="6"/>
  <c r="B836" i="6"/>
  <c r="B835" i="6"/>
  <c r="B834" i="6"/>
  <c r="B833" i="6"/>
  <c r="B832" i="6"/>
  <c r="B831" i="6"/>
  <c r="B830" i="6"/>
  <c r="B829" i="6"/>
  <c r="B828" i="6"/>
  <c r="B827" i="6"/>
  <c r="B826" i="6"/>
  <c r="B825" i="6"/>
  <c r="B824" i="6"/>
  <c r="B823" i="6"/>
  <c r="B822" i="6"/>
  <c r="B821" i="6"/>
  <c r="B820" i="6"/>
  <c r="B819" i="6"/>
  <c r="B818" i="6"/>
  <c r="B817" i="6"/>
  <c r="B816" i="6"/>
  <c r="B815" i="6"/>
  <c r="B814" i="6"/>
  <c r="B813" i="6"/>
  <c r="B812" i="6"/>
  <c r="B811" i="6"/>
  <c r="B810" i="6"/>
  <c r="B809" i="6"/>
  <c r="B808" i="6"/>
  <c r="B807" i="6"/>
  <c r="B806" i="6"/>
  <c r="B805" i="6"/>
  <c r="B804" i="6"/>
  <c r="B803" i="6"/>
  <c r="B802" i="6"/>
  <c r="B801" i="6"/>
  <c r="B800" i="6"/>
  <c r="B799" i="6"/>
  <c r="B798" i="6"/>
  <c r="B797" i="6"/>
  <c r="B796" i="6"/>
  <c r="B795" i="6"/>
  <c r="B794" i="6"/>
  <c r="B793" i="6"/>
  <c r="B792" i="6"/>
  <c r="B791" i="6"/>
  <c r="B790" i="6"/>
  <c r="B789" i="6"/>
  <c r="B788" i="6"/>
  <c r="B787" i="6"/>
  <c r="B786" i="6"/>
  <c r="B785" i="6"/>
  <c r="B784" i="6"/>
  <c r="B783" i="6"/>
  <c r="B782" i="6"/>
  <c r="B781" i="6"/>
  <c r="B780" i="6"/>
  <c r="B779" i="6"/>
  <c r="B778" i="6"/>
  <c r="B777" i="6"/>
  <c r="B776" i="6"/>
  <c r="B775" i="6"/>
  <c r="B774" i="6"/>
  <c r="B773" i="6"/>
  <c r="B772" i="6"/>
  <c r="B771" i="6"/>
  <c r="B770" i="6"/>
  <c r="B769" i="6"/>
  <c r="B768" i="6"/>
  <c r="B767" i="6"/>
  <c r="B766" i="6"/>
  <c r="B765" i="6"/>
  <c r="B764" i="6"/>
  <c r="B763" i="6"/>
  <c r="B762" i="6"/>
  <c r="B761" i="6"/>
  <c r="B760" i="6"/>
  <c r="B759" i="6"/>
  <c r="B758" i="6"/>
  <c r="B757" i="6"/>
  <c r="B756" i="6"/>
  <c r="B755" i="6"/>
  <c r="B754" i="6"/>
  <c r="B753" i="6"/>
  <c r="B752" i="6"/>
  <c r="B751" i="6"/>
  <c r="B750" i="6"/>
  <c r="B749" i="6"/>
  <c r="B748" i="6"/>
  <c r="B747" i="6"/>
  <c r="B746" i="6"/>
  <c r="B745" i="6"/>
  <c r="B744" i="6"/>
  <c r="B743" i="6"/>
  <c r="B742" i="6"/>
  <c r="B741" i="6"/>
  <c r="B740" i="6"/>
  <c r="B739" i="6"/>
  <c r="B738" i="6"/>
  <c r="B737" i="6"/>
  <c r="B736" i="6"/>
  <c r="B735" i="6"/>
  <c r="B734" i="6"/>
  <c r="B733" i="6"/>
  <c r="B732" i="6"/>
  <c r="B731" i="6"/>
  <c r="B730" i="6"/>
  <c r="B729" i="6"/>
  <c r="B728" i="6"/>
  <c r="B727" i="6"/>
  <c r="B726" i="6"/>
  <c r="B725" i="6"/>
  <c r="B724" i="6"/>
  <c r="B723" i="6"/>
  <c r="B722" i="6"/>
  <c r="B721" i="6"/>
  <c r="B720" i="6"/>
  <c r="B719" i="6"/>
  <c r="B718" i="6"/>
  <c r="B717" i="6"/>
  <c r="B716" i="6"/>
  <c r="B715" i="6"/>
  <c r="B714" i="6"/>
  <c r="B713" i="6"/>
  <c r="B712" i="6"/>
  <c r="B711" i="6"/>
  <c r="B710" i="6"/>
  <c r="B709" i="6"/>
  <c r="B708" i="6"/>
  <c r="B707" i="6"/>
  <c r="B706" i="6"/>
  <c r="B705" i="6"/>
  <c r="B704" i="6"/>
  <c r="B703" i="6"/>
  <c r="B702" i="6"/>
  <c r="B701" i="6"/>
  <c r="B700" i="6"/>
  <c r="B699" i="6"/>
  <c r="B698" i="6"/>
  <c r="B697" i="6"/>
  <c r="B696" i="6"/>
  <c r="B695" i="6"/>
  <c r="B694" i="6"/>
  <c r="B693" i="6"/>
  <c r="B692" i="6"/>
  <c r="B691" i="6"/>
  <c r="B690" i="6"/>
  <c r="B689" i="6"/>
  <c r="B688" i="6"/>
  <c r="B687" i="6"/>
  <c r="B686" i="6"/>
  <c r="B685" i="6"/>
  <c r="B684" i="6"/>
  <c r="B683" i="6"/>
  <c r="B682" i="6"/>
  <c r="B681" i="6"/>
  <c r="B680" i="6"/>
  <c r="B679" i="6"/>
  <c r="B678" i="6"/>
  <c r="B677" i="6"/>
  <c r="B676" i="6"/>
  <c r="B675" i="6"/>
  <c r="B674" i="6"/>
  <c r="B673" i="6"/>
  <c r="B672" i="6"/>
  <c r="B671" i="6"/>
  <c r="B670" i="6"/>
  <c r="B669" i="6"/>
  <c r="B668" i="6"/>
  <c r="B667" i="6"/>
  <c r="B666" i="6"/>
  <c r="B665" i="6"/>
  <c r="B664" i="6"/>
  <c r="B663" i="6"/>
  <c r="B662" i="6"/>
  <c r="B661" i="6"/>
  <c r="B660" i="6"/>
  <c r="B659" i="6"/>
  <c r="B658" i="6"/>
  <c r="B657" i="6"/>
  <c r="B656" i="6"/>
  <c r="B655" i="6"/>
  <c r="B654" i="6"/>
  <c r="B653" i="6"/>
  <c r="B652" i="6"/>
  <c r="B651" i="6"/>
  <c r="B650" i="6"/>
  <c r="B649" i="6"/>
  <c r="B648" i="6"/>
  <c r="B647" i="6"/>
  <c r="B646" i="6"/>
  <c r="B645" i="6"/>
  <c r="B644" i="6"/>
  <c r="B643" i="6"/>
  <c r="B642" i="6"/>
  <c r="B641" i="6"/>
  <c r="B640" i="6"/>
  <c r="B639" i="6"/>
  <c r="B638" i="6"/>
  <c r="B637" i="6"/>
  <c r="B636" i="6"/>
  <c r="B635" i="6"/>
  <c r="B634" i="6"/>
  <c r="B633" i="6"/>
  <c r="B632" i="6"/>
  <c r="B631" i="6"/>
  <c r="B630" i="6"/>
  <c r="B629" i="6"/>
  <c r="B628" i="6"/>
  <c r="B627" i="6"/>
  <c r="B626" i="6"/>
  <c r="B625" i="6"/>
  <c r="B624" i="6"/>
  <c r="B623" i="6"/>
  <c r="B622" i="6"/>
  <c r="B621" i="6"/>
  <c r="B620" i="6"/>
  <c r="B619" i="6"/>
  <c r="B618" i="6"/>
  <c r="B617" i="6"/>
  <c r="B616" i="6"/>
  <c r="B615" i="6"/>
  <c r="B614" i="6"/>
  <c r="B613" i="6"/>
  <c r="B612" i="6"/>
  <c r="B611" i="6"/>
  <c r="B610" i="6"/>
  <c r="B609" i="6"/>
  <c r="B608" i="6"/>
  <c r="B607" i="6"/>
  <c r="B606" i="6"/>
  <c r="B605" i="6"/>
  <c r="B604" i="6"/>
  <c r="B603" i="6"/>
  <c r="B602" i="6"/>
  <c r="B601" i="6"/>
  <c r="B600" i="6"/>
  <c r="B599" i="6"/>
  <c r="B598" i="6"/>
  <c r="B597" i="6"/>
  <c r="B596" i="6"/>
  <c r="B595" i="6"/>
  <c r="B594" i="6"/>
  <c r="B593" i="6"/>
  <c r="B592" i="6"/>
  <c r="B591" i="6"/>
  <c r="B590" i="6"/>
  <c r="B589" i="6"/>
  <c r="B588" i="6"/>
  <c r="B587" i="6"/>
  <c r="B586" i="6"/>
  <c r="B585" i="6"/>
  <c r="B584" i="6"/>
  <c r="B583" i="6"/>
  <c r="B582" i="6"/>
  <c r="B581" i="6"/>
  <c r="B580" i="6"/>
  <c r="B579" i="6"/>
  <c r="B578" i="6"/>
  <c r="B577" i="6"/>
  <c r="B576" i="6"/>
  <c r="B575" i="6"/>
  <c r="B574" i="6"/>
  <c r="B573" i="6"/>
  <c r="B572" i="6"/>
  <c r="B571" i="6"/>
  <c r="B570" i="6"/>
  <c r="B569" i="6"/>
  <c r="B568" i="6"/>
  <c r="B567" i="6"/>
  <c r="B566" i="6"/>
  <c r="B565" i="6"/>
  <c r="B564" i="6"/>
  <c r="B563" i="6"/>
  <c r="B562" i="6"/>
  <c r="B561" i="6"/>
  <c r="B560" i="6"/>
  <c r="B559" i="6"/>
  <c r="B558" i="6"/>
  <c r="B557" i="6"/>
  <c r="B556" i="6"/>
  <c r="B555" i="6"/>
  <c r="B554" i="6"/>
  <c r="B553" i="6"/>
  <c r="B552" i="6"/>
  <c r="B551" i="6"/>
  <c r="B550" i="6"/>
  <c r="B549" i="6"/>
  <c r="B548" i="6"/>
  <c r="B547" i="6"/>
  <c r="B546" i="6"/>
  <c r="B545" i="6"/>
  <c r="B544" i="6"/>
  <c r="B543" i="6"/>
  <c r="B542" i="6"/>
  <c r="B541" i="6"/>
  <c r="B540" i="6"/>
  <c r="B539" i="6"/>
  <c r="B538" i="6"/>
  <c r="B537" i="6"/>
  <c r="B536" i="6"/>
  <c r="B535" i="6"/>
  <c r="B534" i="6"/>
  <c r="B533" i="6"/>
  <c r="B532" i="6"/>
  <c r="B531" i="6"/>
  <c r="B530" i="6"/>
  <c r="B529" i="6"/>
  <c r="B528" i="6"/>
  <c r="B527" i="6"/>
  <c r="B526" i="6"/>
  <c r="B524" i="6"/>
  <c r="B522" i="6"/>
  <c r="B521" i="6"/>
  <c r="B520" i="6"/>
  <c r="B519" i="6"/>
  <c r="B518" i="6"/>
  <c r="B517" i="6"/>
  <c r="B516" i="6"/>
  <c r="B515" i="6"/>
  <c r="B514" i="6"/>
  <c r="B513" i="6"/>
  <c r="B512" i="6"/>
  <c r="B510" i="6"/>
  <c r="B509" i="6"/>
  <c r="B508" i="6"/>
  <c r="B507" i="6"/>
  <c r="B506" i="6"/>
  <c r="B504" i="6"/>
  <c r="B503" i="6"/>
  <c r="B502" i="6"/>
  <c r="B501" i="6"/>
  <c r="B500" i="6"/>
  <c r="B497" i="6"/>
  <c r="B496" i="6"/>
  <c r="B495" i="6"/>
  <c r="B494" i="6"/>
  <c r="B492" i="6"/>
  <c r="B491" i="6"/>
  <c r="B489" i="6"/>
  <c r="B488" i="6"/>
  <c r="B487" i="6"/>
  <c r="B486" i="6"/>
  <c r="B485" i="6"/>
  <c r="B484" i="6"/>
  <c r="B483" i="6"/>
  <c r="B482" i="6"/>
  <c r="B481" i="6"/>
  <c r="B480" i="6"/>
  <c r="B478" i="6"/>
  <c r="B477" i="6"/>
  <c r="B476" i="6"/>
  <c r="B475" i="6"/>
  <c r="B474" i="6"/>
  <c r="B473" i="6"/>
  <c r="B472" i="6"/>
  <c r="B471" i="6"/>
  <c r="B470" i="6"/>
  <c r="B468" i="6"/>
  <c r="B467" i="6"/>
  <c r="B466" i="6"/>
  <c r="B464" i="6"/>
  <c r="B463" i="6"/>
  <c r="B462" i="6"/>
  <c r="B461" i="6"/>
  <c r="B460" i="6"/>
  <c r="B459" i="6"/>
  <c r="B458" i="6"/>
  <c r="B457" i="6"/>
  <c r="B455" i="6"/>
  <c r="B454" i="6"/>
  <c r="B453" i="6"/>
  <c r="B452" i="6"/>
  <c r="B450" i="6"/>
  <c r="B449" i="6"/>
  <c r="B448" i="6"/>
  <c r="B447" i="6"/>
  <c r="B446" i="6"/>
  <c r="B445" i="6"/>
  <c r="B443" i="6"/>
  <c r="B442" i="6"/>
  <c r="B441" i="6"/>
  <c r="B440" i="6"/>
  <c r="B439" i="6"/>
  <c r="B438" i="6"/>
  <c r="B437" i="6"/>
  <c r="B436" i="6"/>
  <c r="B435" i="6"/>
  <c r="B434" i="6"/>
  <c r="B433" i="6"/>
  <c r="B432" i="6"/>
  <c r="B431" i="6"/>
  <c r="B430" i="6"/>
  <c r="B429" i="6"/>
  <c r="B427" i="6"/>
  <c r="B426" i="6"/>
  <c r="B425" i="6"/>
  <c r="B424" i="6"/>
  <c r="B422" i="6"/>
  <c r="B420" i="6"/>
  <c r="B419" i="6"/>
  <c r="B418" i="6"/>
  <c r="B417" i="6"/>
  <c r="B415" i="6"/>
  <c r="B414" i="6"/>
  <c r="B413" i="6"/>
  <c r="B412" i="6"/>
  <c r="B411" i="6"/>
  <c r="B410" i="6"/>
  <c r="B409" i="6"/>
  <c r="B407" i="6"/>
  <c r="B406" i="6"/>
  <c r="B405" i="6"/>
  <c r="B404" i="6"/>
  <c r="B402" i="6"/>
  <c r="B401" i="6"/>
  <c r="B400" i="6"/>
  <c r="B399" i="6"/>
  <c r="B398" i="6"/>
  <c r="B397" i="6"/>
  <c r="B395" i="6"/>
  <c r="B394" i="6"/>
  <c r="B393" i="6"/>
  <c r="B392" i="6"/>
  <c r="B391" i="6"/>
  <c r="B390" i="6"/>
  <c r="B389" i="6"/>
  <c r="B387" i="6"/>
  <c r="B386" i="6"/>
  <c r="B385" i="6"/>
  <c r="B384" i="6"/>
  <c r="B383" i="6"/>
  <c r="B382" i="6"/>
  <c r="B381" i="6"/>
  <c r="B380" i="6"/>
  <c r="B379" i="6"/>
  <c r="B378" i="6"/>
  <c r="B377" i="6"/>
  <c r="B376" i="6"/>
  <c r="B374" i="6"/>
  <c r="B373" i="6"/>
  <c r="B372" i="6"/>
  <c r="B371" i="6"/>
  <c r="B370" i="6"/>
  <c r="B369" i="6"/>
  <c r="B368" i="6"/>
  <c r="B367" i="6"/>
  <c r="B366" i="6"/>
  <c r="B365" i="6"/>
  <c r="B364" i="6"/>
  <c r="B362" i="6"/>
  <c r="B361" i="6"/>
  <c r="B360" i="6"/>
  <c r="B359" i="6"/>
  <c r="B358" i="6"/>
  <c r="B357" i="6"/>
  <c r="B356" i="6"/>
  <c r="B355" i="6"/>
  <c r="B354" i="6"/>
  <c r="B353" i="6"/>
  <c r="B352" i="6"/>
  <c r="B351" i="6"/>
  <c r="B350" i="6"/>
  <c r="B349" i="6"/>
  <c r="B348" i="6"/>
  <c r="B347" i="6"/>
  <c r="B346" i="6"/>
  <c r="B345" i="6"/>
  <c r="B344" i="6"/>
  <c r="B342" i="6"/>
  <c r="B341" i="6"/>
  <c r="B340" i="6"/>
  <c r="B338" i="6"/>
  <c r="B336" i="6"/>
  <c r="B335" i="6"/>
  <c r="B334" i="6"/>
  <c r="B333" i="6"/>
  <c r="B332" i="6"/>
  <c r="B331" i="6"/>
  <c r="B329" i="6"/>
  <c r="B328" i="6"/>
  <c r="B327" i="6"/>
  <c r="B326" i="6"/>
  <c r="B325" i="6"/>
  <c r="B324" i="6"/>
  <c r="B323" i="6"/>
  <c r="B322" i="6"/>
  <c r="B321" i="6"/>
  <c r="B320" i="6"/>
  <c r="B319" i="6"/>
  <c r="B318" i="6"/>
  <c r="B317" i="6"/>
  <c r="B316" i="6"/>
  <c r="B315" i="6"/>
  <c r="B314" i="6"/>
  <c r="B313" i="6"/>
  <c r="B312" i="6"/>
  <c r="B311" i="6"/>
  <c r="B310" i="6"/>
  <c r="B309" i="6"/>
  <c r="B308" i="6"/>
  <c r="B307" i="6"/>
  <c r="B306" i="6"/>
  <c r="B305" i="6"/>
  <c r="B304" i="6"/>
  <c r="B303" i="6"/>
  <c r="B302" i="6"/>
  <c r="B301" i="6"/>
  <c r="B300" i="6"/>
  <c r="B299" i="6"/>
  <c r="B298" i="6"/>
  <c r="B297" i="6"/>
  <c r="B296" i="6"/>
  <c r="B295" i="6"/>
  <c r="B294" i="6"/>
  <c r="B293" i="6"/>
  <c r="B292" i="6"/>
  <c r="B291" i="6"/>
  <c r="B290" i="6"/>
  <c r="B289" i="6"/>
  <c r="B288" i="6"/>
  <c r="B287" i="6"/>
  <c r="B285" i="6"/>
  <c r="B284" i="6"/>
  <c r="B283" i="6"/>
  <c r="B282" i="6"/>
  <c r="B281" i="6"/>
  <c r="B280" i="6"/>
  <c r="B279" i="6"/>
  <c r="B278" i="6"/>
  <c r="B277" i="6"/>
  <c r="B276" i="6"/>
  <c r="B275" i="6"/>
  <c r="B274" i="6"/>
  <c r="B272" i="6"/>
  <c r="B271" i="6"/>
  <c r="B270" i="6"/>
  <c r="B269" i="6"/>
  <c r="B268" i="6"/>
  <c r="B267" i="6"/>
  <c r="B266" i="6"/>
  <c r="B265" i="6"/>
  <c r="B264" i="6"/>
  <c r="B263" i="6"/>
  <c r="B262" i="6"/>
  <c r="B261" i="6"/>
  <c r="B260" i="6"/>
  <c r="B258" i="6"/>
  <c r="B257" i="6"/>
  <c r="B256" i="6"/>
  <c r="B255" i="6"/>
  <c r="B254" i="6"/>
  <c r="B252" i="6"/>
  <c r="B251" i="6"/>
  <c r="B250" i="6"/>
  <c r="B249" i="6"/>
  <c r="B248" i="6"/>
  <c r="B247" i="6"/>
  <c r="B246" i="6"/>
  <c r="B245" i="6"/>
  <c r="B244" i="6"/>
  <c r="B243" i="6"/>
  <c r="B242" i="6"/>
  <c r="B241" i="6"/>
  <c r="B240" i="6"/>
  <c r="B239" i="6"/>
  <c r="B238" i="6"/>
  <c r="B237" i="6"/>
  <c r="B236" i="6"/>
  <c r="B235" i="6"/>
  <c r="B234" i="6"/>
  <c r="B232" i="6"/>
  <c r="B231" i="6"/>
  <c r="B229" i="6"/>
  <c r="B228" i="6"/>
  <c r="B226" i="6"/>
  <c r="B224" i="6"/>
  <c r="B223" i="6"/>
  <c r="B222" i="6"/>
  <c r="B221" i="6"/>
  <c r="B220" i="6"/>
  <c r="B219" i="6"/>
  <c r="B218" i="6"/>
  <c r="B217" i="6"/>
  <c r="B216" i="6"/>
  <c r="B215" i="6"/>
  <c r="B214" i="6"/>
  <c r="B213" i="6"/>
  <c r="B212" i="6"/>
  <c r="B210" i="6"/>
  <c r="B209" i="6"/>
  <c r="B208" i="6"/>
  <c r="B207" i="6"/>
  <c r="B205" i="6"/>
  <c r="B204" i="6"/>
  <c r="B203" i="6"/>
  <c r="B202" i="6"/>
  <c r="B201" i="6"/>
  <c r="B200" i="6"/>
  <c r="B199" i="6"/>
  <c r="B198" i="6"/>
  <c r="B197" i="6"/>
  <c r="B196" i="6"/>
  <c r="B195" i="6"/>
  <c r="B194" i="6"/>
  <c r="B193" i="6"/>
  <c r="B192" i="6"/>
  <c r="B190" i="6"/>
  <c r="B189" i="6"/>
  <c r="B188" i="6"/>
  <c r="B187" i="6"/>
  <c r="B185" i="6"/>
  <c r="B184" i="6"/>
  <c r="B183" i="6"/>
  <c r="B182" i="6"/>
  <c r="B181" i="6"/>
  <c r="B180" i="6"/>
  <c r="B179" i="6"/>
  <c r="B178" i="6"/>
  <c r="B177" i="6"/>
  <c r="B176" i="6"/>
  <c r="B175" i="6"/>
  <c r="B174" i="6"/>
  <c r="B171" i="6"/>
  <c r="B170" i="6"/>
  <c r="B169" i="6"/>
  <c r="B168" i="6"/>
  <c r="B167" i="6"/>
  <c r="B166" i="6"/>
  <c r="B165" i="6"/>
  <c r="B164" i="6"/>
  <c r="B163" i="6"/>
  <c r="B162" i="6"/>
  <c r="B161" i="6"/>
  <c r="B160" i="6"/>
  <c r="B159" i="6"/>
  <c r="B158" i="6"/>
  <c r="B157" i="6"/>
  <c r="B156" i="6"/>
  <c r="B155" i="6"/>
  <c r="B154" i="6"/>
  <c r="B152" i="6"/>
  <c r="B151" i="6"/>
  <c r="B149" i="6"/>
  <c r="B147" i="6"/>
  <c r="B146" i="6"/>
  <c r="B145" i="6"/>
  <c r="B144" i="6"/>
  <c r="B143" i="6"/>
  <c r="B142" i="6"/>
  <c r="B141" i="6"/>
  <c r="B139" i="6"/>
  <c r="B138" i="6"/>
  <c r="B137" i="6"/>
  <c r="B136" i="6"/>
  <c r="B134" i="6"/>
  <c r="B133" i="6"/>
  <c r="B132" i="6"/>
  <c r="B131" i="6"/>
  <c r="B129" i="6"/>
  <c r="B128" i="6"/>
  <c r="B127" i="6"/>
  <c r="B126" i="6"/>
  <c r="B125" i="6"/>
  <c r="B124" i="6"/>
  <c r="B123" i="6"/>
  <c r="B122" i="6"/>
  <c r="B121" i="6"/>
  <c r="B120" i="6"/>
  <c r="B119" i="6"/>
  <c r="B118" i="6"/>
  <c r="B117" i="6"/>
  <c r="B115" i="6"/>
  <c r="B114" i="6"/>
  <c r="B113" i="6"/>
  <c r="B112"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0" i="6"/>
  <c r="B79" i="6"/>
  <c r="B78" i="6"/>
  <c r="B77" i="6"/>
  <c r="B76" i="6"/>
  <c r="B75" i="6"/>
  <c r="B73" i="6"/>
  <c r="B72" i="6"/>
  <c r="B71" i="6"/>
  <c r="B70" i="6"/>
  <c r="B69" i="6"/>
  <c r="B66" i="6"/>
  <c r="B65" i="6"/>
  <c r="B64" i="6"/>
  <c r="B62" i="6"/>
  <c r="B61" i="6"/>
  <c r="B60" i="6"/>
  <c r="B59" i="6"/>
  <c r="B58" i="6"/>
  <c r="B57" i="6"/>
  <c r="B56" i="6"/>
  <c r="B55" i="6"/>
  <c r="B54" i="6"/>
  <c r="B53" i="6"/>
  <c r="B52" i="6"/>
  <c r="B51" i="6"/>
  <c r="B50" i="6"/>
  <c r="B49" i="6"/>
  <c r="B48" i="6"/>
  <c r="B47" i="6"/>
  <c r="B46" i="6"/>
  <c r="B45" i="6"/>
  <c r="B44" i="6"/>
  <c r="B43" i="6"/>
  <c r="B42" i="6"/>
  <c r="B40" i="6"/>
  <c r="B39" i="6"/>
  <c r="B38" i="6"/>
  <c r="B37" i="6"/>
  <c r="B36" i="6"/>
  <c r="B35" i="6"/>
  <c r="B34" i="6"/>
  <c r="B33" i="6"/>
  <c r="B32" i="6"/>
  <c r="B31" i="6"/>
  <c r="B30" i="6"/>
  <c r="B29" i="6"/>
  <c r="B27" i="6"/>
  <c r="B26" i="6"/>
  <c r="B24" i="6"/>
  <c r="B23" i="6"/>
  <c r="B21" i="6"/>
  <c r="B20" i="6"/>
  <c r="B19" i="6"/>
  <c r="B17" i="6"/>
  <c r="B16" i="6"/>
  <c r="B15" i="6"/>
  <c r="B14" i="6"/>
  <c r="B13" i="6"/>
  <c r="B12" i="6"/>
  <c r="B10" i="6"/>
  <c r="B8" i="6"/>
  <c r="B7" i="6"/>
  <c r="B6" i="6"/>
  <c r="B5" i="6"/>
  <c r="B4" i="6"/>
  <c r="B498" i="6" l="1"/>
  <c r="B25" i="6"/>
  <c r="B11" i="6"/>
  <c r="B479" i="6"/>
  <c r="B343" i="6"/>
  <c r="F1999" i="9"/>
  <c r="F1998" i="9"/>
  <c r="F1997" i="9"/>
  <c r="F1996" i="9"/>
  <c r="F1995" i="9"/>
  <c r="F1994" i="9"/>
  <c r="F1993" i="9"/>
  <c r="F1992" i="9"/>
  <c r="F1991" i="9"/>
  <c r="F1990" i="9"/>
  <c r="F1989" i="9"/>
  <c r="F1988" i="9"/>
  <c r="F1987" i="9"/>
  <c r="F1986" i="9"/>
  <c r="F1985" i="9"/>
  <c r="F1984" i="9"/>
  <c r="F1983" i="9"/>
  <c r="F1982" i="9"/>
  <c r="F1981" i="9"/>
  <c r="F1980" i="9"/>
  <c r="F1979" i="9"/>
  <c r="F1978" i="9"/>
  <c r="F1977" i="9"/>
  <c r="F1976" i="9"/>
  <c r="F1975" i="9"/>
  <c r="F1974" i="9"/>
  <c r="F1973" i="9"/>
  <c r="F1972" i="9"/>
  <c r="F1971" i="9"/>
  <c r="F1970" i="9"/>
  <c r="F1969" i="9"/>
  <c r="F1968" i="9"/>
  <c r="F1967" i="9"/>
  <c r="F1966" i="9"/>
  <c r="F1965" i="9"/>
  <c r="F1964" i="9"/>
  <c r="F1963" i="9"/>
  <c r="F1962" i="9"/>
  <c r="F1961" i="9"/>
  <c r="F1960" i="9"/>
  <c r="F1959" i="9"/>
  <c r="F1958" i="9"/>
  <c r="F1957" i="9"/>
  <c r="F1956" i="9"/>
  <c r="F1955" i="9"/>
  <c r="F1954" i="9"/>
  <c r="F1953" i="9"/>
  <c r="F1952" i="9"/>
  <c r="F1951" i="9"/>
  <c r="F1950" i="9"/>
  <c r="F1949" i="9"/>
  <c r="F1948" i="9"/>
  <c r="F1947" i="9"/>
  <c r="F1946" i="9"/>
  <c r="F1945" i="9"/>
  <c r="F1944" i="9"/>
  <c r="F1943" i="9"/>
  <c r="F1942" i="9"/>
  <c r="F1941" i="9"/>
  <c r="F1940" i="9"/>
  <c r="F1939" i="9"/>
  <c r="F1938" i="9"/>
  <c r="F1937" i="9"/>
  <c r="F1936" i="9"/>
  <c r="F1935" i="9"/>
  <c r="F1934" i="9"/>
  <c r="F1933" i="9"/>
  <c r="F1932" i="9"/>
  <c r="F1931" i="9"/>
  <c r="F1930" i="9"/>
  <c r="F1929" i="9"/>
  <c r="F1928" i="9"/>
  <c r="F1927" i="9"/>
  <c r="F1926" i="9"/>
  <c r="F1925" i="9"/>
  <c r="F1924" i="9"/>
  <c r="F1923" i="9"/>
  <c r="F1922" i="9"/>
  <c r="F1921" i="9"/>
  <c r="F1920" i="9"/>
  <c r="F1919" i="9"/>
  <c r="F1918" i="9"/>
  <c r="F1917" i="9"/>
  <c r="F1916" i="9"/>
  <c r="F1915" i="9"/>
  <c r="F1914" i="9"/>
  <c r="F1913" i="9"/>
  <c r="F1912" i="9"/>
  <c r="F1911" i="9"/>
  <c r="F1910" i="9"/>
  <c r="F1909" i="9"/>
  <c r="F1908" i="9"/>
  <c r="F1907" i="9"/>
  <c r="F1906" i="9"/>
  <c r="F1905" i="9"/>
  <c r="F1904" i="9"/>
  <c r="F1903" i="9"/>
  <c r="F1902" i="9"/>
  <c r="F1901" i="9"/>
  <c r="F1900" i="9"/>
  <c r="F1899" i="9"/>
  <c r="F1898" i="9"/>
  <c r="F1897" i="9"/>
  <c r="F1896" i="9"/>
  <c r="F1895" i="9"/>
  <c r="F1894" i="9"/>
  <c r="F1893" i="9"/>
  <c r="F1892" i="9"/>
  <c r="F1891" i="9"/>
  <c r="F1890" i="9"/>
  <c r="F1889" i="9"/>
  <c r="F1888" i="9"/>
  <c r="F1887" i="9"/>
  <c r="F1886" i="9"/>
  <c r="F1885" i="9"/>
  <c r="F1884" i="9"/>
  <c r="F1883" i="9"/>
  <c r="F1882" i="9"/>
  <c r="F1881" i="9"/>
  <c r="F1880" i="9"/>
  <c r="F1879" i="9"/>
  <c r="F1878" i="9"/>
  <c r="F1877" i="9"/>
  <c r="F1876" i="9"/>
  <c r="F1875" i="9"/>
  <c r="F1874" i="9"/>
  <c r="F1873" i="9"/>
  <c r="F1872" i="9"/>
  <c r="F1871" i="9"/>
  <c r="F1870" i="9"/>
  <c r="F1869" i="9"/>
  <c r="F1868" i="9"/>
  <c r="F1867" i="9"/>
  <c r="F1866" i="9"/>
  <c r="F1865" i="9"/>
  <c r="F1864" i="9"/>
  <c r="F1863" i="9"/>
  <c r="F1862" i="9"/>
  <c r="F1861" i="9"/>
  <c r="F1860" i="9"/>
  <c r="F1859" i="9"/>
  <c r="F1858" i="9"/>
  <c r="F1857" i="9"/>
  <c r="F1856" i="9"/>
  <c r="F1855" i="9"/>
  <c r="F1854" i="9"/>
  <c r="F1853" i="9"/>
  <c r="F1852" i="9"/>
  <c r="F1851" i="9"/>
  <c r="F1850" i="9"/>
  <c r="F1849" i="9"/>
  <c r="F1848" i="9"/>
  <c r="F1847" i="9"/>
  <c r="F1846" i="9"/>
  <c r="F1845" i="9"/>
  <c r="F1844" i="9"/>
  <c r="F1843" i="9"/>
  <c r="F1842" i="9"/>
  <c r="F1841" i="9"/>
  <c r="F1840" i="9"/>
  <c r="F1839" i="9"/>
  <c r="F1838" i="9"/>
  <c r="F1837" i="9"/>
  <c r="F1836" i="9"/>
  <c r="F1835" i="9"/>
  <c r="F1834" i="9"/>
  <c r="F1833" i="9"/>
  <c r="F1832" i="9"/>
  <c r="F1831" i="9"/>
  <c r="F1830" i="9"/>
  <c r="F1829" i="9"/>
  <c r="F1828" i="9"/>
  <c r="F1827" i="9"/>
  <c r="F1826" i="9"/>
  <c r="F1825" i="9"/>
  <c r="F1824" i="9"/>
  <c r="F1823" i="9"/>
  <c r="F1822" i="9"/>
  <c r="F1821" i="9"/>
  <c r="F1820" i="9"/>
  <c r="F1819" i="9"/>
  <c r="F1818" i="9"/>
  <c r="F1817" i="9"/>
  <c r="F1816" i="9"/>
  <c r="F1815" i="9"/>
  <c r="F1814" i="9"/>
  <c r="F1813" i="9"/>
  <c r="F1812" i="9"/>
  <c r="F1811" i="9"/>
  <c r="F1810" i="9"/>
  <c r="F1809" i="9"/>
  <c r="F1808" i="9"/>
  <c r="F1807" i="9"/>
  <c r="F1806" i="9"/>
  <c r="F1805" i="9"/>
  <c r="F1804" i="9"/>
  <c r="F1803" i="9"/>
  <c r="F1802" i="9"/>
  <c r="F1801" i="9"/>
  <c r="F1800" i="9"/>
  <c r="F1799" i="9"/>
  <c r="F1798" i="9"/>
  <c r="F1797" i="9"/>
  <c r="F1796" i="9"/>
  <c r="F1795" i="9"/>
  <c r="F1794" i="9"/>
  <c r="F1793" i="9"/>
  <c r="F1792" i="9"/>
  <c r="F1791" i="9"/>
  <c r="F1790" i="9"/>
  <c r="F1789" i="9"/>
  <c r="F1788" i="9"/>
  <c r="F1787" i="9"/>
  <c r="F1786" i="9"/>
  <c r="F1785" i="9"/>
  <c r="F1784" i="9"/>
  <c r="F1783" i="9"/>
  <c r="F1782" i="9"/>
  <c r="F1781" i="9"/>
  <c r="F1780" i="9"/>
  <c r="F1779" i="9"/>
  <c r="F1778" i="9"/>
  <c r="F1777" i="9"/>
  <c r="F1776" i="9"/>
  <c r="F1775" i="9"/>
  <c r="F1774" i="9"/>
  <c r="F1773" i="9"/>
  <c r="F1772" i="9"/>
  <c r="F1771" i="9"/>
  <c r="F1770" i="9"/>
  <c r="F1769" i="9"/>
  <c r="F1768" i="9"/>
  <c r="F1767" i="9"/>
  <c r="F1766" i="9"/>
  <c r="F1765" i="9"/>
  <c r="F1764" i="9"/>
  <c r="F1763" i="9"/>
  <c r="F1762" i="9"/>
  <c r="F1761" i="9"/>
  <c r="F1760" i="9"/>
  <c r="F1759" i="9"/>
  <c r="F1758" i="9"/>
  <c r="F1757" i="9"/>
  <c r="F1756" i="9"/>
  <c r="F1755" i="9"/>
  <c r="F1754" i="9"/>
  <c r="F1753" i="9"/>
  <c r="F1752" i="9"/>
  <c r="F1751" i="9"/>
  <c r="F1750" i="9"/>
  <c r="F1749" i="9"/>
  <c r="F1748" i="9"/>
  <c r="F1747" i="9"/>
  <c r="F1746" i="9"/>
  <c r="F1745" i="9"/>
  <c r="F1744" i="9"/>
  <c r="F1743" i="9"/>
  <c r="F1742" i="9"/>
  <c r="F1741" i="9"/>
  <c r="F1740" i="9"/>
  <c r="F1739" i="9"/>
  <c r="F1738" i="9"/>
  <c r="F1737" i="9"/>
  <c r="F1736" i="9"/>
  <c r="F1735" i="9"/>
  <c r="F1734" i="9"/>
  <c r="F1733" i="9"/>
  <c r="F1732" i="9"/>
  <c r="F1731" i="9"/>
  <c r="F1730" i="9"/>
  <c r="F1729" i="9"/>
  <c r="F1728" i="9"/>
  <c r="F1727" i="9"/>
  <c r="F1726" i="9"/>
  <c r="F1725" i="9"/>
  <c r="F1724" i="9"/>
  <c r="F1723" i="9"/>
  <c r="F1722" i="9"/>
  <c r="F1721" i="9"/>
  <c r="F1720" i="9"/>
  <c r="F1719" i="9"/>
  <c r="F1718" i="9"/>
  <c r="F1717" i="9"/>
  <c r="F1716" i="9"/>
  <c r="F1715" i="9"/>
  <c r="F1714" i="9"/>
  <c r="F1713" i="9"/>
  <c r="F1712" i="9"/>
  <c r="F1711" i="9"/>
  <c r="F1710" i="9"/>
  <c r="F1709" i="9"/>
  <c r="F1708" i="9"/>
  <c r="F1707" i="9"/>
  <c r="F1706" i="9"/>
  <c r="F1705" i="9"/>
  <c r="F1704" i="9"/>
  <c r="F1703" i="9"/>
  <c r="F1702" i="9"/>
  <c r="F1701" i="9"/>
  <c r="F1700" i="9"/>
  <c r="F1699" i="9"/>
  <c r="F1698" i="9"/>
  <c r="F1697" i="9"/>
  <c r="F1696" i="9"/>
  <c r="F1695" i="9"/>
  <c r="F1694" i="9"/>
  <c r="F1693" i="9"/>
  <c r="F1692" i="9"/>
  <c r="F1691" i="9"/>
  <c r="F1690" i="9"/>
  <c r="F1689" i="9"/>
  <c r="F1688" i="9"/>
  <c r="F1687" i="9"/>
  <c r="F1686" i="9"/>
  <c r="F1685" i="9"/>
  <c r="F1684" i="9"/>
  <c r="F1683" i="9"/>
  <c r="F1682" i="9"/>
  <c r="F1681" i="9"/>
  <c r="F1680" i="9"/>
  <c r="F1679" i="9"/>
  <c r="F1678" i="9"/>
  <c r="F1677" i="9"/>
  <c r="F1676" i="9"/>
  <c r="F1675" i="9"/>
  <c r="F1674" i="9"/>
  <c r="F1673" i="9"/>
  <c r="F1672" i="9"/>
  <c r="F1671" i="9"/>
  <c r="F1670" i="9"/>
  <c r="F1669" i="9"/>
  <c r="F1668" i="9"/>
  <c r="F1667" i="9"/>
  <c r="F1666" i="9"/>
  <c r="F1665" i="9"/>
  <c r="F1664" i="9"/>
  <c r="F1663" i="9"/>
  <c r="F1662" i="9"/>
  <c r="F1661" i="9"/>
  <c r="F1660" i="9"/>
  <c r="F1659" i="9"/>
  <c r="F1658" i="9"/>
  <c r="F1657" i="9"/>
  <c r="F1656" i="9"/>
  <c r="F1655" i="9"/>
  <c r="F1654" i="9"/>
  <c r="F1653" i="9"/>
  <c r="F1652" i="9"/>
  <c r="F1651" i="9"/>
  <c r="F1650" i="9"/>
  <c r="F1649" i="9"/>
  <c r="F1648" i="9"/>
  <c r="F1647" i="9"/>
  <c r="F1646" i="9"/>
  <c r="F1645" i="9"/>
  <c r="F1644" i="9"/>
  <c r="F1643" i="9"/>
  <c r="F1642" i="9"/>
  <c r="F1641" i="9"/>
  <c r="F1640" i="9"/>
  <c r="F1639" i="9"/>
  <c r="F1638" i="9"/>
  <c r="F1637" i="9"/>
  <c r="F1636" i="9"/>
  <c r="F1635" i="9"/>
  <c r="F1634" i="9"/>
  <c r="F1633" i="9"/>
  <c r="F1632" i="9"/>
  <c r="F1631" i="9"/>
  <c r="F1630" i="9"/>
  <c r="F1629" i="9"/>
  <c r="F1628" i="9"/>
  <c r="F1627" i="9"/>
  <c r="F1626" i="9"/>
  <c r="F1625" i="9"/>
  <c r="F1624" i="9"/>
  <c r="F1623" i="9"/>
  <c r="F1622" i="9"/>
  <c r="F1621" i="9"/>
  <c r="F1620" i="9"/>
  <c r="F1619" i="9"/>
  <c r="F1618" i="9"/>
  <c r="F1617" i="9"/>
  <c r="F1616" i="9"/>
  <c r="F1615" i="9"/>
  <c r="F1614" i="9"/>
  <c r="F1613" i="9"/>
  <c r="F1612" i="9"/>
  <c r="F1611" i="9"/>
  <c r="F1610" i="9"/>
  <c r="F1609" i="9"/>
  <c r="F1608" i="9"/>
  <c r="F1607" i="9"/>
  <c r="F1606" i="9"/>
  <c r="F1605" i="9"/>
  <c r="F1604" i="9"/>
  <c r="F1603" i="9"/>
  <c r="F1602" i="9"/>
  <c r="F1601" i="9"/>
  <c r="F1600" i="9"/>
  <c r="F1599" i="9"/>
  <c r="F1598" i="9"/>
  <c r="F1597" i="9"/>
  <c r="F1596" i="9"/>
  <c r="F1595" i="9"/>
  <c r="F1594" i="9"/>
  <c r="F1593" i="9"/>
  <c r="F1592" i="9"/>
  <c r="F1591" i="9"/>
  <c r="F1590" i="9"/>
  <c r="F1589" i="9"/>
  <c r="F1588" i="9"/>
  <c r="F1587" i="9"/>
  <c r="F1586" i="9"/>
  <c r="F1585" i="9"/>
  <c r="F1584" i="9"/>
  <c r="F1583" i="9"/>
  <c r="F1582" i="9"/>
  <c r="F1581" i="9"/>
  <c r="F1580" i="9"/>
  <c r="F1579" i="9"/>
  <c r="F1578" i="9"/>
  <c r="F1577" i="9"/>
  <c r="F1576" i="9"/>
  <c r="F1575" i="9"/>
  <c r="F1574" i="9"/>
  <c r="F1573" i="9"/>
  <c r="F1572" i="9"/>
  <c r="F1571" i="9"/>
  <c r="F1570" i="9"/>
  <c r="F1569" i="9"/>
  <c r="F1568" i="9"/>
  <c r="F1567" i="9"/>
  <c r="F1566" i="9"/>
  <c r="F1565" i="9"/>
  <c r="F1564" i="9"/>
  <c r="F1563" i="9"/>
  <c r="F1562" i="9"/>
  <c r="F1561" i="9"/>
  <c r="F1560" i="9"/>
  <c r="F1559" i="9"/>
  <c r="F1558" i="9"/>
  <c r="F1557" i="9"/>
  <c r="F1556" i="9"/>
  <c r="F1555" i="9"/>
  <c r="F1554" i="9"/>
  <c r="F1553" i="9"/>
  <c r="F1552" i="9"/>
  <c r="F1551" i="9"/>
  <c r="F1550" i="9"/>
  <c r="F1549" i="9"/>
  <c r="F1548" i="9"/>
  <c r="F1547" i="9"/>
  <c r="F1546" i="9"/>
  <c r="F1545" i="9"/>
  <c r="F1544" i="9"/>
  <c r="F1543" i="9"/>
  <c r="F1542" i="9"/>
  <c r="F1541" i="9"/>
  <c r="F1540" i="9"/>
  <c r="F1539" i="9"/>
  <c r="F1538" i="9"/>
  <c r="F1537" i="9"/>
  <c r="F1536" i="9"/>
  <c r="F1535" i="9"/>
  <c r="F1534" i="9"/>
  <c r="F1533" i="9"/>
  <c r="F1532" i="9"/>
  <c r="F1531" i="9"/>
  <c r="F1530" i="9"/>
  <c r="F1529" i="9"/>
  <c r="F1528" i="9"/>
  <c r="F1527" i="9"/>
  <c r="F1526" i="9"/>
  <c r="F1525" i="9"/>
  <c r="F1524" i="9"/>
  <c r="F1523" i="9"/>
  <c r="F1522" i="9"/>
  <c r="F1521" i="9"/>
  <c r="F1520" i="9"/>
  <c r="F1519" i="9"/>
  <c r="F1518" i="9"/>
  <c r="F1517" i="9"/>
  <c r="F1516" i="9"/>
  <c r="F1515" i="9"/>
  <c r="F1514" i="9"/>
  <c r="F1513" i="9"/>
  <c r="F1512" i="9"/>
  <c r="F1511" i="9"/>
  <c r="F1510" i="9"/>
  <c r="F1509" i="9"/>
  <c r="F1508" i="9"/>
  <c r="F1507" i="9"/>
  <c r="F1506" i="9"/>
  <c r="F1505" i="9"/>
  <c r="F1504" i="9"/>
  <c r="F1503" i="9"/>
  <c r="F1502" i="9"/>
  <c r="F1501" i="9"/>
  <c r="F1500" i="9"/>
  <c r="F1499" i="9"/>
  <c r="F1498" i="9"/>
  <c r="F1497" i="9"/>
  <c r="F1496" i="9"/>
  <c r="F1495" i="9"/>
  <c r="F1494" i="9"/>
  <c r="F1493" i="9"/>
  <c r="F1492" i="9"/>
  <c r="F1491" i="9"/>
  <c r="F1490" i="9"/>
  <c r="F1489" i="9"/>
  <c r="F1488" i="9"/>
  <c r="F1487" i="9"/>
  <c r="F1486" i="9"/>
  <c r="F1485" i="9"/>
  <c r="F1484" i="9"/>
  <c r="F1483" i="9"/>
  <c r="F1482" i="9"/>
  <c r="F1481" i="9"/>
  <c r="F1480" i="9"/>
  <c r="F1479" i="9"/>
  <c r="F1478" i="9"/>
  <c r="F1477" i="9"/>
  <c r="F1476" i="9"/>
  <c r="F1475" i="9"/>
  <c r="F1474" i="9"/>
  <c r="F1473" i="9"/>
  <c r="F1472" i="9"/>
  <c r="F1471" i="9"/>
  <c r="F1470" i="9"/>
  <c r="F1469" i="9"/>
  <c r="F1468" i="9"/>
  <c r="F1467" i="9"/>
  <c r="F1466" i="9"/>
  <c r="F1465" i="9"/>
  <c r="F1464" i="9"/>
  <c r="F1463" i="9"/>
  <c r="F1462" i="9"/>
  <c r="F1461" i="9"/>
  <c r="F1460" i="9"/>
  <c r="F1459" i="9"/>
  <c r="F1458" i="9"/>
  <c r="F1457" i="9"/>
  <c r="F1456" i="9"/>
  <c r="F1455" i="9"/>
  <c r="F1454" i="9"/>
  <c r="F1453" i="9"/>
  <c r="F1452" i="9"/>
  <c r="F1451" i="9"/>
  <c r="F1450" i="9"/>
  <c r="F1449" i="9"/>
  <c r="F1448" i="9"/>
  <c r="F1447" i="9"/>
  <c r="F1446" i="9"/>
  <c r="F1445" i="9"/>
  <c r="F1444" i="9"/>
  <c r="F1443" i="9"/>
  <c r="F1442" i="9"/>
  <c r="F1441" i="9"/>
  <c r="F1440" i="9"/>
  <c r="F1439" i="9"/>
  <c r="F1438" i="9"/>
  <c r="F1437" i="9"/>
  <c r="F1436" i="9"/>
  <c r="F1435" i="9"/>
  <c r="F1434" i="9"/>
  <c r="F1433" i="9"/>
  <c r="F1432" i="9"/>
  <c r="F1431" i="9"/>
  <c r="F1430" i="9"/>
  <c r="F1429" i="9"/>
  <c r="F1428" i="9"/>
  <c r="F1427" i="9"/>
  <c r="F1426" i="9"/>
  <c r="F1425" i="9"/>
  <c r="F1424" i="9"/>
  <c r="F1423" i="9"/>
  <c r="F1422" i="9"/>
  <c r="F1421" i="9"/>
  <c r="F1420" i="9"/>
  <c r="F1419" i="9"/>
  <c r="F1418" i="9"/>
  <c r="F1417" i="9"/>
  <c r="F1416" i="9"/>
  <c r="F1415" i="9"/>
  <c r="F1414" i="9"/>
  <c r="F1413" i="9"/>
  <c r="F1412" i="9"/>
  <c r="F1411" i="9"/>
  <c r="F1410" i="9"/>
  <c r="F1409" i="9"/>
  <c r="F1408" i="9"/>
  <c r="F1407" i="9"/>
  <c r="F1406" i="9"/>
  <c r="F1405" i="9"/>
  <c r="F1404" i="9"/>
  <c r="F1403" i="9"/>
  <c r="F1402" i="9"/>
  <c r="F1401" i="9"/>
  <c r="F1400" i="9"/>
  <c r="F1399" i="9"/>
  <c r="F1398" i="9"/>
  <c r="F1397" i="9"/>
  <c r="F1396" i="9"/>
  <c r="F1395" i="9"/>
  <c r="F1394" i="9"/>
  <c r="F1393" i="9"/>
  <c r="F1392" i="9"/>
  <c r="F1391" i="9"/>
  <c r="F1390" i="9"/>
  <c r="F1389" i="9"/>
  <c r="F1388" i="9"/>
  <c r="F1387" i="9"/>
  <c r="F1386" i="9"/>
  <c r="F1385" i="9"/>
  <c r="F1384" i="9"/>
  <c r="F1383" i="9"/>
  <c r="F1382" i="9"/>
  <c r="F1381" i="9"/>
  <c r="F1380" i="9"/>
  <c r="F1379" i="9"/>
  <c r="F1378" i="9"/>
  <c r="F1377" i="9"/>
  <c r="F1376" i="9"/>
  <c r="F1375" i="9"/>
  <c r="F1374" i="9"/>
  <c r="F1373" i="9"/>
  <c r="F1372" i="9"/>
  <c r="F1371" i="9"/>
  <c r="F1370" i="9"/>
  <c r="F1369" i="9"/>
  <c r="F1368" i="9"/>
  <c r="F1367" i="9"/>
  <c r="F1366" i="9"/>
  <c r="F1365" i="9"/>
  <c r="F1364" i="9"/>
  <c r="F1363" i="9"/>
  <c r="F1362" i="9"/>
  <c r="F1361" i="9"/>
  <c r="F1360" i="9"/>
  <c r="F1359" i="9"/>
  <c r="F1358" i="9"/>
  <c r="F1357" i="9"/>
  <c r="F1356" i="9"/>
  <c r="F1355" i="9"/>
  <c r="F1354" i="9"/>
  <c r="F1353" i="9"/>
  <c r="F1352" i="9"/>
  <c r="F1351" i="9"/>
  <c r="F1350" i="9"/>
  <c r="F1349" i="9"/>
  <c r="F1348" i="9"/>
  <c r="F1347" i="9"/>
  <c r="F1346" i="9"/>
  <c r="F1345" i="9"/>
  <c r="F1344" i="9"/>
  <c r="F1343" i="9"/>
  <c r="F1342" i="9"/>
  <c r="F1341" i="9"/>
  <c r="F1340" i="9"/>
  <c r="F1339" i="9"/>
  <c r="F1338" i="9"/>
  <c r="F1337" i="9"/>
  <c r="F1336" i="9"/>
  <c r="F1335" i="9"/>
  <c r="F1334" i="9"/>
  <c r="F1333" i="9"/>
  <c r="F1332" i="9"/>
  <c r="F1331" i="9"/>
  <c r="F1330" i="9"/>
  <c r="F1329" i="9"/>
  <c r="F1328" i="9"/>
  <c r="F1327" i="9"/>
  <c r="F1326" i="9"/>
  <c r="F1325" i="9"/>
  <c r="F1324" i="9"/>
  <c r="F1323" i="9"/>
  <c r="F1322" i="9"/>
  <c r="F1321" i="9"/>
  <c r="F1320" i="9"/>
  <c r="F1319" i="9"/>
  <c r="F1318" i="9"/>
  <c r="F1317" i="9"/>
  <c r="F1316" i="9"/>
  <c r="F1315" i="9"/>
  <c r="F1314" i="9"/>
  <c r="F1313" i="9"/>
  <c r="F1312" i="9"/>
  <c r="F1311" i="9"/>
  <c r="F1310" i="9"/>
  <c r="F1309" i="9"/>
  <c r="F1308" i="9"/>
  <c r="F1307" i="9"/>
  <c r="F1306" i="9"/>
  <c r="F1305" i="9"/>
  <c r="F1304" i="9"/>
  <c r="F1303" i="9"/>
  <c r="F1302" i="9"/>
  <c r="F1301" i="9"/>
  <c r="F1300" i="9"/>
  <c r="F1299" i="9"/>
  <c r="F1298" i="9"/>
  <c r="F1297" i="9"/>
  <c r="F1296" i="9"/>
  <c r="F1295" i="9"/>
  <c r="F1294" i="9"/>
  <c r="F1293" i="9"/>
  <c r="F1292" i="9"/>
  <c r="F1291" i="9"/>
  <c r="F1290" i="9"/>
  <c r="F1289" i="9"/>
  <c r="F1288" i="9"/>
  <c r="F1287" i="9"/>
  <c r="F1286" i="9"/>
  <c r="F1285" i="9"/>
  <c r="F1284" i="9"/>
  <c r="F1283" i="9"/>
  <c r="F1282" i="9"/>
  <c r="F1281" i="9"/>
  <c r="F1280" i="9"/>
  <c r="F1279" i="9"/>
  <c r="F1278" i="9"/>
  <c r="F1277" i="9"/>
  <c r="F1276" i="9"/>
  <c r="F1275" i="9"/>
  <c r="F1274" i="9"/>
  <c r="F1273" i="9"/>
  <c r="F1272" i="9"/>
  <c r="F1271" i="9"/>
  <c r="F1270" i="9"/>
  <c r="F1269" i="9"/>
  <c r="F1268" i="9"/>
  <c r="F1267" i="9"/>
  <c r="F1266" i="9"/>
  <c r="F1265" i="9"/>
  <c r="F1264" i="9"/>
  <c r="F1263" i="9"/>
  <c r="F1262" i="9"/>
  <c r="F1261" i="9"/>
  <c r="F1260" i="9"/>
  <c r="F1259" i="9"/>
  <c r="F1258" i="9"/>
  <c r="F1257" i="9"/>
  <c r="F1256" i="9"/>
  <c r="F1255" i="9"/>
  <c r="F1254" i="9"/>
  <c r="F1253" i="9"/>
  <c r="F1252" i="9"/>
  <c r="F1251" i="9"/>
  <c r="F1250" i="9"/>
  <c r="F1249" i="9"/>
  <c r="F1248" i="9"/>
  <c r="F1247" i="9"/>
  <c r="F1246" i="9"/>
  <c r="F1245" i="9"/>
  <c r="F1244" i="9"/>
  <c r="F1243" i="9"/>
  <c r="F1242" i="9"/>
  <c r="F1241" i="9"/>
  <c r="F1240" i="9"/>
  <c r="F1239" i="9"/>
  <c r="F1238" i="9"/>
  <c r="F1237" i="9"/>
  <c r="F1236" i="9"/>
  <c r="F1235" i="9"/>
  <c r="F1234" i="9"/>
  <c r="F1233" i="9"/>
  <c r="F1232" i="9"/>
  <c r="F1231" i="9"/>
  <c r="F1230" i="9"/>
  <c r="F1229" i="9"/>
  <c r="F1228" i="9"/>
  <c r="F1227" i="9"/>
  <c r="F1226" i="9"/>
  <c r="F1225" i="9"/>
  <c r="F1224" i="9"/>
  <c r="F1223" i="9"/>
  <c r="F1222" i="9"/>
  <c r="F1221" i="9"/>
  <c r="F1220" i="9"/>
  <c r="F1219" i="9"/>
  <c r="F1218" i="9"/>
  <c r="F1217" i="9"/>
  <c r="F1216" i="9"/>
  <c r="F1215" i="9"/>
  <c r="F1214" i="9"/>
  <c r="F1213" i="9"/>
  <c r="F1212" i="9"/>
  <c r="F1211" i="9"/>
  <c r="F1210" i="9"/>
  <c r="F1209" i="9"/>
  <c r="F1208" i="9"/>
  <c r="F1207" i="9"/>
  <c r="F1206" i="9"/>
  <c r="F1205" i="9"/>
  <c r="F1204" i="9"/>
  <c r="F1203" i="9"/>
  <c r="F1202" i="9"/>
  <c r="F1201" i="9"/>
  <c r="F1200" i="9"/>
  <c r="F1199" i="9"/>
  <c r="F1198" i="9"/>
  <c r="F1197" i="9"/>
  <c r="F1196" i="9"/>
  <c r="F1195" i="9"/>
  <c r="F1194" i="9"/>
  <c r="F1193" i="9"/>
  <c r="F1192" i="9"/>
  <c r="F1191" i="9"/>
  <c r="F1190" i="9"/>
  <c r="F1189" i="9"/>
  <c r="F1188" i="9"/>
  <c r="F1187" i="9"/>
  <c r="F1186" i="9"/>
  <c r="F1185" i="9"/>
  <c r="F1184" i="9"/>
  <c r="F1183" i="9"/>
  <c r="F1182" i="9"/>
  <c r="F1181" i="9"/>
  <c r="F1180" i="9"/>
  <c r="F1179" i="9"/>
  <c r="F1178" i="9"/>
  <c r="F1177" i="9"/>
  <c r="F1176" i="9"/>
  <c r="F1175" i="9"/>
  <c r="F1174" i="9"/>
  <c r="F1173" i="9"/>
  <c r="F1172" i="9"/>
  <c r="F1171" i="9"/>
  <c r="F1170" i="9"/>
  <c r="F1169" i="9"/>
  <c r="F1168" i="9"/>
  <c r="F1167" i="9"/>
  <c r="F1166" i="9"/>
  <c r="F1165" i="9"/>
  <c r="F1164" i="9"/>
  <c r="F1163" i="9"/>
  <c r="F1162" i="9"/>
  <c r="F1161" i="9"/>
  <c r="F1160" i="9"/>
  <c r="F1159" i="9"/>
  <c r="F1158" i="9"/>
  <c r="F1157" i="9"/>
  <c r="F1156" i="9"/>
  <c r="F1155" i="9"/>
  <c r="F1154" i="9"/>
  <c r="F1153" i="9"/>
  <c r="F1152" i="9"/>
  <c r="F1151" i="9"/>
  <c r="F1150" i="9"/>
  <c r="F1149" i="9"/>
  <c r="F1148" i="9"/>
  <c r="F1147" i="9"/>
  <c r="F1146" i="9"/>
  <c r="F1145" i="9"/>
  <c r="F1144" i="9"/>
  <c r="F1143" i="9"/>
  <c r="F1142" i="9"/>
  <c r="F1141" i="9"/>
  <c r="F1140" i="9"/>
  <c r="F1139" i="9"/>
  <c r="F1138" i="9"/>
  <c r="F1137" i="9"/>
  <c r="F1136" i="9"/>
  <c r="F1135" i="9"/>
  <c r="F1134" i="9"/>
  <c r="F1133" i="9"/>
  <c r="F1132" i="9"/>
  <c r="F1131" i="9"/>
  <c r="F1130" i="9"/>
  <c r="F1129" i="9"/>
  <c r="F1128" i="9"/>
  <c r="F1127" i="9"/>
  <c r="F1126" i="9"/>
  <c r="F1125" i="9"/>
  <c r="F1124" i="9"/>
  <c r="F1123" i="9"/>
  <c r="F1122" i="9"/>
  <c r="F1121" i="9"/>
  <c r="F1120" i="9"/>
  <c r="F1119" i="9"/>
  <c r="F1118" i="9"/>
  <c r="F1117" i="9"/>
  <c r="F1116" i="9"/>
  <c r="F1115" i="9"/>
  <c r="F1114" i="9"/>
  <c r="F1113" i="9"/>
  <c r="F1112" i="9"/>
  <c r="F1111" i="9"/>
  <c r="F1110" i="9"/>
  <c r="F1109" i="9"/>
  <c r="F1108" i="9"/>
  <c r="F1107" i="9"/>
  <c r="F1106" i="9"/>
  <c r="F1105" i="9"/>
  <c r="F1104" i="9"/>
  <c r="F1103" i="9"/>
  <c r="F1102" i="9"/>
  <c r="F1101" i="9"/>
  <c r="F1100" i="9"/>
  <c r="F1099" i="9"/>
  <c r="F1098" i="9"/>
  <c r="F1097" i="9"/>
  <c r="F1096" i="9"/>
  <c r="F1095" i="9"/>
  <c r="F1094" i="9"/>
  <c r="F1093" i="9"/>
  <c r="F1092" i="9"/>
  <c r="F1091" i="9"/>
  <c r="F1090" i="9"/>
  <c r="F1089" i="9"/>
  <c r="F1088" i="9"/>
  <c r="F1087" i="9"/>
  <c r="F1086" i="9"/>
  <c r="F1085" i="9"/>
  <c r="F1084" i="9"/>
  <c r="F1083" i="9"/>
  <c r="F1082" i="9"/>
  <c r="F1081" i="9"/>
  <c r="F1080" i="9"/>
  <c r="F1079" i="9"/>
  <c r="F1078" i="9"/>
  <c r="F1077" i="9"/>
  <c r="F1076" i="9"/>
  <c r="F1075" i="9"/>
  <c r="F1074" i="9"/>
  <c r="F1073" i="9"/>
  <c r="F1072" i="9"/>
  <c r="F1071" i="9"/>
  <c r="F1070" i="9"/>
  <c r="F1069" i="9"/>
  <c r="F1068" i="9"/>
  <c r="F1067" i="9"/>
  <c r="F1066" i="9"/>
  <c r="F1065" i="9"/>
  <c r="F1064" i="9"/>
  <c r="F1063" i="9"/>
  <c r="F1062" i="9"/>
  <c r="F1061" i="9"/>
  <c r="F1060" i="9"/>
  <c r="F1059" i="9"/>
  <c r="F1058" i="9"/>
  <c r="F1057" i="9"/>
  <c r="F1056" i="9"/>
  <c r="F1055" i="9"/>
  <c r="F1054" i="9"/>
  <c r="F1053" i="9"/>
  <c r="F1052" i="9"/>
  <c r="F1051" i="9"/>
  <c r="F1050" i="9"/>
  <c r="F1049" i="9"/>
  <c r="F1048" i="9"/>
  <c r="F1047" i="9"/>
  <c r="F1046" i="9"/>
  <c r="F1045" i="9"/>
  <c r="F1044" i="9"/>
  <c r="F1043" i="9"/>
  <c r="F1042" i="9"/>
  <c r="F1041" i="9"/>
  <c r="F1040" i="9"/>
  <c r="F1039" i="9"/>
  <c r="F1038" i="9"/>
  <c r="F1037" i="9"/>
  <c r="F1036" i="9"/>
  <c r="F1035" i="9"/>
  <c r="F1034" i="9"/>
  <c r="F1033" i="9"/>
  <c r="F1032" i="9"/>
  <c r="F1031" i="9"/>
  <c r="F1030" i="9"/>
  <c r="F1029" i="9"/>
  <c r="F1028" i="9"/>
  <c r="F1027" i="9"/>
  <c r="F1026" i="9"/>
  <c r="F1025" i="9"/>
  <c r="F1024" i="9"/>
  <c r="F1023" i="9"/>
  <c r="F1022" i="9"/>
  <c r="F1021" i="9"/>
  <c r="F1020" i="9"/>
  <c r="F1019" i="9"/>
  <c r="F1018" i="9"/>
  <c r="F1017" i="9"/>
  <c r="F1016" i="9"/>
  <c r="F1015" i="9"/>
  <c r="F1014" i="9"/>
  <c r="F1013" i="9"/>
  <c r="F1012" i="9"/>
  <c r="F1011" i="9"/>
  <c r="F1010" i="9"/>
  <c r="F1009" i="9"/>
  <c r="F1008" i="9"/>
  <c r="F1007" i="9"/>
  <c r="F1006" i="9"/>
  <c r="F1005" i="9"/>
  <c r="F1004" i="9"/>
  <c r="F1003" i="9"/>
  <c r="F1002" i="9"/>
  <c r="F1001" i="9"/>
  <c r="F1000" i="9"/>
  <c r="F999" i="9"/>
  <c r="F998" i="9"/>
  <c r="F997" i="9"/>
  <c r="F996" i="9"/>
  <c r="F995" i="9"/>
  <c r="F994" i="9"/>
  <c r="F993" i="9"/>
  <c r="F992" i="9"/>
  <c r="F991" i="9"/>
  <c r="F990" i="9"/>
  <c r="F989" i="9"/>
  <c r="F988" i="9"/>
  <c r="F987" i="9"/>
  <c r="F986" i="9"/>
  <c r="F985" i="9"/>
  <c r="F984" i="9"/>
  <c r="F983" i="9"/>
  <c r="F982" i="9"/>
  <c r="F981" i="9"/>
  <c r="F980" i="9"/>
  <c r="F979" i="9"/>
  <c r="F978" i="9"/>
  <c r="F977" i="9"/>
  <c r="F976" i="9"/>
  <c r="F975" i="9"/>
  <c r="F974" i="9"/>
  <c r="F973" i="9"/>
  <c r="F972" i="9"/>
  <c r="F971" i="9"/>
  <c r="F970" i="9"/>
  <c r="F969" i="9"/>
  <c r="F968" i="9"/>
  <c r="F967" i="9"/>
  <c r="F966" i="9"/>
  <c r="F965" i="9"/>
  <c r="F964" i="9"/>
  <c r="F963" i="9"/>
  <c r="F962" i="9"/>
  <c r="F961" i="9"/>
  <c r="F960" i="9"/>
  <c r="F959" i="9"/>
  <c r="F958" i="9"/>
  <c r="F957" i="9"/>
  <c r="F956" i="9"/>
  <c r="F955" i="9"/>
  <c r="F954" i="9"/>
  <c r="F953" i="9"/>
  <c r="F952" i="9"/>
  <c r="F951" i="9"/>
  <c r="F950" i="9"/>
  <c r="F949" i="9"/>
  <c r="F948" i="9"/>
  <c r="F947" i="9"/>
  <c r="F946" i="9"/>
  <c r="F945" i="9"/>
  <c r="F944" i="9"/>
  <c r="F943" i="9"/>
  <c r="F942" i="9"/>
  <c r="F941" i="9"/>
  <c r="F940" i="9"/>
  <c r="F939" i="9"/>
  <c r="F938" i="9"/>
  <c r="F937" i="9"/>
  <c r="F936" i="9"/>
  <c r="F935" i="9"/>
  <c r="F934" i="9"/>
  <c r="F933" i="9"/>
  <c r="F932" i="9"/>
  <c r="F931" i="9"/>
  <c r="F930" i="9"/>
  <c r="F929" i="9"/>
  <c r="F928" i="9"/>
  <c r="F927" i="9"/>
  <c r="F926" i="9"/>
  <c r="F925" i="9"/>
  <c r="F924" i="9"/>
  <c r="F923" i="9"/>
  <c r="F922" i="9"/>
  <c r="F921" i="9"/>
  <c r="F920" i="9"/>
  <c r="F919" i="9"/>
  <c r="F918" i="9"/>
  <c r="F917" i="9"/>
  <c r="F916" i="9"/>
  <c r="F915" i="9"/>
  <c r="F914" i="9"/>
  <c r="F913" i="9"/>
  <c r="F912" i="9"/>
  <c r="F911" i="9"/>
  <c r="F910" i="9"/>
  <c r="F909" i="9"/>
  <c r="F908" i="9"/>
  <c r="F907" i="9"/>
  <c r="F906" i="9"/>
  <c r="F905" i="9"/>
  <c r="F904" i="9"/>
  <c r="F903" i="9"/>
  <c r="F902" i="9"/>
  <c r="F901" i="9"/>
  <c r="F900" i="9"/>
  <c r="F899" i="9"/>
  <c r="F898" i="9"/>
  <c r="F897" i="9"/>
  <c r="F896" i="9"/>
  <c r="F895" i="9"/>
  <c r="F894" i="9"/>
  <c r="F893" i="9"/>
  <c r="F892" i="9"/>
  <c r="F891" i="9"/>
  <c r="F890" i="9"/>
  <c r="F889" i="9"/>
  <c r="F888" i="9"/>
  <c r="F887" i="9"/>
  <c r="F886" i="9"/>
  <c r="F885" i="9"/>
  <c r="F884" i="9"/>
  <c r="F883" i="9"/>
  <c r="F882" i="9"/>
  <c r="F881" i="9"/>
  <c r="F880" i="9"/>
  <c r="F879" i="9"/>
  <c r="F878" i="9"/>
  <c r="F877" i="9"/>
  <c r="F876" i="9"/>
  <c r="F875" i="9"/>
  <c r="F874" i="9"/>
  <c r="F873" i="9"/>
  <c r="F872" i="9"/>
  <c r="F871" i="9"/>
  <c r="F870" i="9"/>
  <c r="F869" i="9"/>
  <c r="F868" i="9"/>
  <c r="F867" i="9"/>
  <c r="F866" i="9"/>
  <c r="F865" i="9"/>
  <c r="F864" i="9"/>
  <c r="F863" i="9"/>
  <c r="F862" i="9"/>
  <c r="F861" i="9"/>
  <c r="F860" i="9"/>
  <c r="F859" i="9"/>
  <c r="F858" i="9"/>
  <c r="F857" i="9"/>
  <c r="F856" i="9"/>
  <c r="F855" i="9"/>
  <c r="F854" i="9"/>
  <c r="F853" i="9"/>
  <c r="F852" i="9"/>
  <c r="F851" i="9"/>
  <c r="F850" i="9"/>
  <c r="F849" i="9"/>
  <c r="F848" i="9"/>
  <c r="F847" i="9"/>
  <c r="F846" i="9"/>
  <c r="F845" i="9"/>
  <c r="F844" i="9"/>
  <c r="F843" i="9"/>
  <c r="F842" i="9"/>
  <c r="F841" i="9"/>
  <c r="F840" i="9"/>
  <c r="F839" i="9"/>
  <c r="F838" i="9"/>
  <c r="F837" i="9"/>
  <c r="F836" i="9"/>
  <c r="F835" i="9"/>
  <c r="F834" i="9"/>
  <c r="F833" i="9"/>
  <c r="F832" i="9"/>
  <c r="F831" i="9"/>
  <c r="F830" i="9"/>
  <c r="F829" i="9"/>
  <c r="F828" i="9"/>
  <c r="F827" i="9"/>
  <c r="F826" i="9"/>
  <c r="F825" i="9"/>
  <c r="F824" i="9"/>
  <c r="F823" i="9"/>
  <c r="F822" i="9"/>
  <c r="F821" i="9"/>
  <c r="F820" i="9"/>
  <c r="F819" i="9"/>
  <c r="F818" i="9"/>
  <c r="F817" i="9"/>
  <c r="F816" i="9"/>
  <c r="F815" i="9"/>
  <c r="F814" i="9"/>
  <c r="F813" i="9"/>
  <c r="F812" i="9"/>
  <c r="F811" i="9"/>
  <c r="F810" i="9"/>
  <c r="F809" i="9"/>
  <c r="F808" i="9"/>
  <c r="F807" i="9"/>
  <c r="F806" i="9"/>
  <c r="F805" i="9"/>
  <c r="F804" i="9"/>
  <c r="F803" i="9"/>
  <c r="F802" i="9"/>
  <c r="F801" i="9"/>
  <c r="F800" i="9"/>
  <c r="F799" i="9"/>
  <c r="F798" i="9"/>
  <c r="F797" i="9"/>
  <c r="F796" i="9"/>
  <c r="F795" i="9"/>
  <c r="F794" i="9"/>
  <c r="F793" i="9"/>
  <c r="F792" i="9"/>
  <c r="F791" i="9"/>
  <c r="F790" i="9"/>
  <c r="F789" i="9"/>
  <c r="F788" i="9"/>
  <c r="F787" i="9"/>
  <c r="F786" i="9"/>
  <c r="F785" i="9"/>
  <c r="F784" i="9"/>
  <c r="F783" i="9"/>
  <c r="F782" i="9"/>
  <c r="F781" i="9"/>
  <c r="F780" i="9"/>
  <c r="F779" i="9"/>
  <c r="F778" i="9"/>
  <c r="F777" i="9"/>
  <c r="F776" i="9"/>
  <c r="F775" i="9"/>
  <c r="F774" i="9"/>
  <c r="F773" i="9"/>
  <c r="F772" i="9"/>
  <c r="F771" i="9"/>
  <c r="F770" i="9"/>
  <c r="F769" i="9"/>
  <c r="F768" i="9"/>
  <c r="F767" i="9"/>
  <c r="F766" i="9"/>
  <c r="F765" i="9"/>
  <c r="F764" i="9"/>
  <c r="F763" i="9"/>
  <c r="F762" i="9"/>
  <c r="F761" i="9"/>
  <c r="F760" i="9"/>
  <c r="F759" i="9"/>
  <c r="F758" i="9"/>
  <c r="F757" i="9"/>
  <c r="F756" i="9"/>
  <c r="F755" i="9"/>
  <c r="F754" i="9"/>
  <c r="F753" i="9"/>
  <c r="F752" i="9"/>
  <c r="F751" i="9"/>
  <c r="F750" i="9"/>
  <c r="F749" i="9"/>
  <c r="F748" i="9"/>
  <c r="F747" i="9"/>
  <c r="F746" i="9"/>
  <c r="F745" i="9"/>
  <c r="F744" i="9"/>
  <c r="F743" i="9"/>
  <c r="F742" i="9"/>
  <c r="F741" i="9"/>
  <c r="F740" i="9"/>
  <c r="F739" i="9"/>
  <c r="F738" i="9"/>
  <c r="F737" i="9"/>
  <c r="F736" i="9"/>
  <c r="F735" i="9"/>
  <c r="F734" i="9"/>
  <c r="F733" i="9"/>
  <c r="F732" i="9"/>
  <c r="F731" i="9"/>
  <c r="F730" i="9"/>
  <c r="F729" i="9"/>
  <c r="F728" i="9"/>
  <c r="F727" i="9"/>
  <c r="F726" i="9"/>
  <c r="F725" i="9"/>
  <c r="F724" i="9"/>
  <c r="F723" i="9"/>
  <c r="F722" i="9"/>
  <c r="F721" i="9"/>
  <c r="F720" i="9"/>
  <c r="F719" i="9"/>
  <c r="F718" i="9"/>
  <c r="F717" i="9"/>
  <c r="F716" i="9"/>
  <c r="F715" i="9"/>
  <c r="F714" i="9"/>
  <c r="F713" i="9"/>
  <c r="F712" i="9"/>
  <c r="F711" i="9"/>
  <c r="F710" i="9"/>
  <c r="F709" i="9"/>
  <c r="F708" i="9"/>
  <c r="F707" i="9"/>
  <c r="F706" i="9"/>
  <c r="F705" i="9"/>
  <c r="F704" i="9"/>
  <c r="F703" i="9"/>
  <c r="F702" i="9"/>
  <c r="F701" i="9"/>
  <c r="F700" i="9"/>
  <c r="F699" i="9"/>
  <c r="F698" i="9"/>
  <c r="F697" i="9"/>
  <c r="F696" i="9"/>
  <c r="F695" i="9"/>
  <c r="F694" i="9"/>
  <c r="F693" i="9"/>
  <c r="F692" i="9"/>
  <c r="F691" i="9"/>
  <c r="F690" i="9"/>
  <c r="F689" i="9"/>
  <c r="F688" i="9"/>
  <c r="F687" i="9"/>
  <c r="F686" i="9"/>
  <c r="F685" i="9"/>
  <c r="F684" i="9"/>
  <c r="F683" i="9"/>
  <c r="F682" i="9"/>
  <c r="F681" i="9"/>
  <c r="F680" i="9"/>
  <c r="F679" i="9"/>
  <c r="F678" i="9"/>
  <c r="F677" i="9"/>
  <c r="F676" i="9"/>
  <c r="F675" i="9"/>
  <c r="F674" i="9"/>
  <c r="F673" i="9"/>
  <c r="F672" i="9"/>
  <c r="F671" i="9"/>
  <c r="F670" i="9"/>
  <c r="F669" i="9"/>
  <c r="F668" i="9"/>
  <c r="F667" i="9"/>
  <c r="F666" i="9"/>
  <c r="F665" i="9"/>
  <c r="F664" i="9"/>
  <c r="F663" i="9"/>
  <c r="F662" i="9"/>
  <c r="F661" i="9"/>
  <c r="F660" i="9"/>
  <c r="F659" i="9"/>
  <c r="F658" i="9"/>
  <c r="F657" i="9"/>
  <c r="F656" i="9"/>
  <c r="F655" i="9"/>
  <c r="F654" i="9"/>
  <c r="F653" i="9"/>
  <c r="F652" i="9"/>
  <c r="F651" i="9"/>
  <c r="F650" i="9"/>
  <c r="F649" i="9"/>
  <c r="F648" i="9"/>
  <c r="F647" i="9"/>
  <c r="F646" i="9"/>
  <c r="F645" i="9"/>
  <c r="F644" i="9"/>
  <c r="F643" i="9"/>
  <c r="F642" i="9"/>
  <c r="F641" i="9"/>
  <c r="F640" i="9"/>
  <c r="F639" i="9"/>
  <c r="F638" i="9"/>
  <c r="F637" i="9"/>
  <c r="F636" i="9"/>
  <c r="F635" i="9"/>
  <c r="F634" i="9"/>
  <c r="F633" i="9"/>
  <c r="F632" i="9"/>
  <c r="F631" i="9"/>
  <c r="F630" i="9"/>
  <c r="F629" i="9"/>
  <c r="F628" i="9"/>
  <c r="F627" i="9"/>
  <c r="F626" i="9"/>
  <c r="F625" i="9"/>
  <c r="F624" i="9"/>
  <c r="F623" i="9"/>
  <c r="F622" i="9"/>
  <c r="F621" i="9"/>
  <c r="F620" i="9"/>
  <c r="F619" i="9"/>
  <c r="F618" i="9"/>
  <c r="F617" i="9"/>
  <c r="F616" i="9"/>
  <c r="F615" i="9"/>
  <c r="F614" i="9"/>
  <c r="F613" i="9"/>
  <c r="F612" i="9"/>
  <c r="F611" i="9"/>
  <c r="F610" i="9"/>
  <c r="F609" i="9"/>
  <c r="F608" i="9"/>
  <c r="F607" i="9"/>
  <c r="F606" i="9"/>
  <c r="F605" i="9"/>
  <c r="F604" i="9"/>
  <c r="F603" i="9"/>
  <c r="F602" i="9"/>
  <c r="F601" i="9"/>
  <c r="F600" i="9"/>
  <c r="F599" i="9"/>
  <c r="F598" i="9"/>
  <c r="F597" i="9"/>
  <c r="F596" i="9"/>
  <c r="F595" i="9"/>
  <c r="F594" i="9"/>
  <c r="F593" i="9"/>
  <c r="F592" i="9"/>
  <c r="F591" i="9"/>
  <c r="F590" i="9"/>
  <c r="F589" i="9"/>
  <c r="F588" i="9"/>
  <c r="F587" i="9"/>
  <c r="F586" i="9"/>
  <c r="F585" i="9"/>
  <c r="F584" i="9"/>
  <c r="F583" i="9"/>
  <c r="F582" i="9"/>
  <c r="F581" i="9"/>
  <c r="F580" i="9"/>
  <c r="F579" i="9"/>
  <c r="F578" i="9"/>
  <c r="F577" i="9"/>
  <c r="F576" i="9"/>
  <c r="F575" i="9"/>
  <c r="F574" i="9"/>
  <c r="F573" i="9"/>
  <c r="F572" i="9"/>
  <c r="F571" i="9"/>
  <c r="F570" i="9"/>
  <c r="F569" i="9"/>
  <c r="F568" i="9"/>
  <c r="F567" i="9"/>
  <c r="F566" i="9"/>
  <c r="F565" i="9"/>
  <c r="F564" i="9"/>
  <c r="F563" i="9"/>
  <c r="F562" i="9"/>
  <c r="F561" i="9"/>
  <c r="F560" i="9"/>
  <c r="F559" i="9"/>
  <c r="F558" i="9"/>
  <c r="F557" i="9"/>
  <c r="F556" i="9"/>
  <c r="F555" i="9"/>
  <c r="F554" i="9"/>
  <c r="F553" i="9"/>
  <c r="F552" i="9"/>
  <c r="F551" i="9"/>
  <c r="F550" i="9"/>
  <c r="F549" i="9"/>
  <c r="F548" i="9"/>
  <c r="F547" i="9"/>
  <c r="F546" i="9"/>
  <c r="F545" i="9"/>
  <c r="F544" i="9"/>
  <c r="F543" i="9"/>
  <c r="F542" i="9"/>
  <c r="F541" i="9"/>
  <c r="F540" i="9"/>
  <c r="F539" i="9"/>
  <c r="F538" i="9"/>
  <c r="F537" i="9"/>
  <c r="F536" i="9"/>
  <c r="F535" i="9"/>
  <c r="F534" i="9"/>
  <c r="F533" i="9"/>
  <c r="F532" i="9"/>
  <c r="F531" i="9"/>
  <c r="F530" i="9"/>
  <c r="F529" i="9"/>
  <c r="F528" i="9"/>
  <c r="F527" i="9"/>
  <c r="F526" i="9"/>
  <c r="F525" i="9"/>
  <c r="F524" i="9"/>
  <c r="F523" i="9"/>
  <c r="F522" i="9"/>
  <c r="F521" i="9"/>
  <c r="F520" i="9"/>
  <c r="F519" i="9"/>
  <c r="F518" i="9"/>
  <c r="F517" i="9"/>
  <c r="F516" i="9"/>
  <c r="F515" i="9"/>
  <c r="F514" i="9"/>
  <c r="F513" i="9"/>
  <c r="F512" i="9"/>
  <c r="F511" i="9"/>
  <c r="F510" i="9"/>
  <c r="F509" i="9"/>
  <c r="F508" i="9"/>
  <c r="F507" i="9"/>
  <c r="F506" i="9"/>
  <c r="F505" i="9"/>
  <c r="F504" i="9"/>
  <c r="F503" i="9"/>
  <c r="F502" i="9"/>
  <c r="F501" i="9"/>
  <c r="F500" i="9"/>
  <c r="F499" i="9"/>
  <c r="F498" i="9"/>
  <c r="F497" i="9"/>
  <c r="F496" i="9"/>
  <c r="F495" i="9"/>
  <c r="F494" i="9"/>
  <c r="F493" i="9"/>
  <c r="F492" i="9"/>
  <c r="F491" i="9"/>
  <c r="F490" i="9"/>
  <c r="F489" i="9"/>
  <c r="F488" i="9"/>
  <c r="F487" i="9"/>
  <c r="F486" i="9"/>
  <c r="F485" i="9"/>
  <c r="F484" i="9"/>
  <c r="F483" i="9"/>
  <c r="F482" i="9"/>
  <c r="F481" i="9"/>
  <c r="F480" i="9"/>
  <c r="F479" i="9"/>
  <c r="F478" i="9"/>
  <c r="F477" i="9"/>
  <c r="F476" i="9"/>
  <c r="F475" i="9"/>
  <c r="F474" i="9"/>
  <c r="F473" i="9"/>
  <c r="F472" i="9"/>
  <c r="F471" i="9"/>
  <c r="F470" i="9"/>
  <c r="F469" i="9"/>
  <c r="F468" i="9"/>
  <c r="F467" i="9"/>
  <c r="F466" i="9"/>
  <c r="F465" i="9"/>
  <c r="F464" i="9"/>
  <c r="F463" i="9"/>
  <c r="F462" i="9"/>
  <c r="F461" i="9"/>
  <c r="F460" i="9"/>
  <c r="F459" i="9"/>
  <c r="F458" i="9"/>
  <c r="F457" i="9"/>
  <c r="F456" i="9"/>
  <c r="F455" i="9"/>
  <c r="F454" i="9"/>
  <c r="F453" i="9"/>
  <c r="F452" i="9"/>
  <c r="F451" i="9"/>
  <c r="F450" i="9"/>
  <c r="F449" i="9"/>
  <c r="F448" i="9"/>
  <c r="F447" i="9"/>
  <c r="F446" i="9"/>
  <c r="F445" i="9"/>
  <c r="F444" i="9"/>
  <c r="F443" i="9"/>
  <c r="F442" i="9"/>
  <c r="F441" i="9"/>
  <c r="F440" i="9"/>
  <c r="F439" i="9"/>
  <c r="F438" i="9"/>
  <c r="F437" i="9"/>
  <c r="F436" i="9"/>
  <c r="F435" i="9"/>
  <c r="F434" i="9"/>
  <c r="F433" i="9"/>
  <c r="F432" i="9"/>
  <c r="F431" i="9"/>
  <c r="F430" i="9"/>
  <c r="F429" i="9"/>
  <c r="F428" i="9"/>
  <c r="F427" i="9"/>
  <c r="F426" i="9"/>
  <c r="F425" i="9"/>
  <c r="F424" i="9"/>
  <c r="F423" i="9"/>
  <c r="F422" i="9"/>
  <c r="F421" i="9"/>
  <c r="F420" i="9"/>
  <c r="F419" i="9"/>
  <c r="F418" i="9"/>
  <c r="F417" i="9"/>
  <c r="F416" i="9"/>
  <c r="F415" i="9"/>
  <c r="F414" i="9"/>
  <c r="F413" i="9"/>
  <c r="F412" i="9"/>
  <c r="F411" i="9"/>
  <c r="F410" i="9"/>
  <c r="F409" i="9"/>
  <c r="F408" i="9"/>
  <c r="F407" i="9"/>
  <c r="F406" i="9"/>
  <c r="F405" i="9"/>
  <c r="F404" i="9"/>
  <c r="F403" i="9"/>
  <c r="F402" i="9"/>
  <c r="F401" i="9"/>
  <c r="F400" i="9"/>
  <c r="F399" i="9"/>
  <c r="F398" i="9"/>
  <c r="F397" i="9"/>
  <c r="F396" i="9"/>
  <c r="F395" i="9"/>
  <c r="F394" i="9"/>
  <c r="F393" i="9"/>
  <c r="F392" i="9"/>
  <c r="F391" i="9"/>
  <c r="F390" i="9"/>
  <c r="F389" i="9"/>
  <c r="F388" i="9"/>
  <c r="F387" i="9"/>
  <c r="F386" i="9"/>
  <c r="F385" i="9"/>
  <c r="F384" i="9"/>
  <c r="F383" i="9"/>
  <c r="F382" i="9"/>
  <c r="F381" i="9"/>
  <c r="F380" i="9"/>
  <c r="F379" i="9"/>
  <c r="F378" i="9"/>
  <c r="F377" i="9"/>
  <c r="F376" i="9"/>
  <c r="F375" i="9"/>
  <c r="F374" i="9"/>
  <c r="F373" i="9"/>
  <c r="F372" i="9"/>
  <c r="F371" i="9"/>
  <c r="F370" i="9"/>
  <c r="F369" i="9"/>
  <c r="F368" i="9"/>
  <c r="F367" i="9"/>
  <c r="F366" i="9"/>
  <c r="F365" i="9"/>
  <c r="F364" i="9"/>
  <c r="F363" i="9"/>
  <c r="F362" i="9"/>
  <c r="F361" i="9"/>
  <c r="F360" i="9"/>
  <c r="F359" i="9"/>
  <c r="F358" i="9"/>
  <c r="F357" i="9"/>
  <c r="F356" i="9"/>
  <c r="F355" i="9"/>
  <c r="F354" i="9"/>
  <c r="F353" i="9"/>
  <c r="F352" i="9"/>
  <c r="F351" i="9"/>
  <c r="F350" i="9"/>
  <c r="F349" i="9"/>
  <c r="F348" i="9"/>
  <c r="F347" i="9"/>
  <c r="F346" i="9"/>
  <c r="F345" i="9"/>
  <c r="F344" i="9"/>
  <c r="F343" i="9"/>
  <c r="F342" i="9"/>
  <c r="F341" i="9"/>
  <c r="F340" i="9"/>
  <c r="F339" i="9"/>
  <c r="F338" i="9"/>
  <c r="F337" i="9"/>
  <c r="F336" i="9"/>
  <c r="F335" i="9"/>
  <c r="F334" i="9"/>
  <c r="F333" i="9"/>
  <c r="F332" i="9"/>
  <c r="F331" i="9"/>
  <c r="F330" i="9"/>
  <c r="F329" i="9"/>
  <c r="F328" i="9"/>
  <c r="F327" i="9"/>
  <c r="F326" i="9"/>
  <c r="F325" i="9"/>
  <c r="F324" i="9"/>
  <c r="F323" i="9"/>
  <c r="F322" i="9"/>
  <c r="F321" i="9"/>
  <c r="F320" i="9"/>
  <c r="F319" i="9"/>
  <c r="F318" i="9"/>
  <c r="F317" i="9"/>
  <c r="F316" i="9"/>
  <c r="F315" i="9"/>
  <c r="F314" i="9"/>
  <c r="F313" i="9"/>
  <c r="F312" i="9"/>
  <c r="F311" i="9"/>
  <c r="F310" i="9"/>
  <c r="F309" i="9"/>
  <c r="F308" i="9"/>
  <c r="F307" i="9"/>
  <c r="F306" i="9"/>
  <c r="F305" i="9"/>
  <c r="F304" i="9"/>
  <c r="F303" i="9"/>
  <c r="F302" i="9"/>
  <c r="F301" i="9"/>
  <c r="F300" i="9"/>
  <c r="F299" i="9"/>
  <c r="F298" i="9"/>
  <c r="F297" i="9"/>
  <c r="F296" i="9"/>
  <c r="F295" i="9"/>
  <c r="F294" i="9"/>
  <c r="F293" i="9"/>
  <c r="F292" i="9"/>
  <c r="F291" i="9"/>
  <c r="F290" i="9"/>
  <c r="F289" i="9"/>
  <c r="F288" i="9"/>
  <c r="F287" i="9"/>
  <c r="F286" i="9"/>
  <c r="F285" i="9"/>
  <c r="F284" i="9"/>
  <c r="F283" i="9"/>
  <c r="F282" i="9"/>
  <c r="F281" i="9"/>
  <c r="F280" i="9"/>
  <c r="F279" i="9"/>
  <c r="F278" i="9"/>
  <c r="F277" i="9"/>
  <c r="F276" i="9"/>
  <c r="F275" i="9"/>
  <c r="F274" i="9"/>
  <c r="F273" i="9"/>
  <c r="F272" i="9"/>
  <c r="F271" i="9"/>
  <c r="F270" i="9"/>
  <c r="F269" i="9"/>
  <c r="F268" i="9"/>
  <c r="F267" i="9"/>
  <c r="F266" i="9"/>
  <c r="F265" i="9"/>
  <c r="F264" i="9"/>
  <c r="F263" i="9"/>
  <c r="F262" i="9"/>
  <c r="F261" i="9"/>
  <c r="F260" i="9"/>
  <c r="F259" i="9"/>
  <c r="F258" i="9"/>
  <c r="F257" i="9"/>
  <c r="F256" i="9"/>
  <c r="F255" i="9"/>
  <c r="F254" i="9"/>
  <c r="F253" i="9"/>
  <c r="F252" i="9"/>
  <c r="F251" i="9"/>
  <c r="F250" i="9"/>
  <c r="F249" i="9"/>
  <c r="F248" i="9"/>
  <c r="F247" i="9"/>
  <c r="F246" i="9"/>
  <c r="F245" i="9"/>
  <c r="F244" i="9"/>
  <c r="F243" i="9"/>
  <c r="F242" i="9"/>
  <c r="F241" i="9"/>
  <c r="F240" i="9"/>
  <c r="F239" i="9"/>
  <c r="F238" i="9"/>
  <c r="F237" i="9"/>
  <c r="F236" i="9"/>
  <c r="F235" i="9"/>
  <c r="F234" i="9"/>
  <c r="F233" i="9"/>
  <c r="F232" i="9"/>
  <c r="F231" i="9"/>
  <c r="F230" i="9"/>
  <c r="F229" i="9"/>
  <c r="F228" i="9"/>
  <c r="F227" i="9"/>
  <c r="F226" i="9"/>
  <c r="F225" i="9"/>
  <c r="F224" i="9"/>
  <c r="F223" i="9"/>
  <c r="F222" i="9"/>
  <c r="F221" i="9"/>
  <c r="F220" i="9"/>
  <c r="F219" i="9"/>
  <c r="F218" i="9"/>
  <c r="F217" i="9"/>
  <c r="F216" i="9"/>
  <c r="F215" i="9"/>
  <c r="F214" i="9"/>
  <c r="F213" i="9"/>
  <c r="F212" i="9"/>
  <c r="F211" i="9"/>
  <c r="F210" i="9"/>
  <c r="F209" i="9"/>
  <c r="F208" i="9"/>
  <c r="F207" i="9"/>
  <c r="F206" i="9"/>
  <c r="F205" i="9"/>
  <c r="F204" i="9"/>
  <c r="F203" i="9"/>
  <c r="F202" i="9"/>
  <c r="F201" i="9"/>
  <c r="F200" i="9"/>
  <c r="F199" i="9"/>
  <c r="F198" i="9"/>
  <c r="F197" i="9"/>
  <c r="F196" i="9"/>
  <c r="F195" i="9"/>
  <c r="F194" i="9"/>
  <c r="F193" i="9"/>
  <c r="F192" i="9"/>
  <c r="F191" i="9"/>
  <c r="F190" i="9"/>
  <c r="F189" i="9"/>
  <c r="F188" i="9"/>
  <c r="F187" i="9"/>
  <c r="F186" i="9"/>
  <c r="F185" i="9"/>
  <c r="F184" i="9"/>
  <c r="F183" i="9"/>
  <c r="F182" i="9"/>
  <c r="F181" i="9"/>
  <c r="F180" i="9"/>
  <c r="F179" i="9"/>
  <c r="F178" i="9"/>
  <c r="F177" i="9"/>
  <c r="F176" i="9"/>
  <c r="F175" i="9"/>
  <c r="F174" i="9"/>
  <c r="F173" i="9"/>
  <c r="F172" i="9"/>
  <c r="F171" i="9"/>
  <c r="F170" i="9"/>
  <c r="F169" i="9"/>
  <c r="F168" i="9"/>
  <c r="F167" i="9"/>
  <c r="F166" i="9"/>
  <c r="F165" i="9"/>
  <c r="F164" i="9"/>
  <c r="F163" i="9"/>
  <c r="F162" i="9"/>
  <c r="F161" i="9"/>
  <c r="F160" i="9"/>
  <c r="F159" i="9"/>
  <c r="F158" i="9"/>
  <c r="F157" i="9"/>
  <c r="F156" i="9"/>
  <c r="F155" i="9"/>
  <c r="F154" i="9"/>
  <c r="F153" i="9"/>
  <c r="F152" i="9"/>
  <c r="F151" i="9"/>
  <c r="F150" i="9"/>
  <c r="F149" i="9"/>
  <c r="F148" i="9"/>
  <c r="F147" i="9"/>
  <c r="F146" i="9"/>
  <c r="F145" i="9"/>
  <c r="F144" i="9"/>
  <c r="F143" i="9"/>
  <c r="F142" i="9"/>
  <c r="F141" i="9"/>
  <c r="F140" i="9"/>
  <c r="F139" i="9"/>
  <c r="F138" i="9"/>
  <c r="F137" i="9"/>
  <c r="F136" i="9"/>
  <c r="F135" i="9"/>
  <c r="F134" i="9"/>
  <c r="F133" i="9"/>
  <c r="F132" i="9"/>
  <c r="F131" i="9"/>
  <c r="F130" i="9"/>
  <c r="F129" i="9"/>
  <c r="F128" i="9"/>
  <c r="F127" i="9"/>
  <c r="F126" i="9"/>
  <c r="F125" i="9"/>
  <c r="F124" i="9"/>
  <c r="F123" i="9"/>
  <c r="F122" i="9"/>
  <c r="F121" i="9"/>
  <c r="F120" i="9"/>
  <c r="F119" i="9"/>
  <c r="F118" i="9"/>
  <c r="F117" i="9"/>
  <c r="F116" i="9"/>
  <c r="F115" i="9"/>
  <c r="F114" i="9"/>
  <c r="F113" i="9"/>
  <c r="F112" i="9"/>
  <c r="F111" i="9"/>
  <c r="F110" i="9"/>
  <c r="F109" i="9"/>
  <c r="F108" i="9"/>
  <c r="F107" i="9"/>
  <c r="F106" i="9"/>
  <c r="F105" i="9"/>
  <c r="F104" i="9"/>
  <c r="F103" i="9"/>
  <c r="F102" i="9"/>
  <c r="F101" i="9"/>
  <c r="F100" i="9"/>
  <c r="F99" i="9"/>
  <c r="F98" i="9"/>
  <c r="F97" i="9"/>
  <c r="F96" i="9"/>
  <c r="F95" i="9"/>
  <c r="F94" i="9"/>
  <c r="F93" i="9"/>
  <c r="F92" i="9"/>
  <c r="F91" i="9"/>
  <c r="F90" i="9"/>
  <c r="F89" i="9"/>
  <c r="F88" i="9"/>
  <c r="F87" i="9"/>
  <c r="F86" i="9"/>
  <c r="F85" i="9"/>
  <c r="F84" i="9"/>
  <c r="F83" i="9"/>
  <c r="F82" i="9"/>
  <c r="F81" i="9"/>
  <c r="F80" i="9"/>
  <c r="F79" i="9"/>
  <c r="F78" i="9"/>
  <c r="F77" i="9"/>
  <c r="F76" i="9"/>
  <c r="F75" i="9"/>
  <c r="F74" i="9"/>
  <c r="F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F43" i="9"/>
  <c r="F42" i="9"/>
  <c r="F41" i="9"/>
  <c r="F40" i="9"/>
  <c r="F39" i="9"/>
  <c r="F38" i="9"/>
  <c r="F37" i="9"/>
  <c r="F36" i="9"/>
  <c r="F35" i="9"/>
  <c r="F34" i="9"/>
  <c r="F33" i="9"/>
  <c r="F32" i="9"/>
  <c r="F31" i="9"/>
  <c r="F30" i="9"/>
  <c r="F29" i="9"/>
  <c r="F28" i="9"/>
  <c r="F27" i="9"/>
  <c r="F26" i="9"/>
  <c r="F25" i="9"/>
  <c r="F24" i="9"/>
  <c r="F23" i="9"/>
  <c r="F22" i="9"/>
  <c r="F21" i="9"/>
  <c r="F20" i="9"/>
  <c r="F19" i="9"/>
  <c r="F18" i="9"/>
  <c r="F17" i="9"/>
  <c r="F16" i="9"/>
  <c r="F15" i="9"/>
  <c r="F14" i="9"/>
  <c r="F13" i="9"/>
  <c r="F12" i="9"/>
  <c r="F11" i="9"/>
  <c r="F10" i="9"/>
  <c r="F9" i="9"/>
  <c r="F8" i="9"/>
  <c r="F7" i="9"/>
  <c r="F6" i="9"/>
  <c r="F5" i="9"/>
  <c r="F4" i="9"/>
  <c r="B511" i="6" l="1"/>
  <c r="B363" i="6"/>
  <c r="B523" i="6"/>
  <c r="B444" i="6"/>
  <c r="B211" i="6"/>
  <c r="B465" i="6"/>
  <c r="B416" i="6"/>
  <c r="B18" i="6"/>
  <c r="B456" i="6"/>
  <c r="B259" i="6"/>
  <c r="B423" i="6"/>
  <c r="B206" i="6"/>
  <c r="B428" i="6"/>
  <c r="B525" i="6"/>
  <c r="B490" i="6"/>
  <c r="B227" i="6"/>
  <c r="B493" i="6"/>
  <c r="B135" i="6"/>
  <c r="B233" i="6"/>
  <c r="B505" i="6"/>
  <c r="B403" i="6"/>
  <c r="B408" i="6"/>
  <c r="B150" i="6"/>
  <c r="B421" i="6"/>
  <c r="B273" i="6"/>
  <c r="B339" i="6"/>
  <c r="B337" i="6"/>
  <c r="B469" i="6"/>
  <c r="B253" i="6"/>
  <c r="B286" i="6"/>
  <c r="B330" i="6"/>
  <c r="B396" i="6"/>
  <c r="B110" i="6" l="1"/>
  <c r="B153" i="6"/>
  <c r="E1008" i="6"/>
  <c r="D1008" i="6"/>
  <c r="E1004" i="6"/>
  <c r="D1004" i="6"/>
  <c r="E1011" i="6"/>
  <c r="D1011" i="6"/>
  <c r="E1029" i="6"/>
  <c r="D1029" i="6"/>
  <c r="E1006" i="6"/>
  <c r="D1006" i="6"/>
  <c r="E1018" i="6"/>
  <c r="D1018" i="6"/>
  <c r="E1030" i="6"/>
  <c r="D1030" i="6"/>
  <c r="E1042" i="6"/>
  <c r="D1042" i="6"/>
  <c r="E1048" i="6"/>
  <c r="D1048" i="6"/>
  <c r="E1060" i="6"/>
  <c r="D1060" i="6"/>
  <c r="E1072" i="6"/>
  <c r="D1072" i="6"/>
  <c r="E1001" i="6"/>
  <c r="D1001" i="6"/>
  <c r="E1007" i="6"/>
  <c r="D1007" i="6"/>
  <c r="E1013" i="6"/>
  <c r="D1013" i="6"/>
  <c r="E1019" i="6"/>
  <c r="D1019" i="6"/>
  <c r="E1025" i="6"/>
  <c r="D1025" i="6"/>
  <c r="E1031" i="6"/>
  <c r="D1031" i="6"/>
  <c r="E1037" i="6"/>
  <c r="D1037" i="6"/>
  <c r="E1043" i="6"/>
  <c r="D1043" i="6"/>
  <c r="E1049" i="6"/>
  <c r="D1049" i="6"/>
  <c r="E1055" i="6"/>
  <c r="D1055" i="6"/>
  <c r="E1061" i="6"/>
  <c r="D1061" i="6"/>
  <c r="E1067" i="6"/>
  <c r="D1067" i="6"/>
  <c r="E1073" i="6"/>
  <c r="D1073" i="6"/>
  <c r="E1079" i="6"/>
  <c r="D1079" i="6"/>
  <c r="E1085" i="6"/>
  <c r="D1085" i="6"/>
  <c r="E1091" i="6"/>
  <c r="D1091" i="6"/>
  <c r="E1097" i="6"/>
  <c r="D1097" i="6"/>
  <c r="E1103" i="6"/>
  <c r="D1103" i="6"/>
  <c r="E1109" i="6"/>
  <c r="D1109" i="6"/>
  <c r="E1115" i="6"/>
  <c r="D1115" i="6"/>
  <c r="E1121" i="6"/>
  <c r="D1121" i="6"/>
  <c r="E1127" i="6"/>
  <c r="D1127" i="6"/>
  <c r="E1133" i="6"/>
  <c r="D1133" i="6"/>
  <c r="E1139" i="6"/>
  <c r="D1139" i="6"/>
  <c r="E1145" i="6"/>
  <c r="D1145" i="6"/>
  <c r="E1151" i="6"/>
  <c r="D1151" i="6"/>
  <c r="E1157" i="6"/>
  <c r="D1157" i="6"/>
  <c r="E1163" i="6"/>
  <c r="D1163" i="6"/>
  <c r="E1169" i="6"/>
  <c r="D1169" i="6"/>
  <c r="E1175" i="6"/>
  <c r="D1175" i="6"/>
  <c r="E1181" i="6"/>
  <c r="D1181" i="6"/>
  <c r="E1187" i="6"/>
  <c r="D1187" i="6"/>
  <c r="E1193" i="6"/>
  <c r="D1193" i="6"/>
  <c r="E1199" i="6"/>
  <c r="D1199" i="6"/>
  <c r="E1205" i="6"/>
  <c r="D1205" i="6"/>
  <c r="E1211" i="6"/>
  <c r="D1211" i="6"/>
  <c r="E1217" i="6"/>
  <c r="D1217" i="6"/>
  <c r="E1223" i="6"/>
  <c r="D1223" i="6"/>
  <c r="E1229" i="6"/>
  <c r="D1229" i="6"/>
  <c r="E1235" i="6"/>
  <c r="D1235" i="6"/>
  <c r="E1241" i="6"/>
  <c r="D1241" i="6"/>
  <c r="E1247" i="6"/>
  <c r="D1247" i="6"/>
  <c r="E1253" i="6"/>
  <c r="D1253" i="6"/>
  <c r="E1259" i="6"/>
  <c r="D1259" i="6"/>
  <c r="E1265" i="6"/>
  <c r="D1265" i="6"/>
  <c r="E1271" i="6"/>
  <c r="D1271" i="6"/>
  <c r="E1277" i="6"/>
  <c r="D1277" i="6"/>
  <c r="E1283" i="6"/>
  <c r="D1283" i="6"/>
  <c r="E1289" i="6"/>
  <c r="D1289" i="6"/>
  <c r="E1295" i="6"/>
  <c r="D1295" i="6"/>
  <c r="E1301" i="6"/>
  <c r="D1301" i="6"/>
  <c r="E1307" i="6"/>
  <c r="D1307" i="6"/>
  <c r="E1313" i="6"/>
  <c r="D1313" i="6"/>
  <c r="E1319" i="6"/>
  <c r="D1319" i="6"/>
  <c r="E1325" i="6"/>
  <c r="D1325" i="6"/>
  <c r="E1331" i="6"/>
  <c r="D1331" i="6"/>
  <c r="E1337" i="6"/>
  <c r="D1337" i="6"/>
  <c r="E1343" i="6"/>
  <c r="D1343" i="6"/>
  <c r="E1349" i="6"/>
  <c r="D1349" i="6"/>
  <c r="E1355" i="6"/>
  <c r="D1355" i="6"/>
  <c r="E1361" i="6"/>
  <c r="D1361" i="6"/>
  <c r="E1367" i="6"/>
  <c r="D1367" i="6"/>
  <c r="E1373" i="6"/>
  <c r="D1373" i="6"/>
  <c r="E1379" i="6"/>
  <c r="D1379" i="6"/>
  <c r="E1385" i="6"/>
  <c r="D1385" i="6"/>
  <c r="E1391" i="6"/>
  <c r="D1391" i="6"/>
  <c r="E1397" i="6"/>
  <c r="D1397" i="6"/>
  <c r="E1403" i="6"/>
  <c r="D1403" i="6"/>
  <c r="E1409" i="6"/>
  <c r="D1409" i="6"/>
  <c r="E1415" i="6"/>
  <c r="D1415" i="6"/>
  <c r="E1421" i="6"/>
  <c r="D1421" i="6"/>
  <c r="E1427" i="6"/>
  <c r="D1427" i="6"/>
  <c r="E1433" i="6"/>
  <c r="D1433" i="6"/>
  <c r="E1439" i="6"/>
  <c r="D1439" i="6"/>
  <c r="E1445" i="6"/>
  <c r="D1445" i="6"/>
  <c r="E1451" i="6"/>
  <c r="D1451" i="6"/>
  <c r="E1457" i="6"/>
  <c r="D1457" i="6"/>
  <c r="E1463" i="6"/>
  <c r="D1463" i="6"/>
  <c r="E1469" i="6"/>
  <c r="D1469" i="6"/>
  <c r="E1475" i="6"/>
  <c r="D1475" i="6"/>
  <c r="E1481" i="6"/>
  <c r="D1481" i="6"/>
  <c r="E1487" i="6"/>
  <c r="D1487" i="6"/>
  <c r="E1493" i="6"/>
  <c r="D1493" i="6"/>
  <c r="E1499" i="6"/>
  <c r="D1499" i="6"/>
  <c r="E1505" i="6"/>
  <c r="D1505" i="6"/>
  <c r="E1511" i="6"/>
  <c r="D1511" i="6"/>
  <c r="E1517" i="6"/>
  <c r="D1517" i="6"/>
  <c r="E1523" i="6"/>
  <c r="D1523" i="6"/>
  <c r="E1529" i="6"/>
  <c r="D1529" i="6"/>
  <c r="E1535" i="6"/>
  <c r="D1535" i="6"/>
  <c r="E1541" i="6"/>
  <c r="D1541" i="6"/>
  <c r="E1547" i="6"/>
  <c r="D1547" i="6"/>
  <c r="E1553" i="6"/>
  <c r="D1553" i="6"/>
  <c r="E1559" i="6"/>
  <c r="D1559" i="6"/>
  <c r="E1565" i="6"/>
  <c r="D1565" i="6"/>
  <c r="E1571" i="6"/>
  <c r="D1571" i="6"/>
  <c r="E1577" i="6"/>
  <c r="D1577" i="6"/>
  <c r="E1583" i="6"/>
  <c r="D1583" i="6"/>
  <c r="E1589" i="6"/>
  <c r="D1589" i="6"/>
  <c r="E1595" i="6"/>
  <c r="D1595" i="6"/>
  <c r="E1601" i="6"/>
  <c r="D1601" i="6"/>
  <c r="E1607" i="6"/>
  <c r="D1607" i="6"/>
  <c r="E1613" i="6"/>
  <c r="D1613" i="6"/>
  <c r="E1619" i="6"/>
  <c r="D1619" i="6"/>
  <c r="E1625" i="6"/>
  <c r="D1625" i="6"/>
  <c r="E1631" i="6"/>
  <c r="D1631" i="6"/>
  <c r="E1637" i="6"/>
  <c r="D1637" i="6"/>
  <c r="E1643" i="6"/>
  <c r="D1643" i="6"/>
  <c r="E1649" i="6"/>
  <c r="D1649" i="6"/>
  <c r="E1655" i="6"/>
  <c r="D1655" i="6"/>
  <c r="E1661" i="6"/>
  <c r="D1661" i="6"/>
  <c r="E1667" i="6"/>
  <c r="D1667" i="6"/>
  <c r="E1673" i="6"/>
  <c r="D1673" i="6"/>
  <c r="E1679" i="6"/>
  <c r="D1679" i="6"/>
  <c r="E1685" i="6"/>
  <c r="D1685" i="6"/>
  <c r="E1691" i="6"/>
  <c r="D1691" i="6"/>
  <c r="E1697" i="6"/>
  <c r="D1697" i="6"/>
  <c r="E1703" i="6"/>
  <c r="D1703" i="6"/>
  <c r="E1709" i="6"/>
  <c r="D1709" i="6"/>
  <c r="E1715" i="6"/>
  <c r="D1715" i="6"/>
  <c r="E1721" i="6"/>
  <c r="D1721" i="6"/>
  <c r="E1727" i="6"/>
  <c r="D1727" i="6"/>
  <c r="E1733" i="6"/>
  <c r="D1733" i="6"/>
  <c r="E1739" i="6"/>
  <c r="D1739" i="6"/>
  <c r="E1745" i="6"/>
  <c r="D1745" i="6"/>
  <c r="E1751" i="6"/>
  <c r="D1751" i="6"/>
  <c r="E1757" i="6"/>
  <c r="D1757" i="6"/>
  <c r="E1763" i="6"/>
  <c r="D1763" i="6"/>
  <c r="E1769" i="6"/>
  <c r="D1769" i="6"/>
  <c r="E1775" i="6"/>
  <c r="D1775" i="6"/>
  <c r="E1781" i="6"/>
  <c r="D1781" i="6"/>
  <c r="E1787" i="6"/>
  <c r="D1787" i="6"/>
  <c r="E1793" i="6"/>
  <c r="D1793" i="6"/>
  <c r="E1799" i="6"/>
  <c r="D1799" i="6"/>
  <c r="E1805" i="6"/>
  <c r="D1805" i="6"/>
  <c r="E1811" i="6"/>
  <c r="D1811" i="6"/>
  <c r="E1817" i="6"/>
  <c r="D1817" i="6"/>
  <c r="E1823" i="6"/>
  <c r="D1823" i="6"/>
  <c r="E1829" i="6"/>
  <c r="D1829" i="6"/>
  <c r="E1835" i="6"/>
  <c r="D1835" i="6"/>
  <c r="E1841" i="6"/>
  <c r="D1841" i="6"/>
  <c r="E1847" i="6"/>
  <c r="D1847" i="6"/>
  <c r="E1853" i="6"/>
  <c r="D1853" i="6"/>
  <c r="E1859" i="6"/>
  <c r="D1859" i="6"/>
  <c r="E1865" i="6"/>
  <c r="D1865" i="6"/>
  <c r="E1871" i="6"/>
  <c r="D1871" i="6"/>
  <c r="E1877" i="6"/>
  <c r="D1877" i="6"/>
  <c r="E1883" i="6"/>
  <c r="D1883" i="6"/>
  <c r="E1889" i="6"/>
  <c r="D1889" i="6"/>
  <c r="E1895" i="6"/>
  <c r="D1895" i="6"/>
  <c r="E1901" i="6"/>
  <c r="D1901" i="6"/>
  <c r="E1907" i="6"/>
  <c r="D1907" i="6"/>
  <c r="E1913" i="6"/>
  <c r="D1913" i="6"/>
  <c r="E1919" i="6"/>
  <c r="D1919" i="6"/>
  <c r="E1925" i="6"/>
  <c r="D1925" i="6"/>
  <c r="E1931" i="6"/>
  <c r="D1931" i="6"/>
  <c r="E1937" i="6"/>
  <c r="D1937" i="6"/>
  <c r="E1943" i="6"/>
  <c r="D1943" i="6"/>
  <c r="E1949" i="6"/>
  <c r="D1949" i="6"/>
  <c r="E1955" i="6"/>
  <c r="D1955" i="6"/>
  <c r="E1961" i="6"/>
  <c r="D1961" i="6"/>
  <c r="E1967" i="6"/>
  <c r="D1967" i="6"/>
  <c r="E1973" i="6"/>
  <c r="D1973" i="6"/>
  <c r="E1979" i="6"/>
  <c r="D1979" i="6"/>
  <c r="E1985" i="6"/>
  <c r="D1985" i="6"/>
  <c r="E1991" i="6"/>
  <c r="D1991" i="6"/>
  <c r="E1997" i="6"/>
  <c r="D1997" i="6"/>
  <c r="E1014" i="6"/>
  <c r="D1014" i="6"/>
  <c r="E1020" i="6"/>
  <c r="D1020" i="6"/>
  <c r="E1026" i="6"/>
  <c r="D1026" i="6"/>
  <c r="E1032" i="6"/>
  <c r="D1032" i="6"/>
  <c r="E1038" i="6"/>
  <c r="D1038" i="6"/>
  <c r="E1044" i="6"/>
  <c r="D1044" i="6"/>
  <c r="E1050" i="6"/>
  <c r="D1050" i="6"/>
  <c r="E1056" i="6"/>
  <c r="D1056" i="6"/>
  <c r="E1062" i="6"/>
  <c r="D1062" i="6"/>
  <c r="E1068" i="6"/>
  <c r="D1068" i="6"/>
  <c r="E1074" i="6"/>
  <c r="D1074" i="6"/>
  <c r="E1080" i="6"/>
  <c r="D1080" i="6"/>
  <c r="E1086" i="6"/>
  <c r="D1086" i="6"/>
  <c r="E1092" i="6"/>
  <c r="D1092" i="6"/>
  <c r="E1098" i="6"/>
  <c r="D1098" i="6"/>
  <c r="E1104" i="6"/>
  <c r="D1104" i="6"/>
  <c r="E1110" i="6"/>
  <c r="D1110" i="6"/>
  <c r="E1116" i="6"/>
  <c r="D1116" i="6"/>
  <c r="E1122" i="6"/>
  <c r="D1122" i="6"/>
  <c r="E1128" i="6"/>
  <c r="D1128" i="6"/>
  <c r="E1134" i="6"/>
  <c r="D1134" i="6"/>
  <c r="E1140" i="6"/>
  <c r="D1140" i="6"/>
  <c r="E1146" i="6"/>
  <c r="D1146" i="6"/>
  <c r="E1152" i="6"/>
  <c r="D1152" i="6"/>
  <c r="E1158" i="6"/>
  <c r="D1158" i="6"/>
  <c r="E1164" i="6"/>
  <c r="D1164" i="6"/>
  <c r="E1170" i="6"/>
  <c r="D1170" i="6"/>
  <c r="E1176" i="6"/>
  <c r="D1176" i="6"/>
  <c r="E1182" i="6"/>
  <c r="D1182" i="6"/>
  <c r="E1188" i="6"/>
  <c r="D1188" i="6"/>
  <c r="E1194" i="6"/>
  <c r="D1194" i="6"/>
  <c r="E1200" i="6"/>
  <c r="D1200" i="6"/>
  <c r="E1206" i="6"/>
  <c r="D1206" i="6"/>
  <c r="E1212" i="6"/>
  <c r="D1212" i="6"/>
  <c r="E1218" i="6"/>
  <c r="D1218" i="6"/>
  <c r="E1224" i="6"/>
  <c r="D1224" i="6"/>
  <c r="E1230" i="6"/>
  <c r="D1230" i="6"/>
  <c r="E1236" i="6"/>
  <c r="D1236" i="6"/>
  <c r="E1242" i="6"/>
  <c r="D1242" i="6"/>
  <c r="E1248" i="6"/>
  <c r="D1248" i="6"/>
  <c r="E1254" i="6"/>
  <c r="D1254" i="6"/>
  <c r="E1260" i="6"/>
  <c r="D1260" i="6"/>
  <c r="E1266" i="6"/>
  <c r="D1266" i="6"/>
  <c r="E1272" i="6"/>
  <c r="D1272" i="6"/>
  <c r="E1278" i="6"/>
  <c r="D1278" i="6"/>
  <c r="E1284" i="6"/>
  <c r="D1284" i="6"/>
  <c r="E1290" i="6"/>
  <c r="D1290" i="6"/>
  <c r="E1296" i="6"/>
  <c r="D1296" i="6"/>
  <c r="E1302" i="6"/>
  <c r="D1302" i="6"/>
  <c r="E1308" i="6"/>
  <c r="D1308" i="6"/>
  <c r="E1314" i="6"/>
  <c r="D1314" i="6"/>
  <c r="E1320" i="6"/>
  <c r="D1320" i="6"/>
  <c r="E1326" i="6"/>
  <c r="D1326" i="6"/>
  <c r="E1332" i="6"/>
  <c r="D1332" i="6"/>
  <c r="E1338" i="6"/>
  <c r="D1338" i="6"/>
  <c r="E1344" i="6"/>
  <c r="D1344" i="6"/>
  <c r="E1350" i="6"/>
  <c r="D1350" i="6"/>
  <c r="E1356" i="6"/>
  <c r="D1356" i="6"/>
  <c r="E1362" i="6"/>
  <c r="D1362" i="6"/>
  <c r="E1368" i="6"/>
  <c r="D1368" i="6"/>
  <c r="E1374" i="6"/>
  <c r="D1374" i="6"/>
  <c r="E1380" i="6"/>
  <c r="D1380" i="6"/>
  <c r="E1386" i="6"/>
  <c r="D1386" i="6"/>
  <c r="E1392" i="6"/>
  <c r="D1392" i="6"/>
  <c r="E1398" i="6"/>
  <c r="D1398" i="6"/>
  <c r="E1404" i="6"/>
  <c r="D1404" i="6"/>
  <c r="E1410" i="6"/>
  <c r="D1410" i="6"/>
  <c r="E1416" i="6"/>
  <c r="D1416" i="6"/>
  <c r="E1422" i="6"/>
  <c r="D1422" i="6"/>
  <c r="E1428" i="6"/>
  <c r="D1428" i="6"/>
  <c r="E1434" i="6"/>
  <c r="D1434" i="6"/>
  <c r="E1440" i="6"/>
  <c r="D1440" i="6"/>
  <c r="E1446" i="6"/>
  <c r="D1446" i="6"/>
  <c r="E1452" i="6"/>
  <c r="D1452" i="6"/>
  <c r="E1458" i="6"/>
  <c r="D1458" i="6"/>
  <c r="E1464" i="6"/>
  <c r="D1464" i="6"/>
  <c r="E1470" i="6"/>
  <c r="D1470" i="6"/>
  <c r="E1476" i="6"/>
  <c r="D1476" i="6"/>
  <c r="E1482" i="6"/>
  <c r="D1482" i="6"/>
  <c r="E1488" i="6"/>
  <c r="D1488" i="6"/>
  <c r="E1494" i="6"/>
  <c r="D1494" i="6"/>
  <c r="E1500" i="6"/>
  <c r="D1500" i="6"/>
  <c r="E1506" i="6"/>
  <c r="D1506" i="6"/>
  <c r="E1512" i="6"/>
  <c r="D1512" i="6"/>
  <c r="E1518" i="6"/>
  <c r="D1518" i="6"/>
  <c r="E1524" i="6"/>
  <c r="D1524" i="6"/>
  <c r="E1530" i="6"/>
  <c r="D1530" i="6"/>
  <c r="E1536" i="6"/>
  <c r="D1536" i="6"/>
  <c r="E1542" i="6"/>
  <c r="D1542" i="6"/>
  <c r="E1548" i="6"/>
  <c r="D1548" i="6"/>
  <c r="E1554" i="6"/>
  <c r="D1554" i="6"/>
  <c r="E1560" i="6"/>
  <c r="D1560" i="6"/>
  <c r="E1566" i="6"/>
  <c r="D1566" i="6"/>
  <c r="E1572" i="6"/>
  <c r="D1572" i="6"/>
  <c r="E1578" i="6"/>
  <c r="D1578" i="6"/>
  <c r="E1584" i="6"/>
  <c r="D1584" i="6"/>
  <c r="E1590" i="6"/>
  <c r="D1590" i="6"/>
  <c r="E1596" i="6"/>
  <c r="D1596" i="6"/>
  <c r="E1602" i="6"/>
  <c r="D1602" i="6"/>
  <c r="E1608" i="6"/>
  <c r="D1608" i="6"/>
  <c r="E1614" i="6"/>
  <c r="D1614" i="6"/>
  <c r="E1620" i="6"/>
  <c r="D1620" i="6"/>
  <c r="E1626" i="6"/>
  <c r="D1626" i="6"/>
  <c r="E1632" i="6"/>
  <c r="D1632" i="6"/>
  <c r="E1638" i="6"/>
  <c r="D1638" i="6"/>
  <c r="E1644" i="6"/>
  <c r="D1644" i="6"/>
  <c r="E1650" i="6"/>
  <c r="D1650" i="6"/>
  <c r="E1656" i="6"/>
  <c r="D1656" i="6"/>
  <c r="E1662" i="6"/>
  <c r="D1662" i="6"/>
  <c r="E1668" i="6"/>
  <c r="D1668" i="6"/>
  <c r="E1674" i="6"/>
  <c r="D1674" i="6"/>
  <c r="E1680" i="6"/>
  <c r="D1680" i="6"/>
  <c r="E1686" i="6"/>
  <c r="D1686" i="6"/>
  <c r="E1692" i="6"/>
  <c r="D1692" i="6"/>
  <c r="E1698" i="6"/>
  <c r="D1698" i="6"/>
  <c r="E1704" i="6"/>
  <c r="D1704" i="6"/>
  <c r="E1710" i="6"/>
  <c r="D1710" i="6"/>
  <c r="E1716" i="6"/>
  <c r="D1716" i="6"/>
  <c r="E1722" i="6"/>
  <c r="D1722" i="6"/>
  <c r="E1728" i="6"/>
  <c r="D1728" i="6"/>
  <c r="E1734" i="6"/>
  <c r="D1734" i="6"/>
  <c r="E1740" i="6"/>
  <c r="D1740" i="6"/>
  <c r="E1746" i="6"/>
  <c r="D1746" i="6"/>
  <c r="E1752" i="6"/>
  <c r="D1752" i="6"/>
  <c r="E1758" i="6"/>
  <c r="D1758" i="6"/>
  <c r="E1764" i="6"/>
  <c r="D1764" i="6"/>
  <c r="E1770" i="6"/>
  <c r="D1770" i="6"/>
  <c r="E1776" i="6"/>
  <c r="D1776" i="6"/>
  <c r="E1782" i="6"/>
  <c r="D1782" i="6"/>
  <c r="E1788" i="6"/>
  <c r="D1788" i="6"/>
  <c r="E1794" i="6"/>
  <c r="D1794" i="6"/>
  <c r="E1800" i="6"/>
  <c r="D1800" i="6"/>
  <c r="E1806" i="6"/>
  <c r="D1806" i="6"/>
  <c r="E1812" i="6"/>
  <c r="D1812" i="6"/>
  <c r="E1818" i="6"/>
  <c r="D1818" i="6"/>
  <c r="E1824" i="6"/>
  <c r="D1824" i="6"/>
  <c r="E1830" i="6"/>
  <c r="D1830" i="6"/>
  <c r="E1836" i="6"/>
  <c r="D1836" i="6"/>
  <c r="E1842" i="6"/>
  <c r="D1842" i="6"/>
  <c r="E1848" i="6"/>
  <c r="D1848" i="6"/>
  <c r="E1854" i="6"/>
  <c r="D1854" i="6"/>
  <c r="E1860" i="6"/>
  <c r="D1860" i="6"/>
  <c r="E1866" i="6"/>
  <c r="D1866" i="6"/>
  <c r="E1872" i="6"/>
  <c r="D1872" i="6"/>
  <c r="E1878" i="6"/>
  <c r="D1878" i="6"/>
  <c r="E1884" i="6"/>
  <c r="D1884" i="6"/>
  <c r="E1890" i="6"/>
  <c r="D1890" i="6"/>
  <c r="E1896" i="6"/>
  <c r="D1896" i="6"/>
  <c r="E1902" i="6"/>
  <c r="D1902" i="6"/>
  <c r="E1908" i="6"/>
  <c r="D1908" i="6"/>
  <c r="E1914" i="6"/>
  <c r="D1914" i="6"/>
  <c r="E1920" i="6"/>
  <c r="D1920" i="6"/>
  <c r="E1926" i="6"/>
  <c r="D1926" i="6"/>
  <c r="E1932" i="6"/>
  <c r="D1932" i="6"/>
  <c r="E1938" i="6"/>
  <c r="D1938" i="6"/>
  <c r="E1944" i="6"/>
  <c r="D1944" i="6"/>
  <c r="E1950" i="6"/>
  <c r="D1950" i="6"/>
  <c r="E1956" i="6"/>
  <c r="D1956" i="6"/>
  <c r="E1962" i="6"/>
  <c r="D1962" i="6"/>
  <c r="E1968" i="6"/>
  <c r="D1968" i="6"/>
  <c r="E1974" i="6"/>
  <c r="D1974" i="6"/>
  <c r="E1980" i="6"/>
  <c r="D1980" i="6"/>
  <c r="E1986" i="6"/>
  <c r="D1986" i="6"/>
  <c r="E1992" i="6"/>
  <c r="D1992" i="6"/>
  <c r="E1998" i="6"/>
  <c r="D1998" i="6"/>
  <c r="E1015" i="6"/>
  <c r="D1015" i="6"/>
  <c r="E1021" i="6"/>
  <c r="D1021" i="6"/>
  <c r="E1027" i="6"/>
  <c r="D1027" i="6"/>
  <c r="E1033" i="6"/>
  <c r="D1033" i="6"/>
  <c r="E1039" i="6"/>
  <c r="D1039" i="6"/>
  <c r="E1045" i="6"/>
  <c r="D1045" i="6"/>
  <c r="E1051" i="6"/>
  <c r="D1051" i="6"/>
  <c r="E1057" i="6"/>
  <c r="D1057" i="6"/>
  <c r="E1063" i="6"/>
  <c r="D1063" i="6"/>
  <c r="E1069" i="6"/>
  <c r="D1069" i="6"/>
  <c r="E1075" i="6"/>
  <c r="D1075" i="6"/>
  <c r="E1081" i="6"/>
  <c r="D1081" i="6"/>
  <c r="E1087" i="6"/>
  <c r="D1087" i="6"/>
  <c r="E1093" i="6"/>
  <c r="D1093" i="6"/>
  <c r="E1099" i="6"/>
  <c r="D1099" i="6"/>
  <c r="E1105" i="6"/>
  <c r="D1105" i="6"/>
  <c r="E1111" i="6"/>
  <c r="D1111" i="6"/>
  <c r="E1117" i="6"/>
  <c r="D1117" i="6"/>
  <c r="E1123" i="6"/>
  <c r="D1123" i="6"/>
  <c r="E1129" i="6"/>
  <c r="D1129" i="6"/>
  <c r="E1135" i="6"/>
  <c r="D1135" i="6"/>
  <c r="E1141" i="6"/>
  <c r="D1141" i="6"/>
  <c r="E1147" i="6"/>
  <c r="D1147" i="6"/>
  <c r="E1153" i="6"/>
  <c r="D1153" i="6"/>
  <c r="E1159" i="6"/>
  <c r="D1159" i="6"/>
  <c r="E1165" i="6"/>
  <c r="D1165" i="6"/>
  <c r="E1171" i="6"/>
  <c r="D1171" i="6"/>
  <c r="E1177" i="6"/>
  <c r="D1177" i="6"/>
  <c r="E1183" i="6"/>
  <c r="D1183" i="6"/>
  <c r="E1189" i="6"/>
  <c r="D1189" i="6"/>
  <c r="E1195" i="6"/>
  <c r="D1195" i="6"/>
  <c r="E1201" i="6"/>
  <c r="D1201" i="6"/>
  <c r="E1207" i="6"/>
  <c r="D1207" i="6"/>
  <c r="E1213" i="6"/>
  <c r="D1213" i="6"/>
  <c r="E1219" i="6"/>
  <c r="D1219" i="6"/>
  <c r="E1225" i="6"/>
  <c r="D1225" i="6"/>
  <c r="E1231" i="6"/>
  <c r="D1231" i="6"/>
  <c r="E1237" i="6"/>
  <c r="D1237" i="6"/>
  <c r="E1243" i="6"/>
  <c r="D1243" i="6"/>
  <c r="E1249" i="6"/>
  <c r="D1249" i="6"/>
  <c r="E1255" i="6"/>
  <c r="D1255" i="6"/>
  <c r="E1261" i="6"/>
  <c r="D1261" i="6"/>
  <c r="E1267" i="6"/>
  <c r="D1267" i="6"/>
  <c r="E1273" i="6"/>
  <c r="D1273" i="6"/>
  <c r="E1279" i="6"/>
  <c r="D1279" i="6"/>
  <c r="E1285" i="6"/>
  <c r="D1285" i="6"/>
  <c r="E1291" i="6"/>
  <c r="D1291" i="6"/>
  <c r="E1297" i="6"/>
  <c r="D1297" i="6"/>
  <c r="E1303" i="6"/>
  <c r="D1303" i="6"/>
  <c r="E1309" i="6"/>
  <c r="D1309" i="6"/>
  <c r="E1315" i="6"/>
  <c r="D1315" i="6"/>
  <c r="E1321" i="6"/>
  <c r="D1321" i="6"/>
  <c r="E1327" i="6"/>
  <c r="D1327" i="6"/>
  <c r="E1333" i="6"/>
  <c r="D1333" i="6"/>
  <c r="E1339" i="6"/>
  <c r="D1339" i="6"/>
  <c r="E1345" i="6"/>
  <c r="D1345" i="6"/>
  <c r="E1351" i="6"/>
  <c r="D1351" i="6"/>
  <c r="E1357" i="6"/>
  <c r="D1357" i="6"/>
  <c r="E1363" i="6"/>
  <c r="D1363" i="6"/>
  <c r="E1369" i="6"/>
  <c r="D1369" i="6"/>
  <c r="E1375" i="6"/>
  <c r="D1375" i="6"/>
  <c r="E1381" i="6"/>
  <c r="D1381" i="6"/>
  <c r="E1387" i="6"/>
  <c r="D1387" i="6"/>
  <c r="E1393" i="6"/>
  <c r="D1393" i="6"/>
  <c r="E1399" i="6"/>
  <c r="D1399" i="6"/>
  <c r="E1405" i="6"/>
  <c r="D1405" i="6"/>
  <c r="E1411" i="6"/>
  <c r="D1411" i="6"/>
  <c r="E1417" i="6"/>
  <c r="D1417" i="6"/>
  <c r="E1423" i="6"/>
  <c r="D1423" i="6"/>
  <c r="E1429" i="6"/>
  <c r="D1429" i="6"/>
  <c r="E1435" i="6"/>
  <c r="D1435" i="6"/>
  <c r="E1441" i="6"/>
  <c r="D1441" i="6"/>
  <c r="E1447" i="6"/>
  <c r="D1447" i="6"/>
  <c r="E1453" i="6"/>
  <c r="D1453" i="6"/>
  <c r="E1459" i="6"/>
  <c r="D1459" i="6"/>
  <c r="E1465" i="6"/>
  <c r="D1465" i="6"/>
  <c r="E1471" i="6"/>
  <c r="D1471" i="6"/>
  <c r="E1477" i="6"/>
  <c r="D1477" i="6"/>
  <c r="E1483" i="6"/>
  <c r="D1483" i="6"/>
  <c r="E1489" i="6"/>
  <c r="D1489" i="6"/>
  <c r="E1495" i="6"/>
  <c r="D1495" i="6"/>
  <c r="E1501" i="6"/>
  <c r="D1501" i="6"/>
  <c r="E1507" i="6"/>
  <c r="D1507" i="6"/>
  <c r="E1513" i="6"/>
  <c r="D1513" i="6"/>
  <c r="E1519" i="6"/>
  <c r="D1519" i="6"/>
  <c r="E1525" i="6"/>
  <c r="D1525" i="6"/>
  <c r="E1531" i="6"/>
  <c r="D1531" i="6"/>
  <c r="E1537" i="6"/>
  <c r="D1537" i="6"/>
  <c r="E1543" i="6"/>
  <c r="D1543" i="6"/>
  <c r="E1549" i="6"/>
  <c r="D1549" i="6"/>
  <c r="E1555" i="6"/>
  <c r="D1555" i="6"/>
  <c r="E1561" i="6"/>
  <c r="D1561" i="6"/>
  <c r="E1567" i="6"/>
  <c r="D1567" i="6"/>
  <c r="E1573" i="6"/>
  <c r="D1573" i="6"/>
  <c r="E1579" i="6"/>
  <c r="D1579" i="6"/>
  <c r="E1585" i="6"/>
  <c r="D1585" i="6"/>
  <c r="E1591" i="6"/>
  <c r="D1591" i="6"/>
  <c r="E1597" i="6"/>
  <c r="D1597" i="6"/>
  <c r="E1603" i="6"/>
  <c r="D1603" i="6"/>
  <c r="E1609" i="6"/>
  <c r="D1609" i="6"/>
  <c r="E1615" i="6"/>
  <c r="D1615" i="6"/>
  <c r="E1621" i="6"/>
  <c r="D1621" i="6"/>
  <c r="E1627" i="6"/>
  <c r="D1627" i="6"/>
  <c r="E1633" i="6"/>
  <c r="D1633" i="6"/>
  <c r="E1639" i="6"/>
  <c r="D1639" i="6"/>
  <c r="E1645" i="6"/>
  <c r="D1645" i="6"/>
  <c r="E1651" i="6"/>
  <c r="D1651" i="6"/>
  <c r="E1657" i="6"/>
  <c r="D1657" i="6"/>
  <c r="E1663" i="6"/>
  <c r="D1663" i="6"/>
  <c r="E1669" i="6"/>
  <c r="D1669" i="6"/>
  <c r="E1675" i="6"/>
  <c r="D1675" i="6"/>
  <c r="E1681" i="6"/>
  <c r="D1681" i="6"/>
  <c r="E1687" i="6"/>
  <c r="D1687" i="6"/>
  <c r="E1693" i="6"/>
  <c r="D1693" i="6"/>
  <c r="E1699" i="6"/>
  <c r="D1699" i="6"/>
  <c r="E1705" i="6"/>
  <c r="D1705" i="6"/>
  <c r="E1711" i="6"/>
  <c r="D1711" i="6"/>
  <c r="E1717" i="6"/>
  <c r="D1717" i="6"/>
  <c r="E1723" i="6"/>
  <c r="D1723" i="6"/>
  <c r="E1729" i="6"/>
  <c r="D1729" i="6"/>
  <c r="E1735" i="6"/>
  <c r="D1735" i="6"/>
  <c r="E1741" i="6"/>
  <c r="D1741" i="6"/>
  <c r="E1747" i="6"/>
  <c r="D1747" i="6"/>
  <c r="E1753" i="6"/>
  <c r="D1753" i="6"/>
  <c r="E1759" i="6"/>
  <c r="D1759" i="6"/>
  <c r="E1765" i="6"/>
  <c r="D1765" i="6"/>
  <c r="E1771" i="6"/>
  <c r="D1771" i="6"/>
  <c r="E1777" i="6"/>
  <c r="D1777" i="6"/>
  <c r="E1783" i="6"/>
  <c r="D1783" i="6"/>
  <c r="E1789" i="6"/>
  <c r="D1789" i="6"/>
  <c r="E1795" i="6"/>
  <c r="D1795" i="6"/>
  <c r="E1801" i="6"/>
  <c r="D1801" i="6"/>
  <c r="E1807" i="6"/>
  <c r="D1807" i="6"/>
  <c r="E1813" i="6"/>
  <c r="D1813" i="6"/>
  <c r="E1819" i="6"/>
  <c r="D1819" i="6"/>
  <c r="E1825" i="6"/>
  <c r="D1825" i="6"/>
  <c r="E1831" i="6"/>
  <c r="D1831" i="6"/>
  <c r="E1837" i="6"/>
  <c r="D1837" i="6"/>
  <c r="E1843" i="6"/>
  <c r="D1843" i="6"/>
  <c r="E1849" i="6"/>
  <c r="D1849" i="6"/>
  <c r="E1855" i="6"/>
  <c r="D1855" i="6"/>
  <c r="E1861" i="6"/>
  <c r="D1861" i="6"/>
  <c r="E1867" i="6"/>
  <c r="D1867" i="6"/>
  <c r="E1873" i="6"/>
  <c r="D1873" i="6"/>
  <c r="E1879" i="6"/>
  <c r="D1879" i="6"/>
  <c r="E1885" i="6"/>
  <c r="D1885" i="6"/>
  <c r="E1891" i="6"/>
  <c r="D1891" i="6"/>
  <c r="E1897" i="6"/>
  <c r="D1897" i="6"/>
  <c r="E1903" i="6"/>
  <c r="D1903" i="6"/>
  <c r="E1909" i="6"/>
  <c r="D1909" i="6"/>
  <c r="E1915" i="6"/>
  <c r="D1915" i="6"/>
  <c r="E1921" i="6"/>
  <c r="D1921" i="6"/>
  <c r="E1927" i="6"/>
  <c r="D1927" i="6"/>
  <c r="E1933" i="6"/>
  <c r="D1933" i="6"/>
  <c r="E1939" i="6"/>
  <c r="D1939" i="6"/>
  <c r="E1945" i="6"/>
  <c r="D1945" i="6"/>
  <c r="E1951" i="6"/>
  <c r="D1951" i="6"/>
  <c r="E1957" i="6"/>
  <c r="D1957" i="6"/>
  <c r="E1963" i="6"/>
  <c r="D1963" i="6"/>
  <c r="E1969" i="6"/>
  <c r="D1969" i="6"/>
  <c r="E1975" i="6"/>
  <c r="D1975" i="6"/>
  <c r="E1981" i="6"/>
  <c r="D1981" i="6"/>
  <c r="E1987" i="6"/>
  <c r="D1987" i="6"/>
  <c r="E1993" i="6"/>
  <c r="D1993" i="6"/>
  <c r="E1999" i="6"/>
  <c r="D1999" i="6"/>
  <c r="E1002" i="6"/>
  <c r="D1002" i="6"/>
  <c r="E1016" i="6"/>
  <c r="D1016" i="6"/>
  <c r="E1022" i="6"/>
  <c r="D1022" i="6"/>
  <c r="E1028" i="6"/>
  <c r="D1028" i="6"/>
  <c r="E1034" i="6"/>
  <c r="D1034" i="6"/>
  <c r="E1040" i="6"/>
  <c r="D1040" i="6"/>
  <c r="E1046" i="6"/>
  <c r="D1046" i="6"/>
  <c r="E1052" i="6"/>
  <c r="D1052" i="6"/>
  <c r="E1058" i="6"/>
  <c r="D1058" i="6"/>
  <c r="E1064" i="6"/>
  <c r="D1064" i="6"/>
  <c r="E1070" i="6"/>
  <c r="D1070" i="6"/>
  <c r="E1076" i="6"/>
  <c r="D1076" i="6"/>
  <c r="E1082" i="6"/>
  <c r="D1082" i="6"/>
  <c r="E1088" i="6"/>
  <c r="D1088" i="6"/>
  <c r="E1094" i="6"/>
  <c r="D1094" i="6"/>
  <c r="E1100" i="6"/>
  <c r="D1100" i="6"/>
  <c r="E1106" i="6"/>
  <c r="D1106" i="6"/>
  <c r="E1112" i="6"/>
  <c r="D1112" i="6"/>
  <c r="E1118" i="6"/>
  <c r="D1118" i="6"/>
  <c r="E1124" i="6"/>
  <c r="D1124" i="6"/>
  <c r="E1130" i="6"/>
  <c r="D1130" i="6"/>
  <c r="E1136" i="6"/>
  <c r="D1136" i="6"/>
  <c r="E1142" i="6"/>
  <c r="D1142" i="6"/>
  <c r="E1148" i="6"/>
  <c r="D1148" i="6"/>
  <c r="E1154" i="6"/>
  <c r="D1154" i="6"/>
  <c r="E1160" i="6"/>
  <c r="D1160" i="6"/>
  <c r="E1166" i="6"/>
  <c r="D1166" i="6"/>
  <c r="E1172" i="6"/>
  <c r="D1172" i="6"/>
  <c r="E1178" i="6"/>
  <c r="D1178" i="6"/>
  <c r="E1184" i="6"/>
  <c r="D1184" i="6"/>
  <c r="E1190" i="6"/>
  <c r="D1190" i="6"/>
  <c r="E1196" i="6"/>
  <c r="D1196" i="6"/>
  <c r="E1202" i="6"/>
  <c r="D1202" i="6"/>
  <c r="E1208" i="6"/>
  <c r="D1208" i="6"/>
  <c r="E1214" i="6"/>
  <c r="D1214" i="6"/>
  <c r="E1220" i="6"/>
  <c r="D1220" i="6"/>
  <c r="E1226" i="6"/>
  <c r="D1226" i="6"/>
  <c r="E1232" i="6"/>
  <c r="D1232" i="6"/>
  <c r="E1238" i="6"/>
  <c r="D1238" i="6"/>
  <c r="E1244" i="6"/>
  <c r="D1244" i="6"/>
  <c r="E1250" i="6"/>
  <c r="D1250" i="6"/>
  <c r="E1256" i="6"/>
  <c r="D1256" i="6"/>
  <c r="E1262" i="6"/>
  <c r="D1262" i="6"/>
  <c r="E1268" i="6"/>
  <c r="D1268" i="6"/>
  <c r="E1274" i="6"/>
  <c r="D1274" i="6"/>
  <c r="E1280" i="6"/>
  <c r="D1280" i="6"/>
  <c r="E1286" i="6"/>
  <c r="D1286" i="6"/>
  <c r="E1292" i="6"/>
  <c r="D1292" i="6"/>
  <c r="E1298" i="6"/>
  <c r="D1298" i="6"/>
  <c r="E1304" i="6"/>
  <c r="D1304" i="6"/>
  <c r="E1310" i="6"/>
  <c r="D1310" i="6"/>
  <c r="E1316" i="6"/>
  <c r="D1316" i="6"/>
  <c r="E1322" i="6"/>
  <c r="D1322" i="6"/>
  <c r="E1328" i="6"/>
  <c r="D1328" i="6"/>
  <c r="E1334" i="6"/>
  <c r="D1334" i="6"/>
  <c r="E1340" i="6"/>
  <c r="D1340" i="6"/>
  <c r="E1346" i="6"/>
  <c r="D1346" i="6"/>
  <c r="E1352" i="6"/>
  <c r="D1352" i="6"/>
  <c r="E1358" i="6"/>
  <c r="D1358" i="6"/>
  <c r="E1364" i="6"/>
  <c r="D1364" i="6"/>
  <c r="E1370" i="6"/>
  <c r="D1370" i="6"/>
  <c r="E1376" i="6"/>
  <c r="D1376" i="6"/>
  <c r="E1382" i="6"/>
  <c r="D1382" i="6"/>
  <c r="E1388" i="6"/>
  <c r="D1388" i="6"/>
  <c r="E1394" i="6"/>
  <c r="D1394" i="6"/>
  <c r="E1400" i="6"/>
  <c r="D1400" i="6"/>
  <c r="E1406" i="6"/>
  <c r="D1406" i="6"/>
  <c r="E1412" i="6"/>
  <c r="D1412" i="6"/>
  <c r="E1418" i="6"/>
  <c r="D1418" i="6"/>
  <c r="E1424" i="6"/>
  <c r="D1424" i="6"/>
  <c r="E1430" i="6"/>
  <c r="D1430" i="6"/>
  <c r="E1436" i="6"/>
  <c r="D1436" i="6"/>
  <c r="E1442" i="6"/>
  <c r="D1442" i="6"/>
  <c r="E1448" i="6"/>
  <c r="D1448" i="6"/>
  <c r="E1454" i="6"/>
  <c r="D1454" i="6"/>
  <c r="E1460" i="6"/>
  <c r="D1460" i="6"/>
  <c r="E1466" i="6"/>
  <c r="D1466" i="6"/>
  <c r="E1472" i="6"/>
  <c r="D1472" i="6"/>
  <c r="E1478" i="6"/>
  <c r="D1478" i="6"/>
  <c r="E1484" i="6"/>
  <c r="D1484" i="6"/>
  <c r="E1490" i="6"/>
  <c r="D1490" i="6"/>
  <c r="E1496" i="6"/>
  <c r="D1496" i="6"/>
  <c r="E1502" i="6"/>
  <c r="D1502" i="6"/>
  <c r="E1508" i="6"/>
  <c r="D1508" i="6"/>
  <c r="E1514" i="6"/>
  <c r="D1514" i="6"/>
  <c r="E1520" i="6"/>
  <c r="D1520" i="6"/>
  <c r="E1526" i="6"/>
  <c r="D1526" i="6"/>
  <c r="E1532" i="6"/>
  <c r="D1532" i="6"/>
  <c r="E1538" i="6"/>
  <c r="D1538" i="6"/>
  <c r="E1544" i="6"/>
  <c r="D1544" i="6"/>
  <c r="E1550" i="6"/>
  <c r="D1550" i="6"/>
  <c r="E1556" i="6"/>
  <c r="D1556" i="6"/>
  <c r="E1562" i="6"/>
  <c r="D1562" i="6"/>
  <c r="E1568" i="6"/>
  <c r="D1568" i="6"/>
  <c r="E1574" i="6"/>
  <c r="D1574" i="6"/>
  <c r="E1580" i="6"/>
  <c r="D1580" i="6"/>
  <c r="E1586" i="6"/>
  <c r="D1586" i="6"/>
  <c r="E1592" i="6"/>
  <c r="D1592" i="6"/>
  <c r="E1598" i="6"/>
  <c r="D1598" i="6"/>
  <c r="E1604" i="6"/>
  <c r="D1604" i="6"/>
  <c r="E1610" i="6"/>
  <c r="D1610" i="6"/>
  <c r="E1616" i="6"/>
  <c r="D1616" i="6"/>
  <c r="E1622" i="6"/>
  <c r="D1622" i="6"/>
  <c r="E1628" i="6"/>
  <c r="D1628" i="6"/>
  <c r="E1634" i="6"/>
  <c r="D1634" i="6"/>
  <c r="E1640" i="6"/>
  <c r="D1640" i="6"/>
  <c r="E1646" i="6"/>
  <c r="D1646" i="6"/>
  <c r="E1652" i="6"/>
  <c r="D1652" i="6"/>
  <c r="E1658" i="6"/>
  <c r="D1658" i="6"/>
  <c r="E1664" i="6"/>
  <c r="D1664" i="6"/>
  <c r="E1670" i="6"/>
  <c r="D1670" i="6"/>
  <c r="E1676" i="6"/>
  <c r="D1676" i="6"/>
  <c r="E1682" i="6"/>
  <c r="D1682" i="6"/>
  <c r="E1688" i="6"/>
  <c r="D1688" i="6"/>
  <c r="E1694" i="6"/>
  <c r="D1694" i="6"/>
  <c r="E1700" i="6"/>
  <c r="D1700" i="6"/>
  <c r="E1706" i="6"/>
  <c r="D1706" i="6"/>
  <c r="E1712" i="6"/>
  <c r="D1712" i="6"/>
  <c r="E1718" i="6"/>
  <c r="D1718" i="6"/>
  <c r="E1724" i="6"/>
  <c r="D1724" i="6"/>
  <c r="E1730" i="6"/>
  <c r="D1730" i="6"/>
  <c r="E1736" i="6"/>
  <c r="D1736" i="6"/>
  <c r="E1742" i="6"/>
  <c r="D1742" i="6"/>
  <c r="E1748" i="6"/>
  <c r="D1748" i="6"/>
  <c r="E1754" i="6"/>
  <c r="D1754" i="6"/>
  <c r="E1760" i="6"/>
  <c r="D1760" i="6"/>
  <c r="E1766" i="6"/>
  <c r="D1766" i="6"/>
  <c r="E1772" i="6"/>
  <c r="D1772" i="6"/>
  <c r="E1778" i="6"/>
  <c r="D1778" i="6"/>
  <c r="E1784" i="6"/>
  <c r="D1784" i="6"/>
  <c r="E1790" i="6"/>
  <c r="D1790" i="6"/>
  <c r="E1796" i="6"/>
  <c r="D1796" i="6"/>
  <c r="E1802" i="6"/>
  <c r="D1802" i="6"/>
  <c r="E1808" i="6"/>
  <c r="D1808" i="6"/>
  <c r="E1814" i="6"/>
  <c r="D1814" i="6"/>
  <c r="E1820" i="6"/>
  <c r="D1820" i="6"/>
  <c r="E1826" i="6"/>
  <c r="D1826" i="6"/>
  <c r="E1832" i="6"/>
  <c r="D1832" i="6"/>
  <c r="E1838" i="6"/>
  <c r="D1838" i="6"/>
  <c r="E1844" i="6"/>
  <c r="D1844" i="6"/>
  <c r="E1850" i="6"/>
  <c r="D1850" i="6"/>
  <c r="E1856" i="6"/>
  <c r="D1856" i="6"/>
  <c r="E1862" i="6"/>
  <c r="D1862" i="6"/>
  <c r="E1868" i="6"/>
  <c r="D1868" i="6"/>
  <c r="E1874" i="6"/>
  <c r="D1874" i="6"/>
  <c r="E1880" i="6"/>
  <c r="D1880" i="6"/>
  <c r="E1886" i="6"/>
  <c r="D1886" i="6"/>
  <c r="E1892" i="6"/>
  <c r="D1892" i="6"/>
  <c r="E1898" i="6"/>
  <c r="D1898" i="6"/>
  <c r="E1904" i="6"/>
  <c r="D1904" i="6"/>
  <c r="E1910" i="6"/>
  <c r="D1910" i="6"/>
  <c r="E1916" i="6"/>
  <c r="D1916" i="6"/>
  <c r="E1922" i="6"/>
  <c r="D1922" i="6"/>
  <c r="E1928" i="6"/>
  <c r="D1928" i="6"/>
  <c r="E1934" i="6"/>
  <c r="D1934" i="6"/>
  <c r="E1940" i="6"/>
  <c r="D1940" i="6"/>
  <c r="E1946" i="6"/>
  <c r="D1946" i="6"/>
  <c r="E1952" i="6"/>
  <c r="D1952" i="6"/>
  <c r="E1958" i="6"/>
  <c r="D1958" i="6"/>
  <c r="E1964" i="6"/>
  <c r="D1964" i="6"/>
  <c r="E1970" i="6"/>
  <c r="D1970" i="6"/>
  <c r="E1976" i="6"/>
  <c r="D1976" i="6"/>
  <c r="E1982" i="6"/>
  <c r="D1982" i="6"/>
  <c r="E1988" i="6"/>
  <c r="D1988" i="6"/>
  <c r="E1994" i="6"/>
  <c r="D1994" i="6"/>
  <c r="E1009" i="6"/>
  <c r="D1009" i="6"/>
  <c r="E1005" i="6"/>
  <c r="D1005" i="6"/>
  <c r="E1023" i="6"/>
  <c r="D1023" i="6"/>
  <c r="E1035" i="6"/>
  <c r="D1035" i="6"/>
  <c r="E1041" i="6"/>
  <c r="D1041" i="6"/>
  <c r="E1047" i="6"/>
  <c r="D1047" i="6"/>
  <c r="E1053" i="6"/>
  <c r="D1053" i="6"/>
  <c r="E1059" i="6"/>
  <c r="D1059" i="6"/>
  <c r="E1065" i="6"/>
  <c r="D1065" i="6"/>
  <c r="E1071" i="6"/>
  <c r="D1071" i="6"/>
  <c r="E1077" i="6"/>
  <c r="D1077" i="6"/>
  <c r="E1083" i="6"/>
  <c r="D1083" i="6"/>
  <c r="E1089" i="6"/>
  <c r="D1089" i="6"/>
  <c r="E1095" i="6"/>
  <c r="D1095" i="6"/>
  <c r="E1101" i="6"/>
  <c r="D1101" i="6"/>
  <c r="E1107" i="6"/>
  <c r="D1107" i="6"/>
  <c r="E1113" i="6"/>
  <c r="D1113" i="6"/>
  <c r="E1119" i="6"/>
  <c r="D1119" i="6"/>
  <c r="E1125" i="6"/>
  <c r="D1125" i="6"/>
  <c r="E1131" i="6"/>
  <c r="D1131" i="6"/>
  <c r="E1137" i="6"/>
  <c r="D1137" i="6"/>
  <c r="E1143" i="6"/>
  <c r="D1143" i="6"/>
  <c r="E1149" i="6"/>
  <c r="D1149" i="6"/>
  <c r="E1155" i="6"/>
  <c r="D1155" i="6"/>
  <c r="E1161" i="6"/>
  <c r="D1161" i="6"/>
  <c r="E1167" i="6"/>
  <c r="D1167" i="6"/>
  <c r="E1173" i="6"/>
  <c r="D1173" i="6"/>
  <c r="E1179" i="6"/>
  <c r="D1179" i="6"/>
  <c r="E1185" i="6"/>
  <c r="D1185" i="6"/>
  <c r="E1191" i="6"/>
  <c r="D1191" i="6"/>
  <c r="E1197" i="6"/>
  <c r="D1197" i="6"/>
  <c r="E1203" i="6"/>
  <c r="D1203" i="6"/>
  <c r="E1209" i="6"/>
  <c r="D1209" i="6"/>
  <c r="E1215" i="6"/>
  <c r="D1215" i="6"/>
  <c r="E1221" i="6"/>
  <c r="D1221" i="6"/>
  <c r="E1227" i="6"/>
  <c r="D1227" i="6"/>
  <c r="E1233" i="6"/>
  <c r="D1233" i="6"/>
  <c r="E1239" i="6"/>
  <c r="D1239" i="6"/>
  <c r="E1245" i="6"/>
  <c r="D1245" i="6"/>
  <c r="E1251" i="6"/>
  <c r="D1251" i="6"/>
  <c r="E1257" i="6"/>
  <c r="D1257" i="6"/>
  <c r="E1263" i="6"/>
  <c r="D1263" i="6"/>
  <c r="E1269" i="6"/>
  <c r="D1269" i="6"/>
  <c r="E1275" i="6"/>
  <c r="D1275" i="6"/>
  <c r="E1281" i="6"/>
  <c r="D1281" i="6"/>
  <c r="E1287" i="6"/>
  <c r="D1287" i="6"/>
  <c r="E1293" i="6"/>
  <c r="D1293" i="6"/>
  <c r="E1299" i="6"/>
  <c r="D1299" i="6"/>
  <c r="E1305" i="6"/>
  <c r="D1305" i="6"/>
  <c r="E1311" i="6"/>
  <c r="D1311" i="6"/>
  <c r="E1317" i="6"/>
  <c r="D1317" i="6"/>
  <c r="E1323" i="6"/>
  <c r="D1323" i="6"/>
  <c r="E1329" i="6"/>
  <c r="D1329" i="6"/>
  <c r="E1335" i="6"/>
  <c r="D1335" i="6"/>
  <c r="E1341" i="6"/>
  <c r="D1341" i="6"/>
  <c r="E1347" i="6"/>
  <c r="D1347" i="6"/>
  <c r="E1353" i="6"/>
  <c r="D1353" i="6"/>
  <c r="E1359" i="6"/>
  <c r="D1359" i="6"/>
  <c r="E1365" i="6"/>
  <c r="D1365" i="6"/>
  <c r="E1371" i="6"/>
  <c r="D1371" i="6"/>
  <c r="E1377" i="6"/>
  <c r="D1377" i="6"/>
  <c r="E1383" i="6"/>
  <c r="D1383" i="6"/>
  <c r="E1389" i="6"/>
  <c r="D1389" i="6"/>
  <c r="E1395" i="6"/>
  <c r="D1395" i="6"/>
  <c r="E1401" i="6"/>
  <c r="D1401" i="6"/>
  <c r="E1407" i="6"/>
  <c r="D1407" i="6"/>
  <c r="E1413" i="6"/>
  <c r="D1413" i="6"/>
  <c r="E1419" i="6"/>
  <c r="D1419" i="6"/>
  <c r="E1425" i="6"/>
  <c r="D1425" i="6"/>
  <c r="E1431" i="6"/>
  <c r="D1431" i="6"/>
  <c r="E1437" i="6"/>
  <c r="D1437" i="6"/>
  <c r="E1443" i="6"/>
  <c r="D1443" i="6"/>
  <c r="E1449" i="6"/>
  <c r="D1449" i="6"/>
  <c r="E1455" i="6"/>
  <c r="D1455" i="6"/>
  <c r="E1461" i="6"/>
  <c r="D1461" i="6"/>
  <c r="E1467" i="6"/>
  <c r="D1467" i="6"/>
  <c r="E1473" i="6"/>
  <c r="D1473" i="6"/>
  <c r="E1479" i="6"/>
  <c r="D1479" i="6"/>
  <c r="E1485" i="6"/>
  <c r="D1485" i="6"/>
  <c r="E1491" i="6"/>
  <c r="D1491" i="6"/>
  <c r="E1497" i="6"/>
  <c r="D1497" i="6"/>
  <c r="E1503" i="6"/>
  <c r="D1503" i="6"/>
  <c r="E1509" i="6"/>
  <c r="D1509" i="6"/>
  <c r="E1515" i="6"/>
  <c r="D1515" i="6"/>
  <c r="E1521" i="6"/>
  <c r="D1521" i="6"/>
  <c r="E1527" i="6"/>
  <c r="D1527" i="6"/>
  <c r="E1533" i="6"/>
  <c r="D1533" i="6"/>
  <c r="E1539" i="6"/>
  <c r="D1539" i="6"/>
  <c r="E1545" i="6"/>
  <c r="D1545" i="6"/>
  <c r="E1551" i="6"/>
  <c r="D1551" i="6"/>
  <c r="E1557" i="6"/>
  <c r="D1557" i="6"/>
  <c r="E1563" i="6"/>
  <c r="D1563" i="6"/>
  <c r="E1569" i="6"/>
  <c r="D1569" i="6"/>
  <c r="E1575" i="6"/>
  <c r="D1575" i="6"/>
  <c r="E1581" i="6"/>
  <c r="D1581" i="6"/>
  <c r="E1587" i="6"/>
  <c r="D1587" i="6"/>
  <c r="E1593" i="6"/>
  <c r="D1593" i="6"/>
  <c r="E1599" i="6"/>
  <c r="D1599" i="6"/>
  <c r="E1605" i="6"/>
  <c r="D1605" i="6"/>
  <c r="E1611" i="6"/>
  <c r="D1611" i="6"/>
  <c r="E1617" i="6"/>
  <c r="D1617" i="6"/>
  <c r="E1623" i="6"/>
  <c r="D1623" i="6"/>
  <c r="E1629" i="6"/>
  <c r="D1629" i="6"/>
  <c r="E1635" i="6"/>
  <c r="D1635" i="6"/>
  <c r="E1641" i="6"/>
  <c r="D1641" i="6"/>
  <c r="E1647" i="6"/>
  <c r="D1647" i="6"/>
  <c r="E1653" i="6"/>
  <c r="D1653" i="6"/>
  <c r="E1659" i="6"/>
  <c r="D1659" i="6"/>
  <c r="E1665" i="6"/>
  <c r="D1665" i="6"/>
  <c r="E1671" i="6"/>
  <c r="D1671" i="6"/>
  <c r="E1677" i="6"/>
  <c r="D1677" i="6"/>
  <c r="E1683" i="6"/>
  <c r="D1683" i="6"/>
  <c r="E1689" i="6"/>
  <c r="D1689" i="6"/>
  <c r="E1695" i="6"/>
  <c r="D1695" i="6"/>
  <c r="E1701" i="6"/>
  <c r="D1701" i="6"/>
  <c r="E1707" i="6"/>
  <c r="D1707" i="6"/>
  <c r="E1713" i="6"/>
  <c r="D1713" i="6"/>
  <c r="E1719" i="6"/>
  <c r="D1719" i="6"/>
  <c r="E1725" i="6"/>
  <c r="D1725" i="6"/>
  <c r="E1731" i="6"/>
  <c r="D1731" i="6"/>
  <c r="E1737" i="6"/>
  <c r="D1737" i="6"/>
  <c r="E1743" i="6"/>
  <c r="D1743" i="6"/>
  <c r="E1749" i="6"/>
  <c r="D1749" i="6"/>
  <c r="E1755" i="6"/>
  <c r="D1755" i="6"/>
  <c r="E1761" i="6"/>
  <c r="D1761" i="6"/>
  <c r="E1767" i="6"/>
  <c r="D1767" i="6"/>
  <c r="E1773" i="6"/>
  <c r="D1773" i="6"/>
  <c r="E1779" i="6"/>
  <c r="D1779" i="6"/>
  <c r="E1785" i="6"/>
  <c r="D1785" i="6"/>
  <c r="E1791" i="6"/>
  <c r="D1791" i="6"/>
  <c r="E1797" i="6"/>
  <c r="D1797" i="6"/>
  <c r="E1803" i="6"/>
  <c r="D1803" i="6"/>
  <c r="E1809" i="6"/>
  <c r="D1809" i="6"/>
  <c r="E1815" i="6"/>
  <c r="D1815" i="6"/>
  <c r="E1821" i="6"/>
  <c r="D1821" i="6"/>
  <c r="E1827" i="6"/>
  <c r="D1827" i="6"/>
  <c r="E1833" i="6"/>
  <c r="D1833" i="6"/>
  <c r="E1839" i="6"/>
  <c r="D1839" i="6"/>
  <c r="E1845" i="6"/>
  <c r="D1845" i="6"/>
  <c r="E1851" i="6"/>
  <c r="D1851" i="6"/>
  <c r="E1857" i="6"/>
  <c r="D1857" i="6"/>
  <c r="E1863" i="6"/>
  <c r="D1863" i="6"/>
  <c r="E1869" i="6"/>
  <c r="D1869" i="6"/>
  <c r="E1875" i="6"/>
  <c r="D1875" i="6"/>
  <c r="E1881" i="6"/>
  <c r="D1881" i="6"/>
  <c r="E1887" i="6"/>
  <c r="D1887" i="6"/>
  <c r="E1893" i="6"/>
  <c r="D1893" i="6"/>
  <c r="E1899" i="6"/>
  <c r="D1899" i="6"/>
  <c r="E1905" i="6"/>
  <c r="D1905" i="6"/>
  <c r="E1911" i="6"/>
  <c r="D1911" i="6"/>
  <c r="E1917" i="6"/>
  <c r="D1917" i="6"/>
  <c r="E1923" i="6"/>
  <c r="D1923" i="6"/>
  <c r="E1929" i="6"/>
  <c r="D1929" i="6"/>
  <c r="E1935" i="6"/>
  <c r="D1935" i="6"/>
  <c r="E1941" i="6"/>
  <c r="D1941" i="6"/>
  <c r="E1947" i="6"/>
  <c r="D1947" i="6"/>
  <c r="E1953" i="6"/>
  <c r="D1953" i="6"/>
  <c r="E1959" i="6"/>
  <c r="D1959" i="6"/>
  <c r="E1965" i="6"/>
  <c r="D1965" i="6"/>
  <c r="E1971" i="6"/>
  <c r="D1971" i="6"/>
  <c r="E1977" i="6"/>
  <c r="D1977" i="6"/>
  <c r="E1983" i="6"/>
  <c r="D1983" i="6"/>
  <c r="E1989" i="6"/>
  <c r="D1989" i="6"/>
  <c r="E1995" i="6"/>
  <c r="D1995" i="6"/>
  <c r="E1003" i="6"/>
  <c r="D1003" i="6"/>
  <c r="E1010" i="6"/>
  <c r="D1010" i="6"/>
  <c r="E1017" i="6"/>
  <c r="D1017" i="6"/>
  <c r="E1000" i="6"/>
  <c r="D1000" i="6"/>
  <c r="E1012" i="6"/>
  <c r="D1012" i="6"/>
  <c r="E1024" i="6"/>
  <c r="D1024" i="6"/>
  <c r="E1036" i="6"/>
  <c r="D1036" i="6"/>
  <c r="E1054" i="6"/>
  <c r="D1054" i="6"/>
  <c r="E1066" i="6"/>
  <c r="D1066" i="6"/>
  <c r="E1078" i="6"/>
  <c r="D1078" i="6"/>
  <c r="E1084" i="6"/>
  <c r="D1084" i="6"/>
  <c r="E1090" i="6"/>
  <c r="D1090" i="6"/>
  <c r="E1096" i="6"/>
  <c r="D1096" i="6"/>
  <c r="E1102" i="6"/>
  <c r="D1102" i="6"/>
  <c r="E1108" i="6"/>
  <c r="D1108" i="6"/>
  <c r="E1114" i="6"/>
  <c r="D1114" i="6"/>
  <c r="E1120" i="6"/>
  <c r="D1120" i="6"/>
  <c r="E1126" i="6"/>
  <c r="D1126" i="6"/>
  <c r="E1132" i="6"/>
  <c r="D1132" i="6"/>
  <c r="E1138" i="6"/>
  <c r="D1138" i="6"/>
  <c r="E1144" i="6"/>
  <c r="D1144" i="6"/>
  <c r="E1150" i="6"/>
  <c r="D1150" i="6"/>
  <c r="E1156" i="6"/>
  <c r="D1156" i="6"/>
  <c r="E1162" i="6"/>
  <c r="D1162" i="6"/>
  <c r="E1168" i="6"/>
  <c r="D1168" i="6"/>
  <c r="E1174" i="6"/>
  <c r="D1174" i="6"/>
  <c r="E1180" i="6"/>
  <c r="D1180" i="6"/>
  <c r="E1186" i="6"/>
  <c r="D1186" i="6"/>
  <c r="E1192" i="6"/>
  <c r="D1192" i="6"/>
  <c r="E1198" i="6"/>
  <c r="D1198" i="6"/>
  <c r="E1204" i="6"/>
  <c r="D1204" i="6"/>
  <c r="E1210" i="6"/>
  <c r="D1210" i="6"/>
  <c r="E1216" i="6"/>
  <c r="D1216" i="6"/>
  <c r="E1222" i="6"/>
  <c r="D1222" i="6"/>
  <c r="E1228" i="6"/>
  <c r="D1228" i="6"/>
  <c r="E1234" i="6"/>
  <c r="D1234" i="6"/>
  <c r="E1240" i="6"/>
  <c r="D1240" i="6"/>
  <c r="E1246" i="6"/>
  <c r="D1246" i="6"/>
  <c r="E1252" i="6"/>
  <c r="D1252" i="6"/>
  <c r="E1258" i="6"/>
  <c r="D1258" i="6"/>
  <c r="E1264" i="6"/>
  <c r="D1264" i="6"/>
  <c r="E1270" i="6"/>
  <c r="D1270" i="6"/>
  <c r="E1276" i="6"/>
  <c r="D1276" i="6"/>
  <c r="E1282" i="6"/>
  <c r="D1282" i="6"/>
  <c r="E1288" i="6"/>
  <c r="D1288" i="6"/>
  <c r="E1294" i="6"/>
  <c r="D1294" i="6"/>
  <c r="E1300" i="6"/>
  <c r="D1300" i="6"/>
  <c r="E1306" i="6"/>
  <c r="D1306" i="6"/>
  <c r="E1312" i="6"/>
  <c r="D1312" i="6"/>
  <c r="E1318" i="6"/>
  <c r="D1318" i="6"/>
  <c r="E1324" i="6"/>
  <c r="D1324" i="6"/>
  <c r="E1330" i="6"/>
  <c r="D1330" i="6"/>
  <c r="E1336" i="6"/>
  <c r="D1336" i="6"/>
  <c r="E1342" i="6"/>
  <c r="D1342" i="6"/>
  <c r="E1348" i="6"/>
  <c r="D1348" i="6"/>
  <c r="E1354" i="6"/>
  <c r="D1354" i="6"/>
  <c r="E1360" i="6"/>
  <c r="D1360" i="6"/>
  <c r="E1366" i="6"/>
  <c r="D1366" i="6"/>
  <c r="E1372" i="6"/>
  <c r="D1372" i="6"/>
  <c r="E1378" i="6"/>
  <c r="D1378" i="6"/>
  <c r="E1384" i="6"/>
  <c r="D1384" i="6"/>
  <c r="E1390" i="6"/>
  <c r="D1390" i="6"/>
  <c r="E1396" i="6"/>
  <c r="D1396" i="6"/>
  <c r="E1402" i="6"/>
  <c r="D1402" i="6"/>
  <c r="E1408" i="6"/>
  <c r="D1408" i="6"/>
  <c r="E1414" i="6"/>
  <c r="D1414" i="6"/>
  <c r="E1420" i="6"/>
  <c r="D1420" i="6"/>
  <c r="E1426" i="6"/>
  <c r="D1426" i="6"/>
  <c r="E1432" i="6"/>
  <c r="D1432" i="6"/>
  <c r="E1438" i="6"/>
  <c r="D1438" i="6"/>
  <c r="E1444" i="6"/>
  <c r="D1444" i="6"/>
  <c r="E1450" i="6"/>
  <c r="D1450" i="6"/>
  <c r="E1456" i="6"/>
  <c r="D1456" i="6"/>
  <c r="E1462" i="6"/>
  <c r="D1462" i="6"/>
  <c r="E1468" i="6"/>
  <c r="D1468" i="6"/>
  <c r="E1474" i="6"/>
  <c r="D1474" i="6"/>
  <c r="E1480" i="6"/>
  <c r="D1480" i="6"/>
  <c r="E1486" i="6"/>
  <c r="D1486" i="6"/>
  <c r="E1492" i="6"/>
  <c r="D1492" i="6"/>
  <c r="E1498" i="6"/>
  <c r="D1498" i="6"/>
  <c r="E1504" i="6"/>
  <c r="D1504" i="6"/>
  <c r="E1510" i="6"/>
  <c r="D1510" i="6"/>
  <c r="E1516" i="6"/>
  <c r="D1516" i="6"/>
  <c r="E1522" i="6"/>
  <c r="D1522" i="6"/>
  <c r="E1528" i="6"/>
  <c r="D1528" i="6"/>
  <c r="E1534" i="6"/>
  <c r="D1534" i="6"/>
  <c r="E1540" i="6"/>
  <c r="D1540" i="6"/>
  <c r="E1546" i="6"/>
  <c r="D1546" i="6"/>
  <c r="E1552" i="6"/>
  <c r="D1552" i="6"/>
  <c r="E1558" i="6"/>
  <c r="D1558" i="6"/>
  <c r="E1564" i="6"/>
  <c r="D1564" i="6"/>
  <c r="E1570" i="6"/>
  <c r="D1570" i="6"/>
  <c r="E1576" i="6"/>
  <c r="D1576" i="6"/>
  <c r="E1582" i="6"/>
  <c r="D1582" i="6"/>
  <c r="E1588" i="6"/>
  <c r="D1588" i="6"/>
  <c r="E1594" i="6"/>
  <c r="D1594" i="6"/>
  <c r="E1600" i="6"/>
  <c r="D1600" i="6"/>
  <c r="E1606" i="6"/>
  <c r="D1606" i="6"/>
  <c r="E1612" i="6"/>
  <c r="D1612" i="6"/>
  <c r="E1618" i="6"/>
  <c r="D1618" i="6"/>
  <c r="E1624" i="6"/>
  <c r="D1624" i="6"/>
  <c r="E1630" i="6"/>
  <c r="D1630" i="6"/>
  <c r="E1636" i="6"/>
  <c r="D1636" i="6"/>
  <c r="E1642" i="6"/>
  <c r="D1642" i="6"/>
  <c r="E1648" i="6"/>
  <c r="D1648" i="6"/>
  <c r="E1654" i="6"/>
  <c r="D1654" i="6"/>
  <c r="E1660" i="6"/>
  <c r="D1660" i="6"/>
  <c r="E1666" i="6"/>
  <c r="D1666" i="6"/>
  <c r="E1672" i="6"/>
  <c r="D1672" i="6"/>
  <c r="E1678" i="6"/>
  <c r="D1678" i="6"/>
  <c r="E1684" i="6"/>
  <c r="D1684" i="6"/>
  <c r="E1690" i="6"/>
  <c r="D1690" i="6"/>
  <c r="E1696" i="6"/>
  <c r="D1696" i="6"/>
  <c r="E1702" i="6"/>
  <c r="D1702" i="6"/>
  <c r="E1708" i="6"/>
  <c r="D1708" i="6"/>
  <c r="E1714" i="6"/>
  <c r="D1714" i="6"/>
  <c r="E1720" i="6"/>
  <c r="D1720" i="6"/>
  <c r="E1726" i="6"/>
  <c r="D1726" i="6"/>
  <c r="E1732" i="6"/>
  <c r="D1732" i="6"/>
  <c r="E1738" i="6"/>
  <c r="D1738" i="6"/>
  <c r="E1744" i="6"/>
  <c r="D1744" i="6"/>
  <c r="E1750" i="6"/>
  <c r="D1750" i="6"/>
  <c r="E1756" i="6"/>
  <c r="D1756" i="6"/>
  <c r="E1762" i="6"/>
  <c r="D1762" i="6"/>
  <c r="E1768" i="6"/>
  <c r="D1768" i="6"/>
  <c r="E1774" i="6"/>
  <c r="D1774" i="6"/>
  <c r="E1780" i="6"/>
  <c r="D1780" i="6"/>
  <c r="E1786" i="6"/>
  <c r="D1786" i="6"/>
  <c r="E1792" i="6"/>
  <c r="D1792" i="6"/>
  <c r="E1798" i="6"/>
  <c r="D1798" i="6"/>
  <c r="E1804" i="6"/>
  <c r="D1804" i="6"/>
  <c r="E1810" i="6"/>
  <c r="D1810" i="6"/>
  <c r="E1816" i="6"/>
  <c r="D1816" i="6"/>
  <c r="E1822" i="6"/>
  <c r="D1822" i="6"/>
  <c r="E1828" i="6"/>
  <c r="D1828" i="6"/>
  <c r="E1834" i="6"/>
  <c r="D1834" i="6"/>
  <c r="E1840" i="6"/>
  <c r="D1840" i="6"/>
  <c r="E1846" i="6"/>
  <c r="D1846" i="6"/>
  <c r="E1852" i="6"/>
  <c r="D1852" i="6"/>
  <c r="E1858" i="6"/>
  <c r="D1858" i="6"/>
  <c r="E1864" i="6"/>
  <c r="D1864" i="6"/>
  <c r="E1870" i="6"/>
  <c r="D1870" i="6"/>
  <c r="E1876" i="6"/>
  <c r="D1876" i="6"/>
  <c r="E1882" i="6"/>
  <c r="D1882" i="6"/>
  <c r="E1888" i="6"/>
  <c r="D1888" i="6"/>
  <c r="E1894" i="6"/>
  <c r="D1894" i="6"/>
  <c r="E1900" i="6"/>
  <c r="D1900" i="6"/>
  <c r="E1906" i="6"/>
  <c r="D1906" i="6"/>
  <c r="E1912" i="6"/>
  <c r="D1912" i="6"/>
  <c r="E1918" i="6"/>
  <c r="D1918" i="6"/>
  <c r="E1924" i="6"/>
  <c r="D1924" i="6"/>
  <c r="E1930" i="6"/>
  <c r="D1930" i="6"/>
  <c r="E1936" i="6"/>
  <c r="D1936" i="6"/>
  <c r="E1942" i="6"/>
  <c r="D1942" i="6"/>
  <c r="E1948" i="6"/>
  <c r="D1948" i="6"/>
  <c r="E1954" i="6"/>
  <c r="D1954" i="6"/>
  <c r="E1960" i="6"/>
  <c r="D1960" i="6"/>
  <c r="E1966" i="6"/>
  <c r="D1966" i="6"/>
  <c r="E1972" i="6"/>
  <c r="D1972" i="6"/>
  <c r="E1978" i="6"/>
  <c r="D1978" i="6"/>
  <c r="E1984" i="6"/>
  <c r="D1984" i="6"/>
  <c r="E1990" i="6"/>
  <c r="D1990" i="6"/>
  <c r="E1996" i="6"/>
  <c r="D1996" i="6"/>
  <c r="D987" i="6" l="1"/>
  <c r="E976" i="6"/>
  <c r="D922" i="6"/>
  <c r="D909" i="6"/>
  <c r="D866" i="6"/>
  <c r="D855" i="6"/>
  <c r="D845" i="6"/>
  <c r="E822" i="6"/>
  <c r="D812" i="6"/>
  <c r="D801" i="6"/>
  <c r="D780" i="6"/>
  <c r="D747" i="6"/>
  <c r="E745" i="6"/>
  <c r="D738" i="6"/>
  <c r="D737" i="6"/>
  <c r="D716" i="6"/>
  <c r="D715" i="6"/>
  <c r="D704" i="6"/>
  <c r="D687" i="6"/>
  <c r="D686" i="6"/>
  <c r="D679" i="6"/>
  <c r="D678" i="6"/>
  <c r="D669" i="6"/>
  <c r="D662" i="6"/>
  <c r="D661" i="6"/>
  <c r="D654" i="6"/>
  <c r="D651" i="6"/>
  <c r="D627" i="6"/>
  <c r="D626" i="6"/>
  <c r="E615" i="6"/>
  <c r="D608" i="6"/>
  <c r="D601" i="6"/>
  <c r="D600" i="6"/>
  <c r="D591" i="6"/>
  <c r="D584" i="6"/>
  <c r="D583" i="6"/>
  <c r="D578" i="6"/>
  <c r="D567" i="6"/>
  <c r="D565" i="6"/>
  <c r="D561" i="6"/>
  <c r="D549" i="6"/>
  <c r="D548" i="6"/>
  <c r="D543" i="6"/>
  <c r="D531" i="6"/>
  <c r="D527" i="6"/>
  <c r="D517" i="6"/>
  <c r="D516" i="6"/>
  <c r="D513" i="6"/>
  <c r="E507" i="6"/>
  <c r="D495" i="6"/>
  <c r="D489" i="6"/>
  <c r="D487" i="6"/>
  <c r="D477" i="6"/>
  <c r="D459" i="6"/>
  <c r="D447" i="6"/>
  <c r="D445" i="6"/>
  <c r="D433" i="6"/>
  <c r="D432" i="6"/>
  <c r="D417" i="6"/>
  <c r="D415" i="6"/>
  <c r="D411" i="6"/>
  <c r="E404" i="6"/>
  <c r="D399" i="6"/>
  <c r="D397" i="6"/>
  <c r="D381" i="6"/>
  <c r="D379" i="6"/>
  <c r="D373" i="6"/>
  <c r="D372" i="6"/>
  <c r="D361" i="6"/>
  <c r="D355" i="6"/>
  <c r="D354" i="6"/>
  <c r="D351" i="6"/>
  <c r="D345" i="6"/>
  <c r="D333" i="6"/>
  <c r="D319" i="6"/>
  <c r="D303" i="6"/>
  <c r="D301" i="6"/>
  <c r="D297" i="6"/>
  <c r="D295" i="6"/>
  <c r="D294" i="6"/>
  <c r="D276" i="6"/>
  <c r="D258" i="6"/>
  <c r="D994" i="6" l="1"/>
  <c r="E137" i="6"/>
  <c r="D137" i="6"/>
  <c r="E209" i="6"/>
  <c r="D209" i="6"/>
  <c r="E239" i="6"/>
  <c r="D239" i="6"/>
  <c r="E281" i="6"/>
  <c r="D281" i="6"/>
  <c r="E311" i="6"/>
  <c r="D311" i="6"/>
  <c r="E114" i="6"/>
  <c r="D114" i="6"/>
  <c r="E138" i="6"/>
  <c r="D138" i="6"/>
  <c r="E115" i="6"/>
  <c r="D115" i="6"/>
  <c r="E139" i="6"/>
  <c r="D139" i="6"/>
  <c r="E163" i="6"/>
  <c r="D163" i="6"/>
  <c r="E187" i="6"/>
  <c r="D187" i="6"/>
  <c r="E229" i="6"/>
  <c r="D229" i="6"/>
  <c r="D122" i="6"/>
  <c r="E122" i="6"/>
  <c r="D158" i="6"/>
  <c r="E158" i="6"/>
  <c r="D170" i="6"/>
  <c r="E170" i="6"/>
  <c r="D182" i="6"/>
  <c r="E182" i="6"/>
  <c r="E200" i="6"/>
  <c r="D200" i="6"/>
  <c r="E224" i="6"/>
  <c r="D224" i="6"/>
  <c r="E236" i="6"/>
  <c r="D236" i="6"/>
  <c r="D254" i="6"/>
  <c r="E254" i="6"/>
  <c r="E117" i="6"/>
  <c r="D117" i="6"/>
  <c r="E123" i="6"/>
  <c r="D123" i="6"/>
  <c r="E129" i="6"/>
  <c r="D129" i="6"/>
  <c r="E141" i="6"/>
  <c r="D141" i="6"/>
  <c r="E147" i="6"/>
  <c r="D147" i="6"/>
  <c r="E159" i="6"/>
  <c r="D159" i="6"/>
  <c r="E165" i="6"/>
  <c r="D165" i="6"/>
  <c r="E171" i="6"/>
  <c r="D171" i="6"/>
  <c r="E177" i="6"/>
  <c r="D177" i="6"/>
  <c r="E183" i="6"/>
  <c r="D183" i="6"/>
  <c r="E189" i="6"/>
  <c r="D189" i="6"/>
  <c r="E195" i="6"/>
  <c r="D195" i="6"/>
  <c r="E201" i="6"/>
  <c r="D201" i="6"/>
  <c r="E207" i="6"/>
  <c r="D207" i="6"/>
  <c r="D213" i="6"/>
  <c r="E213" i="6"/>
  <c r="E219" i="6"/>
  <c r="D219" i="6"/>
  <c r="E231" i="6"/>
  <c r="D231" i="6"/>
  <c r="E243" i="6"/>
  <c r="D243" i="6"/>
  <c r="E249" i="6"/>
  <c r="D249" i="6"/>
  <c r="E255" i="6"/>
  <c r="D255" i="6"/>
  <c r="E261" i="6"/>
  <c r="D261" i="6"/>
  <c r="E267" i="6"/>
  <c r="D267" i="6"/>
  <c r="E279" i="6"/>
  <c r="D279" i="6"/>
  <c r="E119" i="6"/>
  <c r="D119" i="6"/>
  <c r="E149" i="6"/>
  <c r="D149" i="6"/>
  <c r="E185" i="6"/>
  <c r="D185" i="6"/>
  <c r="E257" i="6"/>
  <c r="D257" i="6"/>
  <c r="E329" i="6"/>
  <c r="D329" i="6"/>
  <c r="E144" i="6"/>
  <c r="D144" i="6"/>
  <c r="E127" i="6"/>
  <c r="D127" i="6"/>
  <c r="E151" i="6"/>
  <c r="D151" i="6"/>
  <c r="D175" i="6"/>
  <c r="E175" i="6"/>
  <c r="E199" i="6"/>
  <c r="D199" i="6"/>
  <c r="E223" i="6"/>
  <c r="D223" i="6"/>
  <c r="E128" i="6"/>
  <c r="D128" i="6"/>
  <c r="E146" i="6"/>
  <c r="D146" i="6"/>
  <c r="E164" i="6"/>
  <c r="D164" i="6"/>
  <c r="D194" i="6"/>
  <c r="E194" i="6"/>
  <c r="E112" i="6"/>
  <c r="D112" i="6"/>
  <c r="E118" i="6"/>
  <c r="D118" i="6"/>
  <c r="E124" i="6"/>
  <c r="D124" i="6"/>
  <c r="E136" i="6"/>
  <c r="D136" i="6"/>
  <c r="E113" i="6"/>
  <c r="D113" i="6"/>
  <c r="E155" i="6"/>
  <c r="D155" i="6"/>
  <c r="E197" i="6"/>
  <c r="D197" i="6"/>
  <c r="E245" i="6"/>
  <c r="D245" i="6"/>
  <c r="E269" i="6"/>
  <c r="D269" i="6"/>
  <c r="E305" i="6"/>
  <c r="D305" i="6"/>
  <c r="E323" i="6"/>
  <c r="D323" i="6"/>
  <c r="E347" i="6"/>
  <c r="D347" i="6"/>
  <c r="E353" i="6"/>
  <c r="D353" i="6"/>
  <c r="E365" i="6"/>
  <c r="D365" i="6"/>
  <c r="E371" i="6"/>
  <c r="D371" i="6"/>
  <c r="E377" i="6"/>
  <c r="D377" i="6"/>
  <c r="E383" i="6"/>
  <c r="D383" i="6"/>
  <c r="E389" i="6"/>
  <c r="D389" i="6"/>
  <c r="E395" i="6"/>
  <c r="D395" i="6"/>
  <c r="E401" i="6"/>
  <c r="D401" i="6"/>
  <c r="E407" i="6"/>
  <c r="D407" i="6"/>
  <c r="E413" i="6"/>
  <c r="D413" i="6"/>
  <c r="E425" i="6"/>
  <c r="D425" i="6"/>
  <c r="E431" i="6"/>
  <c r="D431" i="6"/>
  <c r="E437" i="6"/>
  <c r="D437" i="6"/>
  <c r="E443" i="6"/>
  <c r="D443" i="6"/>
  <c r="E467" i="6"/>
  <c r="D467" i="6"/>
  <c r="E473" i="6"/>
  <c r="D473" i="6"/>
  <c r="E491" i="6"/>
  <c r="D491" i="6"/>
  <c r="E131" i="6"/>
  <c r="D131" i="6"/>
  <c r="E167" i="6"/>
  <c r="D167" i="6"/>
  <c r="E203" i="6"/>
  <c r="D203" i="6"/>
  <c r="E275" i="6"/>
  <c r="D275" i="6"/>
  <c r="E317" i="6"/>
  <c r="D317" i="6"/>
  <c r="E132" i="6"/>
  <c r="D132" i="6"/>
  <c r="E156" i="6"/>
  <c r="D156" i="6"/>
  <c r="D162" i="6"/>
  <c r="E162" i="6"/>
  <c r="E168" i="6"/>
  <c r="D168" i="6"/>
  <c r="E174" i="6"/>
  <c r="D174" i="6"/>
  <c r="E180" i="6"/>
  <c r="D180" i="6"/>
  <c r="E192" i="6"/>
  <c r="D192" i="6"/>
  <c r="E198" i="6"/>
  <c r="D198" i="6"/>
  <c r="E204" i="6"/>
  <c r="D204" i="6"/>
  <c r="E210" i="6"/>
  <c r="D210" i="6"/>
  <c r="E216" i="6"/>
  <c r="D216" i="6"/>
  <c r="E222" i="6"/>
  <c r="D222" i="6"/>
  <c r="E143" i="6"/>
  <c r="D143" i="6"/>
  <c r="E179" i="6"/>
  <c r="D179" i="6"/>
  <c r="E221" i="6"/>
  <c r="D221" i="6"/>
  <c r="E263" i="6"/>
  <c r="D263" i="6"/>
  <c r="E299" i="6"/>
  <c r="D299" i="6"/>
  <c r="E335" i="6"/>
  <c r="D335" i="6"/>
  <c r="E126" i="6"/>
  <c r="D126" i="6"/>
  <c r="E121" i="6"/>
  <c r="D121" i="6"/>
  <c r="E145" i="6"/>
  <c r="D145" i="6"/>
  <c r="E169" i="6"/>
  <c r="D169" i="6"/>
  <c r="E193" i="6"/>
  <c r="D193" i="6"/>
  <c r="E217" i="6"/>
  <c r="D217" i="6"/>
  <c r="E241" i="6"/>
  <c r="D241" i="6"/>
  <c r="E247" i="6"/>
  <c r="D247" i="6"/>
  <c r="E271" i="6"/>
  <c r="D271" i="6"/>
  <c r="E277" i="6"/>
  <c r="D277" i="6"/>
  <c r="E283" i="6"/>
  <c r="D283" i="6"/>
  <c r="E125" i="6"/>
  <c r="D125" i="6"/>
  <c r="E161" i="6"/>
  <c r="D161" i="6"/>
  <c r="E215" i="6"/>
  <c r="D215" i="6"/>
  <c r="E251" i="6"/>
  <c r="D251" i="6"/>
  <c r="E341" i="6"/>
  <c r="D341" i="6"/>
  <c r="E120" i="6"/>
  <c r="D120" i="6"/>
  <c r="E133" i="6"/>
  <c r="D133" i="6"/>
  <c r="E157" i="6"/>
  <c r="D157" i="6"/>
  <c r="E181" i="6"/>
  <c r="D181" i="6"/>
  <c r="E205" i="6"/>
  <c r="D205" i="6"/>
  <c r="E235" i="6"/>
  <c r="D235" i="6"/>
  <c r="E134" i="6"/>
  <c r="D134" i="6"/>
  <c r="E152" i="6"/>
  <c r="D152" i="6"/>
  <c r="D176" i="6"/>
  <c r="E176" i="6"/>
  <c r="D188" i="6"/>
  <c r="E188" i="6"/>
  <c r="D218" i="6"/>
  <c r="E218" i="6"/>
  <c r="D242" i="6"/>
  <c r="E242" i="6"/>
  <c r="D248" i="6"/>
  <c r="E248" i="6"/>
  <c r="D260" i="6"/>
  <c r="E260" i="6"/>
  <c r="E272" i="6"/>
  <c r="D272" i="6"/>
  <c r="D278" i="6"/>
  <c r="E278" i="6"/>
  <c r="E142" i="6"/>
  <c r="E154" i="6"/>
  <c r="E160" i="6"/>
  <c r="E166" i="6"/>
  <c r="E178" i="6"/>
  <c r="E184" i="6"/>
  <c r="D184" i="6"/>
  <c r="E190" i="6"/>
  <c r="E196" i="6"/>
  <c r="E202" i="6"/>
  <c r="E208" i="6"/>
  <c r="E214" i="6"/>
  <c r="E220" i="6"/>
  <c r="D220" i="6"/>
  <c r="E226" i="6"/>
  <c r="E232" i="6"/>
  <c r="E238" i="6"/>
  <c r="E250" i="6"/>
  <c r="E256" i="6"/>
  <c r="D256" i="6"/>
  <c r="E262" i="6"/>
  <c r="E268" i="6"/>
  <c r="E274" i="6"/>
  <c r="E280" i="6"/>
  <c r="E292" i="6"/>
  <c r="D292" i="6"/>
  <c r="E298" i="6"/>
  <c r="E304" i="6"/>
  <c r="E310" i="6"/>
  <c r="E316" i="6"/>
  <c r="E322" i="6"/>
  <c r="E328" i="6"/>
  <c r="D328" i="6"/>
  <c r="E334" i="6"/>
  <c r="E340" i="6"/>
  <c r="E346" i="6"/>
  <c r="E352" i="6"/>
  <c r="E364" i="6"/>
  <c r="D364" i="6"/>
  <c r="E376" i="6"/>
  <c r="E382" i="6"/>
  <c r="E394" i="6"/>
  <c r="E400" i="6"/>
  <c r="D400" i="6"/>
  <c r="E406" i="6"/>
  <c r="E418" i="6"/>
  <c r="E430" i="6"/>
  <c r="E436" i="6"/>
  <c r="D436" i="6"/>
  <c r="E448" i="6"/>
  <c r="E454" i="6"/>
  <c r="D454" i="6"/>
  <c r="E460" i="6"/>
  <c r="E472" i="6"/>
  <c r="D472" i="6"/>
  <c r="E484" i="6"/>
  <c r="E496" i="6"/>
  <c r="E502" i="6"/>
  <c r="E514" i="6"/>
  <c r="D514" i="6"/>
  <c r="E526" i="6"/>
  <c r="D526" i="6"/>
  <c r="E532" i="6"/>
  <c r="D532" i="6"/>
  <c r="E538" i="6"/>
  <c r="D538" i="6"/>
  <c r="E544" i="6"/>
  <c r="D544" i="6"/>
  <c r="E550" i="6"/>
  <c r="D550" i="6"/>
  <c r="E556" i="6"/>
  <c r="D556" i="6"/>
  <c r="E562" i="6"/>
  <c r="D562" i="6"/>
  <c r="E568" i="6"/>
  <c r="D568" i="6"/>
  <c r="E574" i="6"/>
  <c r="D574" i="6"/>
  <c r="E580" i="6"/>
  <c r="D580" i="6"/>
  <c r="E586" i="6"/>
  <c r="D586" i="6"/>
  <c r="E592" i="6"/>
  <c r="D592" i="6"/>
  <c r="E598" i="6"/>
  <c r="D598" i="6"/>
  <c r="E604" i="6"/>
  <c r="D604" i="6"/>
  <c r="E610" i="6"/>
  <c r="D610" i="6"/>
  <c r="E616" i="6"/>
  <c r="D616" i="6"/>
  <c r="E622" i="6"/>
  <c r="D622" i="6"/>
  <c r="E628" i="6"/>
  <c r="D628" i="6"/>
  <c r="E634" i="6"/>
  <c r="D634" i="6"/>
  <c r="E640" i="6"/>
  <c r="D640" i="6"/>
  <c r="E646" i="6"/>
  <c r="D646" i="6"/>
  <c r="E652" i="6"/>
  <c r="D652" i="6"/>
  <c r="E658" i="6"/>
  <c r="D658" i="6"/>
  <c r="E664" i="6"/>
  <c r="D664" i="6"/>
  <c r="E670" i="6"/>
  <c r="D670" i="6"/>
  <c r="E676" i="6"/>
  <c r="D676" i="6"/>
  <c r="E682" i="6"/>
  <c r="D682" i="6"/>
  <c r="E688" i="6"/>
  <c r="D688" i="6"/>
  <c r="E694" i="6"/>
  <c r="D694" i="6"/>
  <c r="E700" i="6"/>
  <c r="D700" i="6"/>
  <c r="E706" i="6"/>
  <c r="D706" i="6"/>
  <c r="E712" i="6"/>
  <c r="D712" i="6"/>
  <c r="E718" i="6"/>
  <c r="D718" i="6"/>
  <c r="E724" i="6"/>
  <c r="D724" i="6"/>
  <c r="E730" i="6"/>
  <c r="D730" i="6"/>
  <c r="E736" i="6"/>
  <c r="D736" i="6"/>
  <c r="E742" i="6"/>
  <c r="D742" i="6"/>
  <c r="E748" i="6"/>
  <c r="D748" i="6"/>
  <c r="E754" i="6"/>
  <c r="D754" i="6"/>
  <c r="D760" i="6"/>
  <c r="E760" i="6"/>
  <c r="E766" i="6"/>
  <c r="D766" i="6"/>
  <c r="E772" i="6"/>
  <c r="D772" i="6"/>
  <c r="D778" i="6"/>
  <c r="E778" i="6"/>
  <c r="E784" i="6"/>
  <c r="D784" i="6"/>
  <c r="E790" i="6"/>
  <c r="D790" i="6"/>
  <c r="D796" i="6"/>
  <c r="E796" i="6"/>
  <c r="D802" i="6"/>
  <c r="E802" i="6"/>
  <c r="D808" i="6"/>
  <c r="E808" i="6"/>
  <c r="D814" i="6"/>
  <c r="E814" i="6"/>
  <c r="D820" i="6"/>
  <c r="E820" i="6"/>
  <c r="E826" i="6"/>
  <c r="D826" i="6"/>
  <c r="E832" i="6"/>
  <c r="D832" i="6"/>
  <c r="D838" i="6"/>
  <c r="E838" i="6"/>
  <c r="E844" i="6"/>
  <c r="D844" i="6"/>
  <c r="E850" i="6"/>
  <c r="D850" i="6"/>
  <c r="D856" i="6"/>
  <c r="E856" i="6"/>
  <c r="E862" i="6"/>
  <c r="D862" i="6"/>
  <c r="D868" i="6"/>
  <c r="E868" i="6"/>
  <c r="D874" i="6"/>
  <c r="E874" i="6"/>
  <c r="D880" i="6"/>
  <c r="E880" i="6"/>
  <c r="D886" i="6"/>
  <c r="E886" i="6"/>
  <c r="D892" i="6"/>
  <c r="E892" i="6"/>
  <c r="E898" i="6"/>
  <c r="D898" i="6"/>
  <c r="E904" i="6"/>
  <c r="D904" i="6"/>
  <c r="E910" i="6"/>
  <c r="D910" i="6"/>
  <c r="E916" i="6"/>
  <c r="D916" i="6"/>
  <c r="E922" i="6"/>
  <c r="E928" i="6"/>
  <c r="D928" i="6"/>
  <c r="E934" i="6"/>
  <c r="D934" i="6"/>
  <c r="E940" i="6"/>
  <c r="D940" i="6"/>
  <c r="D946" i="6"/>
  <c r="E946" i="6"/>
  <c r="E952" i="6"/>
  <c r="D952" i="6"/>
  <c r="E958" i="6"/>
  <c r="D958" i="6"/>
  <c r="D964" i="6"/>
  <c r="E964" i="6"/>
  <c r="E970" i="6"/>
  <c r="D970" i="6"/>
  <c r="D976" i="6"/>
  <c r="E982" i="6"/>
  <c r="D982" i="6"/>
  <c r="E988" i="6"/>
  <c r="D988" i="6"/>
  <c r="D154" i="6"/>
  <c r="D232" i="6"/>
  <c r="D240" i="6"/>
  <c r="D250" i="6"/>
  <c r="D310" i="6"/>
  <c r="D484" i="6"/>
  <c r="E240" i="6"/>
  <c r="E497" i="6"/>
  <c r="D497" i="6"/>
  <c r="E503" i="6"/>
  <c r="E509" i="6"/>
  <c r="E515" i="6"/>
  <c r="D515" i="6"/>
  <c r="E521" i="6"/>
  <c r="D521" i="6"/>
  <c r="E527" i="6"/>
  <c r="E533" i="6"/>
  <c r="E539" i="6"/>
  <c r="D539" i="6"/>
  <c r="E545" i="6"/>
  <c r="D545" i="6"/>
  <c r="D551" i="6"/>
  <c r="E551" i="6"/>
  <c r="E557" i="6"/>
  <c r="E563" i="6"/>
  <c r="D563" i="6"/>
  <c r="D569" i="6"/>
  <c r="E569" i="6"/>
  <c r="E575" i="6"/>
  <c r="E581" i="6"/>
  <c r="D581" i="6"/>
  <c r="E587" i="6"/>
  <c r="E593" i="6"/>
  <c r="E599" i="6"/>
  <c r="D599" i="6"/>
  <c r="D605" i="6"/>
  <c r="E605" i="6"/>
  <c r="E611" i="6"/>
  <c r="E617" i="6"/>
  <c r="D617" i="6"/>
  <c r="E623" i="6"/>
  <c r="D623" i="6"/>
  <c r="E629" i="6"/>
  <c r="D629" i="6"/>
  <c r="E635" i="6"/>
  <c r="E641" i="6"/>
  <c r="D641" i="6"/>
  <c r="E647" i="6"/>
  <c r="D647" i="6"/>
  <c r="E653" i="6"/>
  <c r="D653" i="6"/>
  <c r="E659" i="6"/>
  <c r="D659" i="6"/>
  <c r="E665" i="6"/>
  <c r="D665" i="6"/>
  <c r="E671" i="6"/>
  <c r="E677" i="6"/>
  <c r="D677" i="6"/>
  <c r="E683" i="6"/>
  <c r="D683" i="6"/>
  <c r="E689" i="6"/>
  <c r="D689" i="6"/>
  <c r="E695" i="6"/>
  <c r="E701" i="6"/>
  <c r="D701" i="6"/>
  <c r="E707" i="6"/>
  <c r="D713" i="6"/>
  <c r="E713" i="6"/>
  <c r="E719" i="6"/>
  <c r="D719" i="6"/>
  <c r="E725" i="6"/>
  <c r="D725" i="6"/>
  <c r="E731" i="6"/>
  <c r="D731" i="6"/>
  <c r="E737" i="6"/>
  <c r="E743" i="6"/>
  <c r="D743" i="6"/>
  <c r="E749" i="6"/>
  <c r="D749" i="6"/>
  <c r="E755" i="6"/>
  <c r="D755" i="6"/>
  <c r="E761" i="6"/>
  <c r="D761" i="6"/>
  <c r="E767" i="6"/>
  <c r="D767" i="6"/>
  <c r="E773" i="6"/>
  <c r="D773" i="6"/>
  <c r="E779" i="6"/>
  <c r="D779" i="6"/>
  <c r="E785" i="6"/>
  <c r="D785" i="6"/>
  <c r="E791" i="6"/>
  <c r="E797" i="6"/>
  <c r="D797" i="6"/>
  <c r="E803" i="6"/>
  <c r="D803" i="6"/>
  <c r="E809" i="6"/>
  <c r="D809" i="6"/>
  <c r="E815" i="6"/>
  <c r="D815" i="6"/>
  <c r="E821" i="6"/>
  <c r="D821" i="6"/>
  <c r="E827" i="6"/>
  <c r="D827" i="6"/>
  <c r="E833" i="6"/>
  <c r="D833" i="6"/>
  <c r="E839" i="6"/>
  <c r="D839" i="6"/>
  <c r="E845" i="6"/>
  <c r="E851" i="6"/>
  <c r="D851" i="6"/>
  <c r="E857" i="6"/>
  <c r="D857" i="6"/>
  <c r="E863" i="6"/>
  <c r="D863" i="6"/>
  <c r="E869" i="6"/>
  <c r="D869" i="6"/>
  <c r="E875" i="6"/>
  <c r="D875" i="6"/>
  <c r="E881" i="6"/>
  <c r="D881" i="6"/>
  <c r="E887" i="6"/>
  <c r="D887" i="6"/>
  <c r="E893" i="6"/>
  <c r="D893" i="6"/>
  <c r="E899" i="6"/>
  <c r="E905" i="6"/>
  <c r="D905" i="6"/>
  <c r="E911" i="6"/>
  <c r="D911" i="6"/>
  <c r="E917" i="6"/>
  <c r="D917" i="6"/>
  <c r="E923" i="6"/>
  <c r="D923" i="6"/>
  <c r="E929" i="6"/>
  <c r="D929" i="6"/>
  <c r="E935" i="6"/>
  <c r="E941" i="6"/>
  <c r="D941" i="6"/>
  <c r="E947" i="6"/>
  <c r="D947" i="6"/>
  <c r="E953" i="6"/>
  <c r="D953" i="6"/>
  <c r="E959" i="6"/>
  <c r="D959" i="6"/>
  <c r="E965" i="6"/>
  <c r="D965" i="6"/>
  <c r="E971" i="6"/>
  <c r="D971" i="6"/>
  <c r="D190" i="6"/>
  <c r="D208" i="6"/>
  <c r="D268" i="6"/>
  <c r="D346" i="6"/>
  <c r="D406" i="6"/>
  <c r="D502" i="6"/>
  <c r="D707" i="6"/>
  <c r="D791" i="6"/>
  <c r="E228" i="6"/>
  <c r="E234" i="6"/>
  <c r="D234" i="6"/>
  <c r="E246" i="6"/>
  <c r="E252" i="6"/>
  <c r="E258" i="6"/>
  <c r="E264" i="6"/>
  <c r="E270" i="6"/>
  <c r="D270" i="6"/>
  <c r="E276" i="6"/>
  <c r="E282" i="6"/>
  <c r="E288" i="6"/>
  <c r="E294" i="6"/>
  <c r="E312" i="6"/>
  <c r="E324" i="6"/>
  <c r="E342" i="6"/>
  <c r="D342" i="6"/>
  <c r="E348" i="6"/>
  <c r="E354" i="6"/>
  <c r="E360" i="6"/>
  <c r="E366" i="6"/>
  <c r="E372" i="6"/>
  <c r="E378" i="6"/>
  <c r="D378" i="6"/>
  <c r="E384" i="6"/>
  <c r="E390" i="6"/>
  <c r="E402" i="6"/>
  <c r="E414" i="6"/>
  <c r="D414" i="6"/>
  <c r="E420" i="6"/>
  <c r="E426" i="6"/>
  <c r="E432" i="6"/>
  <c r="E438" i="6"/>
  <c r="E450" i="6"/>
  <c r="D450" i="6"/>
  <c r="E462" i="6"/>
  <c r="E468" i="6"/>
  <c r="D468" i="6"/>
  <c r="E474" i="6"/>
  <c r="E480" i="6"/>
  <c r="E486" i="6"/>
  <c r="D486" i="6"/>
  <c r="E492" i="6"/>
  <c r="D492" i="6"/>
  <c r="E504" i="6"/>
  <c r="D504" i="6"/>
  <c r="E510" i="6"/>
  <c r="E516" i="6"/>
  <c r="E522" i="6"/>
  <c r="D522" i="6"/>
  <c r="E528" i="6"/>
  <c r="D528" i="6"/>
  <c r="E534" i="6"/>
  <c r="D534" i="6"/>
  <c r="E540" i="6"/>
  <c r="E546" i="6"/>
  <c r="D546" i="6"/>
  <c r="E552" i="6"/>
  <c r="D552" i="6"/>
  <c r="E558" i="6"/>
  <c r="E564" i="6"/>
  <c r="D564" i="6"/>
  <c r="E570" i="6"/>
  <c r="E576" i="6"/>
  <c r="E582" i="6"/>
  <c r="D582" i="6"/>
  <c r="E588" i="6"/>
  <c r="D588" i="6"/>
  <c r="E594" i="6"/>
  <c r="D594" i="6"/>
  <c r="E600" i="6"/>
  <c r="E606" i="6"/>
  <c r="D606" i="6"/>
  <c r="E612" i="6"/>
  <c r="D612" i="6"/>
  <c r="E618" i="6"/>
  <c r="E624" i="6"/>
  <c r="D624" i="6"/>
  <c r="E630" i="6"/>
  <c r="D630" i="6"/>
  <c r="E636" i="6"/>
  <c r="E642" i="6"/>
  <c r="D642" i="6"/>
  <c r="E648" i="6"/>
  <c r="D648" i="6"/>
  <c r="E654" i="6"/>
  <c r="E660" i="6"/>
  <c r="D660" i="6"/>
  <c r="E666" i="6"/>
  <c r="D666" i="6"/>
  <c r="E672" i="6"/>
  <c r="D672" i="6"/>
  <c r="E678" i="6"/>
  <c r="E684" i="6"/>
  <c r="D684" i="6"/>
  <c r="E690" i="6"/>
  <c r="D690" i="6"/>
  <c r="E696" i="6"/>
  <c r="D696" i="6"/>
  <c r="E702" i="6"/>
  <c r="D702" i="6"/>
  <c r="E708" i="6"/>
  <c r="D708" i="6"/>
  <c r="E714" i="6"/>
  <c r="D714" i="6"/>
  <c r="E720" i="6"/>
  <c r="D720" i="6"/>
  <c r="E726" i="6"/>
  <c r="E732" i="6"/>
  <c r="D732" i="6"/>
  <c r="E738" i="6"/>
  <c r="E744" i="6"/>
  <c r="D744" i="6"/>
  <c r="E750" i="6"/>
  <c r="E756" i="6"/>
  <c r="D756" i="6"/>
  <c r="E762" i="6"/>
  <c r="D762" i="6"/>
  <c r="E768" i="6"/>
  <c r="D768" i="6"/>
  <c r="E774" i="6"/>
  <c r="D774" i="6"/>
  <c r="E780" i="6"/>
  <c r="E786" i="6"/>
  <c r="D786" i="6"/>
  <c r="E792" i="6"/>
  <c r="D792" i="6"/>
  <c r="E798" i="6"/>
  <c r="D798" i="6"/>
  <c r="E804" i="6"/>
  <c r="D804" i="6"/>
  <c r="E810" i="6"/>
  <c r="D810" i="6"/>
  <c r="E816" i="6"/>
  <c r="D816" i="6"/>
  <c r="D822" i="6"/>
  <c r="E828" i="6"/>
  <c r="D828" i="6"/>
  <c r="E834" i="6"/>
  <c r="E840" i="6"/>
  <c r="D840" i="6"/>
  <c r="E846" i="6"/>
  <c r="D846" i="6"/>
  <c r="E852" i="6"/>
  <c r="D852" i="6"/>
  <c r="E858" i="6"/>
  <c r="D858" i="6"/>
  <c r="E864" i="6"/>
  <c r="D864" i="6"/>
  <c r="E870" i="6"/>
  <c r="D870" i="6"/>
  <c r="E876" i="6"/>
  <c r="D876" i="6"/>
  <c r="E882" i="6"/>
  <c r="D882" i="6"/>
  <c r="E888" i="6"/>
  <c r="E894" i="6"/>
  <c r="D894" i="6"/>
  <c r="D900" i="6"/>
  <c r="E906" i="6"/>
  <c r="D906" i="6"/>
  <c r="D912" i="6"/>
  <c r="E912" i="6"/>
  <c r="D918" i="6"/>
  <c r="E918" i="6"/>
  <c r="D924" i="6"/>
  <c r="E924" i="6"/>
  <c r="D930" i="6"/>
  <c r="E930" i="6"/>
  <c r="D936" i="6"/>
  <c r="E936" i="6"/>
  <c r="E942" i="6"/>
  <c r="D942" i="6"/>
  <c r="D948" i="6"/>
  <c r="E948" i="6"/>
  <c r="D954" i="6"/>
  <c r="E954" i="6"/>
  <c r="D960" i="6"/>
  <c r="E960" i="6"/>
  <c r="D966" i="6"/>
  <c r="E966" i="6"/>
  <c r="D972" i="6"/>
  <c r="E972" i="6"/>
  <c r="E978" i="6"/>
  <c r="D978" i="6"/>
  <c r="D984" i="6"/>
  <c r="E984" i="6"/>
  <c r="D990" i="6"/>
  <c r="E990" i="6"/>
  <c r="D996" i="6"/>
  <c r="E996" i="6"/>
  <c r="D166" i="6"/>
  <c r="D226" i="6"/>
  <c r="D252" i="6"/>
  <c r="D304" i="6"/>
  <c r="D312" i="6"/>
  <c r="D322" i="6"/>
  <c r="D382" i="6"/>
  <c r="D390" i="6"/>
  <c r="D460" i="6"/>
  <c r="D474" i="6"/>
  <c r="D503" i="6"/>
  <c r="D533" i="6"/>
  <c r="D635" i="6"/>
  <c r="D935" i="6"/>
  <c r="E900" i="6"/>
  <c r="E289" i="6"/>
  <c r="E295" i="6"/>
  <c r="E301" i="6"/>
  <c r="E307" i="6"/>
  <c r="E313" i="6"/>
  <c r="D313" i="6"/>
  <c r="E319" i="6"/>
  <c r="E325" i="6"/>
  <c r="E331" i="6"/>
  <c r="E349" i="6"/>
  <c r="D349" i="6"/>
  <c r="E355" i="6"/>
  <c r="E361" i="6"/>
  <c r="E367" i="6"/>
  <c r="E373" i="6"/>
  <c r="E379" i="6"/>
  <c r="E385" i="6"/>
  <c r="D385" i="6"/>
  <c r="E391" i="6"/>
  <c r="E397" i="6"/>
  <c r="E409" i="6"/>
  <c r="E415" i="6"/>
  <c r="E427" i="6"/>
  <c r="D427" i="6"/>
  <c r="E433" i="6"/>
  <c r="E439" i="6"/>
  <c r="E445" i="6"/>
  <c r="E457" i="6"/>
  <c r="D457" i="6"/>
  <c r="E481" i="6"/>
  <c r="E487" i="6"/>
  <c r="E517" i="6"/>
  <c r="E529" i="6"/>
  <c r="D529" i="6"/>
  <c r="E535" i="6"/>
  <c r="E541" i="6"/>
  <c r="E547" i="6"/>
  <c r="D547" i="6"/>
  <c r="E553" i="6"/>
  <c r="D559" i="6"/>
  <c r="E565" i="6"/>
  <c r="E571" i="6"/>
  <c r="D571" i="6"/>
  <c r="E577" i="6"/>
  <c r="D577" i="6"/>
  <c r="E583" i="6"/>
  <c r="E589" i="6"/>
  <c r="D589" i="6"/>
  <c r="E595" i="6"/>
  <c r="D595" i="6"/>
  <c r="E601" i="6"/>
  <c r="E607" i="6"/>
  <c r="D607" i="6"/>
  <c r="E613" i="6"/>
  <c r="D613" i="6"/>
  <c r="E619" i="6"/>
  <c r="E625" i="6"/>
  <c r="D625" i="6"/>
  <c r="E631" i="6"/>
  <c r="D631" i="6"/>
  <c r="E637" i="6"/>
  <c r="D637" i="6"/>
  <c r="E643" i="6"/>
  <c r="E649" i="6"/>
  <c r="D649" i="6"/>
  <c r="E655" i="6"/>
  <c r="D655" i="6"/>
  <c r="E661" i="6"/>
  <c r="E667" i="6"/>
  <c r="D667" i="6"/>
  <c r="E673" i="6"/>
  <c r="D673" i="6"/>
  <c r="E679" i="6"/>
  <c r="E685" i="6"/>
  <c r="D685" i="6"/>
  <c r="D691" i="6"/>
  <c r="E691" i="6"/>
  <c r="E697" i="6"/>
  <c r="E703" i="6"/>
  <c r="D703" i="6"/>
  <c r="E709" i="6"/>
  <c r="D709" i="6"/>
  <c r="E715" i="6"/>
  <c r="E721" i="6"/>
  <c r="D721" i="6"/>
  <c r="E727" i="6"/>
  <c r="D727" i="6"/>
  <c r="E733" i="6"/>
  <c r="D733" i="6"/>
  <c r="E739" i="6"/>
  <c r="D739" i="6"/>
  <c r="D745" i="6"/>
  <c r="E751" i="6"/>
  <c r="D751" i="6"/>
  <c r="E757" i="6"/>
  <c r="D757" i="6"/>
  <c r="E763" i="6"/>
  <c r="D763" i="6"/>
  <c r="E769" i="6"/>
  <c r="E775" i="6"/>
  <c r="D775" i="6"/>
  <c r="E781" i="6"/>
  <c r="D781" i="6"/>
  <c r="E787" i="6"/>
  <c r="D787" i="6"/>
  <c r="E793" i="6"/>
  <c r="D793" i="6"/>
  <c r="E799" i="6"/>
  <c r="D799" i="6"/>
  <c r="E805" i="6"/>
  <c r="D805" i="6"/>
  <c r="E811" i="6"/>
  <c r="D811" i="6"/>
  <c r="E817" i="6"/>
  <c r="D817" i="6"/>
  <c r="E823" i="6"/>
  <c r="E829" i="6"/>
  <c r="D829" i="6"/>
  <c r="D835" i="6"/>
  <c r="E835" i="6"/>
  <c r="E841" i="6"/>
  <c r="D841" i="6"/>
  <c r="D847" i="6"/>
  <c r="E847" i="6"/>
  <c r="E853" i="6"/>
  <c r="D853" i="6"/>
  <c r="E859" i="6"/>
  <c r="D859" i="6"/>
  <c r="E865" i="6"/>
  <c r="D865" i="6"/>
  <c r="E871" i="6"/>
  <c r="D871" i="6"/>
  <c r="E877" i="6"/>
  <c r="E883" i="6"/>
  <c r="D883" i="6"/>
  <c r="E889" i="6"/>
  <c r="D889" i="6"/>
  <c r="E895" i="6"/>
  <c r="D895" i="6"/>
  <c r="E901" i="6"/>
  <c r="D901" i="6"/>
  <c r="E907" i="6"/>
  <c r="D907" i="6"/>
  <c r="E913" i="6"/>
  <c r="D913" i="6"/>
  <c r="E919" i="6"/>
  <c r="D919" i="6"/>
  <c r="D925" i="6"/>
  <c r="E925" i="6"/>
  <c r="E931" i="6"/>
  <c r="D931" i="6"/>
  <c r="E937" i="6"/>
  <c r="D937" i="6"/>
  <c r="E943" i="6"/>
  <c r="D943" i="6"/>
  <c r="E949" i="6"/>
  <c r="E955" i="6"/>
  <c r="D955" i="6"/>
  <c r="D961" i="6"/>
  <c r="E961" i="6"/>
  <c r="E967" i="6"/>
  <c r="D967" i="6"/>
  <c r="E973" i="6"/>
  <c r="D973" i="6"/>
  <c r="E979" i="6"/>
  <c r="D979" i="6"/>
  <c r="E985" i="6"/>
  <c r="D985" i="6"/>
  <c r="E991" i="6"/>
  <c r="D991" i="6"/>
  <c r="E997" i="6"/>
  <c r="D997" i="6"/>
  <c r="D142" i="6"/>
  <c r="D202" i="6"/>
  <c r="D228" i="6"/>
  <c r="D262" i="6"/>
  <c r="D280" i="6"/>
  <c r="D288" i="6"/>
  <c r="D331" i="6"/>
  <c r="D340" i="6"/>
  <c r="D348" i="6"/>
  <c r="D366" i="6"/>
  <c r="D391" i="6"/>
  <c r="D409" i="6"/>
  <c r="D418" i="6"/>
  <c r="D426" i="6"/>
  <c r="D438" i="6"/>
  <c r="D448" i="6"/>
  <c r="D462" i="6"/>
  <c r="D535" i="6"/>
  <c r="D553" i="6"/>
  <c r="D570" i="6"/>
  <c r="D587" i="6"/>
  <c r="D611" i="6"/>
  <c r="D636" i="6"/>
  <c r="D750" i="6"/>
  <c r="D877" i="6"/>
  <c r="D949" i="6"/>
  <c r="E559" i="6"/>
  <c r="E284" i="6"/>
  <c r="D284" i="6"/>
  <c r="E290" i="6"/>
  <c r="D290" i="6"/>
  <c r="E296" i="6"/>
  <c r="D296" i="6"/>
  <c r="E302" i="6"/>
  <c r="D302" i="6"/>
  <c r="E314" i="6"/>
  <c r="D314" i="6"/>
  <c r="E320" i="6"/>
  <c r="D320" i="6"/>
  <c r="D326" i="6"/>
  <c r="E326" i="6"/>
  <c r="E338" i="6"/>
  <c r="D338" i="6"/>
  <c r="E344" i="6"/>
  <c r="D344" i="6"/>
  <c r="E350" i="6"/>
  <c r="D350" i="6"/>
  <c r="E356" i="6"/>
  <c r="D356" i="6"/>
  <c r="E362" i="6"/>
  <c r="D362" i="6"/>
  <c r="E368" i="6"/>
  <c r="D368" i="6"/>
  <c r="E374" i="6"/>
  <c r="D374" i="6"/>
  <c r="D386" i="6"/>
  <c r="E386" i="6"/>
  <c r="E392" i="6"/>
  <c r="D392" i="6"/>
  <c r="E398" i="6"/>
  <c r="D398" i="6"/>
  <c r="D404" i="6"/>
  <c r="E410" i="6"/>
  <c r="D410" i="6"/>
  <c r="E422" i="6"/>
  <c r="D422" i="6"/>
  <c r="E440" i="6"/>
  <c r="D440" i="6"/>
  <c r="E452" i="6"/>
  <c r="D452" i="6"/>
  <c r="D464" i="6"/>
  <c r="E464" i="6"/>
  <c r="E470" i="6"/>
  <c r="D470" i="6"/>
  <c r="E476" i="6"/>
  <c r="D476" i="6"/>
  <c r="D482" i="6"/>
  <c r="E482" i="6"/>
  <c r="E488" i="6"/>
  <c r="D488" i="6"/>
  <c r="E494" i="6"/>
  <c r="D494" i="6"/>
  <c r="E500" i="6"/>
  <c r="D500" i="6"/>
  <c r="E506" i="6"/>
  <c r="D506" i="6"/>
  <c r="E512" i="6"/>
  <c r="D512" i="6"/>
  <c r="E518" i="6"/>
  <c r="D518" i="6"/>
  <c r="E524" i="6"/>
  <c r="D524" i="6"/>
  <c r="E530" i="6"/>
  <c r="D530" i="6"/>
  <c r="E536" i="6"/>
  <c r="D536" i="6"/>
  <c r="E542" i="6"/>
  <c r="D542" i="6"/>
  <c r="E548" i="6"/>
  <c r="E554" i="6"/>
  <c r="D554" i="6"/>
  <c r="E560" i="6"/>
  <c r="D560" i="6"/>
  <c r="E566" i="6"/>
  <c r="D566" i="6"/>
  <c r="E572" i="6"/>
  <c r="D572" i="6"/>
  <c r="E578" i="6"/>
  <c r="E584" i="6"/>
  <c r="E590" i="6"/>
  <c r="D590" i="6"/>
  <c r="E596" i="6"/>
  <c r="D596" i="6"/>
  <c r="E602" i="6"/>
  <c r="D602" i="6"/>
  <c r="E608" i="6"/>
  <c r="E614" i="6"/>
  <c r="D614" i="6"/>
  <c r="E620" i="6"/>
  <c r="D620" i="6"/>
  <c r="E626" i="6"/>
  <c r="E632" i="6"/>
  <c r="D632" i="6"/>
  <c r="E638" i="6"/>
  <c r="D638" i="6"/>
  <c r="E644" i="6"/>
  <c r="E650" i="6"/>
  <c r="D650" i="6"/>
  <c r="E656" i="6"/>
  <c r="D656" i="6"/>
  <c r="E662" i="6"/>
  <c r="E668" i="6"/>
  <c r="D668" i="6"/>
  <c r="E674" i="6"/>
  <c r="D674" i="6"/>
  <c r="D680" i="6"/>
  <c r="E686" i="6"/>
  <c r="E692" i="6"/>
  <c r="D692" i="6"/>
  <c r="E698" i="6"/>
  <c r="D698" i="6"/>
  <c r="E704" i="6"/>
  <c r="E710" i="6"/>
  <c r="D710" i="6"/>
  <c r="E716" i="6"/>
  <c r="E722" i="6"/>
  <c r="D722" i="6"/>
  <c r="E728" i="6"/>
  <c r="D734" i="6"/>
  <c r="E734" i="6"/>
  <c r="E740" i="6"/>
  <c r="D740" i="6"/>
  <c r="E746" i="6"/>
  <c r="D746" i="6"/>
  <c r="E752" i="6"/>
  <c r="D752" i="6"/>
  <c r="E758" i="6"/>
  <c r="E764" i="6"/>
  <c r="D764" i="6"/>
  <c r="D770" i="6"/>
  <c r="E770" i="6"/>
  <c r="E776" i="6"/>
  <c r="D776" i="6"/>
  <c r="D782" i="6"/>
  <c r="E782" i="6"/>
  <c r="E788" i="6"/>
  <c r="D788" i="6"/>
  <c r="E794" i="6"/>
  <c r="D794" i="6"/>
  <c r="E800" i="6"/>
  <c r="D800" i="6"/>
  <c r="D806" i="6"/>
  <c r="E806" i="6"/>
  <c r="E812" i="6"/>
  <c r="E818" i="6"/>
  <c r="D818" i="6"/>
  <c r="E824" i="6"/>
  <c r="D824" i="6"/>
  <c r="E830" i="6"/>
  <c r="D830" i="6"/>
  <c r="E836" i="6"/>
  <c r="D836" i="6"/>
  <c r="E842" i="6"/>
  <c r="D842" i="6"/>
  <c r="E848" i="6"/>
  <c r="D848" i="6"/>
  <c r="E854" i="6"/>
  <c r="D854" i="6"/>
  <c r="E860" i="6"/>
  <c r="D860" i="6"/>
  <c r="E866" i="6"/>
  <c r="E872" i="6"/>
  <c r="D872" i="6"/>
  <c r="E878" i="6"/>
  <c r="D878" i="6"/>
  <c r="E884" i="6"/>
  <c r="D884" i="6"/>
  <c r="E890" i="6"/>
  <c r="D890" i="6"/>
  <c r="E896" i="6"/>
  <c r="D896" i="6"/>
  <c r="E902" i="6"/>
  <c r="D902" i="6"/>
  <c r="E908" i="6"/>
  <c r="D908" i="6"/>
  <c r="E914" i="6"/>
  <c r="D914" i="6"/>
  <c r="E920" i="6"/>
  <c r="D920" i="6"/>
  <c r="E926" i="6"/>
  <c r="D926" i="6"/>
  <c r="D932" i="6"/>
  <c r="E932" i="6"/>
  <c r="D938" i="6"/>
  <c r="E938" i="6"/>
  <c r="E944" i="6"/>
  <c r="D944" i="6"/>
  <c r="D950" i="6"/>
  <c r="E950" i="6"/>
  <c r="E956" i="6"/>
  <c r="D956" i="6"/>
  <c r="E962" i="6"/>
  <c r="D968" i="6"/>
  <c r="E968" i="6"/>
  <c r="E974" i="6"/>
  <c r="E980" i="6"/>
  <c r="D980" i="6"/>
  <c r="E986" i="6"/>
  <c r="D986" i="6"/>
  <c r="E992" i="6"/>
  <c r="D992" i="6"/>
  <c r="E998" i="6"/>
  <c r="D998" i="6"/>
  <c r="D160" i="6"/>
  <c r="D178" i="6"/>
  <c r="D238" i="6"/>
  <c r="D246" i="6"/>
  <c r="D264" i="6"/>
  <c r="D289" i="6"/>
  <c r="D298" i="6"/>
  <c r="D307" i="6"/>
  <c r="D316" i="6"/>
  <c r="D324" i="6"/>
  <c r="D367" i="6"/>
  <c r="D376" i="6"/>
  <c r="D384" i="6"/>
  <c r="D394" i="6"/>
  <c r="D402" i="6"/>
  <c r="D430" i="6"/>
  <c r="D439" i="6"/>
  <c r="D480" i="6"/>
  <c r="D509" i="6"/>
  <c r="D540" i="6"/>
  <c r="D557" i="6"/>
  <c r="D575" i="6"/>
  <c r="D618" i="6"/>
  <c r="D643" i="6"/>
  <c r="D695" i="6"/>
  <c r="D726" i="6"/>
  <c r="D758" i="6"/>
  <c r="D823" i="6"/>
  <c r="D888" i="6"/>
  <c r="D962" i="6"/>
  <c r="E300" i="6"/>
  <c r="E285" i="6"/>
  <c r="D285" i="6"/>
  <c r="E291" i="6"/>
  <c r="E297" i="6"/>
  <c r="E303" i="6"/>
  <c r="E321" i="6"/>
  <c r="D321" i="6"/>
  <c r="E333" i="6"/>
  <c r="E345" i="6"/>
  <c r="E351" i="6"/>
  <c r="E357" i="6"/>
  <c r="D357" i="6"/>
  <c r="E369" i="6"/>
  <c r="E381" i="6"/>
  <c r="E387" i="6"/>
  <c r="E399" i="6"/>
  <c r="E411" i="6"/>
  <c r="E417" i="6"/>
  <c r="E435" i="6"/>
  <c r="D435" i="6"/>
  <c r="E441" i="6"/>
  <c r="E447" i="6"/>
  <c r="E453" i="6"/>
  <c r="E459" i="6"/>
  <c r="E471" i="6"/>
  <c r="D471" i="6"/>
  <c r="E477" i="6"/>
  <c r="E483" i="6"/>
  <c r="D483" i="6"/>
  <c r="E489" i="6"/>
  <c r="E495" i="6"/>
  <c r="E501" i="6"/>
  <c r="D501" i="6"/>
  <c r="D507" i="6"/>
  <c r="E513" i="6"/>
  <c r="E519" i="6"/>
  <c r="D519" i="6"/>
  <c r="E531" i="6"/>
  <c r="E537" i="6"/>
  <c r="D537" i="6"/>
  <c r="E543" i="6"/>
  <c r="E549" i="6"/>
  <c r="E555" i="6"/>
  <c r="D555" i="6"/>
  <c r="E561" i="6"/>
  <c r="E567" i="6"/>
  <c r="E573" i="6"/>
  <c r="D573" i="6"/>
  <c r="E579" i="6"/>
  <c r="D579" i="6"/>
  <c r="E585" i="6"/>
  <c r="D585" i="6"/>
  <c r="E591" i="6"/>
  <c r="E597" i="6"/>
  <c r="D597" i="6"/>
  <c r="E603" i="6"/>
  <c r="D603" i="6"/>
  <c r="E609" i="6"/>
  <c r="D609" i="6"/>
  <c r="D615" i="6"/>
  <c r="E621" i="6"/>
  <c r="D621" i="6"/>
  <c r="E627" i="6"/>
  <c r="E633" i="6"/>
  <c r="D633" i="6"/>
  <c r="E639" i="6"/>
  <c r="D639" i="6"/>
  <c r="E645" i="6"/>
  <c r="D645" i="6"/>
  <c r="E651" i="6"/>
  <c r="E657" i="6"/>
  <c r="D657" i="6"/>
  <c r="E663" i="6"/>
  <c r="D663" i="6"/>
  <c r="E669" i="6"/>
  <c r="E675" i="6"/>
  <c r="D675" i="6"/>
  <c r="E681" i="6"/>
  <c r="D681" i="6"/>
  <c r="E687" i="6"/>
  <c r="E693" i="6"/>
  <c r="D693" i="6"/>
  <c r="E699" i="6"/>
  <c r="D699" i="6"/>
  <c r="E705" i="6"/>
  <c r="D705" i="6"/>
  <c r="E711" i="6"/>
  <c r="D711" i="6"/>
  <c r="E717" i="6"/>
  <c r="D717" i="6"/>
  <c r="E723" i="6"/>
  <c r="D723" i="6"/>
  <c r="E729" i="6"/>
  <c r="D729" i="6"/>
  <c r="E735" i="6"/>
  <c r="D735" i="6"/>
  <c r="E741" i="6"/>
  <c r="D741" i="6"/>
  <c r="E747" i="6"/>
  <c r="E753" i="6"/>
  <c r="D753" i="6"/>
  <c r="E759" i="6"/>
  <c r="D759" i="6"/>
  <c r="E765" i="6"/>
  <c r="D765" i="6"/>
  <c r="E771" i="6"/>
  <c r="D771" i="6"/>
  <c r="E777" i="6"/>
  <c r="D777" i="6"/>
  <c r="E783" i="6"/>
  <c r="D783" i="6"/>
  <c r="E789" i="6"/>
  <c r="D789" i="6"/>
  <c r="E795" i="6"/>
  <c r="D795" i="6"/>
  <c r="E801" i="6"/>
  <c r="E807" i="6"/>
  <c r="D807" i="6"/>
  <c r="E813" i="6"/>
  <c r="D813" i="6"/>
  <c r="E819" i="6"/>
  <c r="D819" i="6"/>
  <c r="E825" i="6"/>
  <c r="D825" i="6"/>
  <c r="E831" i="6"/>
  <c r="D831" i="6"/>
  <c r="E837" i="6"/>
  <c r="D837" i="6"/>
  <c r="E843" i="6"/>
  <c r="D843" i="6"/>
  <c r="E849" i="6"/>
  <c r="D849" i="6"/>
  <c r="E855" i="6"/>
  <c r="E861" i="6"/>
  <c r="D861" i="6"/>
  <c r="E867" i="6"/>
  <c r="D867" i="6"/>
  <c r="E873" i="6"/>
  <c r="D873" i="6"/>
  <c r="E879" i="6"/>
  <c r="D879" i="6"/>
  <c r="E885" i="6"/>
  <c r="D885" i="6"/>
  <c r="E891" i="6"/>
  <c r="D891" i="6"/>
  <c r="E897" i="6"/>
  <c r="D897" i="6"/>
  <c r="E903" i="6"/>
  <c r="D903" i="6"/>
  <c r="E909" i="6"/>
  <c r="E915" i="6"/>
  <c r="D915" i="6"/>
  <c r="E921" i="6"/>
  <c r="D921" i="6"/>
  <c r="E927" i="6"/>
  <c r="D927" i="6"/>
  <c r="E933" i="6"/>
  <c r="D933" i="6"/>
  <c r="E939" i="6"/>
  <c r="D939" i="6"/>
  <c r="E945" i="6"/>
  <c r="D945" i="6"/>
  <c r="E951" i="6"/>
  <c r="D951" i="6"/>
  <c r="E957" i="6"/>
  <c r="D957" i="6"/>
  <c r="E963" i="6"/>
  <c r="D963" i="6"/>
  <c r="E969" i="6"/>
  <c r="D969" i="6"/>
  <c r="D975" i="6"/>
  <c r="E975" i="6"/>
  <c r="E981" i="6"/>
  <c r="D981" i="6"/>
  <c r="E987" i="6"/>
  <c r="E993" i="6"/>
  <c r="D993" i="6"/>
  <c r="E999" i="6"/>
  <c r="D999" i="6"/>
  <c r="D196" i="6"/>
  <c r="D214" i="6"/>
  <c r="D274" i="6"/>
  <c r="D282" i="6"/>
  <c r="D291" i="6"/>
  <c r="D300" i="6"/>
  <c r="D325" i="6"/>
  <c r="D334" i="6"/>
  <c r="D352" i="6"/>
  <c r="D360" i="6"/>
  <c r="D369" i="6"/>
  <c r="D387" i="6"/>
  <c r="D420" i="6"/>
  <c r="D441" i="6"/>
  <c r="D453" i="6"/>
  <c r="D481" i="6"/>
  <c r="D496" i="6"/>
  <c r="D510" i="6"/>
  <c r="D541" i="6"/>
  <c r="D558" i="6"/>
  <c r="D576" i="6"/>
  <c r="D593" i="6"/>
  <c r="D619" i="6"/>
  <c r="D644" i="6"/>
  <c r="D671" i="6"/>
  <c r="D697" i="6"/>
  <c r="D728" i="6"/>
  <c r="D769" i="6"/>
  <c r="D834" i="6"/>
  <c r="D899" i="6"/>
  <c r="D974" i="6"/>
  <c r="E680" i="6"/>
  <c r="E977" i="6"/>
  <c r="E983" i="6"/>
  <c r="E989" i="6"/>
  <c r="D989" i="6"/>
  <c r="E995" i="6"/>
  <c r="D977" i="6"/>
  <c r="D983" i="6"/>
  <c r="D995" i="6"/>
  <c r="E994" i="6"/>
  <c r="D4" i="6"/>
  <c r="E6" i="6"/>
  <c r="D7" i="6"/>
  <c r="E8" i="6"/>
  <c r="E14" i="6"/>
  <c r="D15" i="6"/>
  <c r="D16" i="6"/>
  <c r="E17" i="6"/>
  <c r="D21" i="6"/>
  <c r="E23" i="6"/>
  <c r="E24" i="6"/>
  <c r="E29" i="6"/>
  <c r="E31" i="6"/>
  <c r="E35" i="6"/>
  <c r="E38" i="6"/>
  <c r="D40" i="6"/>
  <c r="E47" i="6"/>
  <c r="E48" i="6"/>
  <c r="D52" i="6"/>
  <c r="E54" i="6"/>
  <c r="E55" i="6"/>
  <c r="D58" i="6"/>
  <c r="D59" i="6"/>
  <c r="D60" i="6"/>
  <c r="E61" i="6"/>
  <c r="E71" i="6"/>
  <c r="E72" i="6"/>
  <c r="E73" i="6"/>
  <c r="D76" i="6"/>
  <c r="E78" i="6"/>
  <c r="E80" i="6"/>
  <c r="E82" i="6"/>
  <c r="D83" i="6"/>
  <c r="E86" i="6"/>
  <c r="D90" i="6"/>
  <c r="D91" i="6"/>
  <c r="D93" i="6"/>
  <c r="E95" i="6"/>
  <c r="E96" i="6"/>
  <c r="E97" i="6"/>
  <c r="E98" i="6"/>
  <c r="E102" i="6"/>
  <c r="E103" i="6"/>
  <c r="E104" i="6"/>
  <c r="E105" i="6"/>
  <c r="E107" i="6"/>
  <c r="E109" i="6"/>
  <c r="E33" i="6" l="1"/>
  <c r="E58" i="6"/>
  <c r="E4" i="6"/>
  <c r="D33" i="6"/>
  <c r="E106" i="6"/>
  <c r="D37" i="6"/>
  <c r="D19" i="6"/>
  <c r="D5" i="6"/>
  <c r="E59" i="6"/>
  <c r="E34" i="6"/>
  <c r="D61" i="6"/>
  <c r="D55" i="6"/>
  <c r="D31" i="6"/>
  <c r="E92" i="6"/>
  <c r="E27" i="6"/>
  <c r="D53" i="6"/>
  <c r="D49" i="6"/>
  <c r="D27" i="6"/>
  <c r="D12" i="6"/>
  <c r="E84" i="6"/>
  <c r="E51" i="6"/>
  <c r="E19" i="6"/>
  <c r="D43" i="6"/>
  <c r="E76" i="6"/>
  <c r="E39" i="6"/>
  <c r="E12" i="6"/>
  <c r="D39" i="6"/>
  <c r="E36" i="6"/>
  <c r="D105" i="6"/>
  <c r="E44" i="6"/>
  <c r="E75" i="6"/>
  <c r="E69" i="6"/>
  <c r="E21" i="6"/>
  <c r="E15" i="6"/>
  <c r="D106" i="6"/>
  <c r="D100" i="6"/>
  <c r="D94" i="6"/>
  <c r="D87" i="6"/>
  <c r="D75" i="6"/>
  <c r="D69" i="6"/>
  <c r="D62" i="6"/>
  <c r="D56" i="6"/>
  <c r="D50" i="6"/>
  <c r="D44" i="6"/>
  <c r="D38" i="6"/>
  <c r="D13" i="6"/>
  <c r="D6" i="6"/>
  <c r="E108" i="6"/>
  <c r="E100" i="6"/>
  <c r="E93" i="6"/>
  <c r="E85" i="6"/>
  <c r="E77" i="6"/>
  <c r="E70" i="6"/>
  <c r="E60" i="6"/>
  <c r="E52" i="6"/>
  <c r="E45" i="6"/>
  <c r="E37" i="6"/>
  <c r="E30" i="6"/>
  <c r="E13" i="6"/>
  <c r="E5" i="6"/>
  <c r="D99" i="6"/>
  <c r="D80" i="6"/>
  <c r="E99" i="6"/>
  <c r="D104" i="6"/>
  <c r="D98" i="6"/>
  <c r="D92" i="6"/>
  <c r="D85" i="6"/>
  <c r="D73" i="6"/>
  <c r="D66" i="6"/>
  <c r="D54" i="6"/>
  <c r="D48" i="6"/>
  <c r="D42" i="6"/>
  <c r="D36" i="6"/>
  <c r="D30" i="6"/>
  <c r="D24" i="6"/>
  <c r="E91" i="6"/>
  <c r="E83" i="6"/>
  <c r="E66" i="6"/>
  <c r="E50" i="6"/>
  <c r="E43" i="6"/>
  <c r="D86" i="6"/>
  <c r="D109" i="6"/>
  <c r="D103" i="6"/>
  <c r="D97" i="6"/>
  <c r="D84" i="6"/>
  <c r="D78" i="6"/>
  <c r="D72" i="6"/>
  <c r="D65" i="6"/>
  <c r="D47" i="6"/>
  <c r="D35" i="6"/>
  <c r="D29" i="6"/>
  <c r="D23" i="6"/>
  <c r="D17" i="6"/>
  <c r="E90" i="6"/>
  <c r="E65" i="6"/>
  <c r="E49" i="6"/>
  <c r="E40" i="6"/>
  <c r="D108" i="6"/>
  <c r="D102" i="6"/>
  <c r="D96" i="6"/>
  <c r="D77" i="6"/>
  <c r="D71" i="6"/>
  <c r="D64" i="6"/>
  <c r="D34" i="6"/>
  <c r="D8" i="6"/>
  <c r="E87" i="6"/>
  <c r="E64" i="6"/>
  <c r="E56" i="6"/>
  <c r="E16" i="6"/>
  <c r="E7" i="6"/>
  <c r="D107" i="6"/>
  <c r="D95" i="6"/>
  <c r="D82" i="6"/>
  <c r="D70" i="6"/>
  <c r="D51" i="6"/>
  <c r="D45" i="6"/>
  <c r="D14" i="6"/>
  <c r="E94" i="6"/>
  <c r="E62" i="6"/>
  <c r="E42" i="6"/>
  <c r="E53" i="6"/>
  <c r="D88" i="6" l="1"/>
  <c r="E88" i="6"/>
  <c r="B22" i="6" l="1"/>
  <c r="B451" i="6"/>
  <c r="B111" i="6"/>
  <c r="B230" i="6"/>
  <c r="B388" i="6"/>
  <c r="B186" i="6"/>
  <c r="B9" i="6" l="1"/>
  <c r="E9" i="6" s="1"/>
  <c r="B375" i="6"/>
  <c r="B68" i="6"/>
  <c r="E68" i="6" s="1"/>
  <c r="B140" i="6"/>
  <c r="B81" i="6"/>
  <c r="E81" i="6" s="1"/>
  <c r="B67" i="6"/>
  <c r="B148" i="6"/>
  <c r="B191" i="6"/>
  <c r="B63" i="6"/>
  <c r="E63" i="6" s="1"/>
  <c r="B41" i="6"/>
  <c r="B130" i="6"/>
  <c r="B173" i="6"/>
  <c r="B28" i="6"/>
  <c r="E28" i="6" s="1"/>
  <c r="B74" i="6"/>
  <c r="D57" i="6"/>
  <c r="B116" i="6"/>
  <c r="E57" i="6"/>
  <c r="E22" i="6"/>
  <c r="B3" i="6" l="1"/>
  <c r="B499" i="6"/>
  <c r="B172" i="6"/>
  <c r="B225" i="6"/>
  <c r="E11" i="6"/>
  <c r="E25" i="6"/>
  <c r="E67" i="6"/>
  <c r="E74" i="6"/>
  <c r="D63" i="6" l="1"/>
  <c r="D68" i="6" l="1"/>
  <c r="D28" i="6" l="1"/>
  <c r="E18" i="6"/>
  <c r="D74" i="6" l="1"/>
  <c r="E79" i="6"/>
  <c r="E41" i="6"/>
  <c r="D22" i="6" l="1"/>
  <c r="D81" i="6"/>
  <c r="D9" i="6" l="1"/>
  <c r="D41" i="6"/>
  <c r="E110" i="6" l="1"/>
  <c r="E116" i="6" l="1"/>
  <c r="E130" i="6" l="1"/>
  <c r="E135" i="6" l="1"/>
  <c r="E140" i="6" l="1"/>
  <c r="E148" i="6" l="1"/>
  <c r="D148" i="6" l="1"/>
  <c r="E150" i="6"/>
  <c r="E153" i="6"/>
  <c r="E172" i="6"/>
  <c r="E173" i="6"/>
  <c r="D172" i="6" l="1"/>
  <c r="E186" i="6" l="1"/>
  <c r="E191" i="6" l="1"/>
  <c r="E206" i="6" l="1"/>
  <c r="E211" i="6" l="1"/>
  <c r="E212" i="6" l="1"/>
  <c r="D211" i="6" l="1"/>
  <c r="E225" i="6" l="1"/>
  <c r="E227" i="6" l="1"/>
  <c r="E230" i="6" l="1"/>
  <c r="D225" i="6" l="1"/>
  <c r="E233" i="6" l="1"/>
  <c r="D227" i="6" l="1"/>
  <c r="D230" i="6" l="1"/>
  <c r="E237" i="6" l="1"/>
  <c r="E244" i="6" l="1"/>
  <c r="E253" i="6" l="1"/>
  <c r="E259" i="6" l="1"/>
  <c r="E265" i="6" l="1"/>
  <c r="E266" i="6" l="1"/>
  <c r="E273" i="6" l="1"/>
  <c r="D273" i="6" l="1"/>
  <c r="E286" i="6" l="1"/>
  <c r="E287" i="6" l="1"/>
  <c r="E293" i="6" l="1"/>
  <c r="D293" i="6" l="1"/>
  <c r="E306" i="6" l="1"/>
  <c r="E309" i="6" l="1"/>
  <c r="E308" i="6"/>
  <c r="D309" i="6" l="1"/>
  <c r="E315" i="6" l="1"/>
  <c r="E318" i="6" l="1"/>
  <c r="E327" i="6" l="1"/>
  <c r="E330" i="6" l="1"/>
  <c r="E332" i="6" l="1"/>
  <c r="E337" i="6" l="1"/>
  <c r="E336" i="6"/>
  <c r="E339" i="6" l="1"/>
  <c r="D337" i="6" l="1"/>
  <c r="E343" i="6" l="1"/>
  <c r="E358" i="6" l="1"/>
  <c r="E359" i="6" l="1"/>
  <c r="D358" i="6" l="1"/>
  <c r="E363" i="6" l="1"/>
  <c r="E370" i="6" l="1"/>
  <c r="D370" i="6" l="1"/>
  <c r="E375" i="6" l="1"/>
  <c r="E380" i="6" l="1"/>
  <c r="E388" i="6" l="1"/>
  <c r="E393" i="6" l="1"/>
  <c r="E396" i="6" l="1"/>
  <c r="E403" i="6" l="1"/>
  <c r="E405" i="6" l="1"/>
  <c r="E408" i="6" l="1"/>
  <c r="E412" i="6" l="1"/>
  <c r="D412" i="6" l="1"/>
  <c r="E416" i="6" l="1"/>
  <c r="E419" i="6" l="1"/>
  <c r="E421" i="6" l="1"/>
  <c r="E423" i="6" l="1"/>
  <c r="E424" i="6" l="1"/>
  <c r="E428" i="6" l="1"/>
  <c r="E429" i="6" l="1"/>
  <c r="E434" i="6" l="1"/>
  <c r="E442" i="6" l="1"/>
  <c r="E444" i="6" l="1"/>
  <c r="E446" i="6" l="1"/>
  <c r="E449" i="6" l="1"/>
  <c r="E451" i="6" l="1"/>
  <c r="E455" i="6" l="1"/>
  <c r="E456" i="6" l="1"/>
  <c r="D455" i="6" l="1"/>
  <c r="E458" i="6" l="1"/>
  <c r="E461" i="6" l="1"/>
  <c r="E463" i="6" l="1"/>
  <c r="E466" i="6" l="1"/>
  <c r="E465" i="6"/>
  <c r="E469" i="6" l="1"/>
  <c r="D466" i="6" l="1"/>
  <c r="D469" i="6" l="1"/>
  <c r="E475" i="6" l="1"/>
  <c r="E478" i="6" l="1"/>
  <c r="D475" i="6" l="1"/>
  <c r="E479" i="6" l="1"/>
  <c r="D478" i="6" l="1"/>
  <c r="E485" i="6" l="1"/>
  <c r="D485" i="6" l="1"/>
  <c r="E490" i="6" l="1"/>
  <c r="E493" i="6" l="1"/>
  <c r="E498" i="6" l="1"/>
  <c r="E499" i="6" l="1"/>
  <c r="E505" i="6" l="1"/>
  <c r="E508" i="6" l="1"/>
  <c r="D508" i="6" l="1"/>
  <c r="E511" i="6"/>
  <c r="E520" i="6" l="1"/>
  <c r="E523" i="6" l="1"/>
  <c r="E525" i="6" l="1"/>
  <c r="E111" i="6" l="1"/>
  <c r="E101" i="6" l="1"/>
  <c r="D110" i="6" l="1"/>
  <c r="E89" i="6" l="1"/>
  <c r="D186" i="6" l="1"/>
  <c r="E3" i="6"/>
  <c r="F3" i="6" l="1"/>
  <c r="F4" i="6" l="1"/>
  <c r="F5" i="6" s="1"/>
  <c r="F6" i="6" s="1"/>
  <c r="F7" i="6" s="1"/>
  <c r="F8" i="6" s="1"/>
  <c r="F9" i="6" s="1"/>
  <c r="C3" i="6"/>
  <c r="D3" i="6" s="1"/>
  <c r="D173" i="6"/>
  <c r="D153" i="6"/>
  <c r="D150" i="6"/>
  <c r="D140" i="6"/>
  <c r="D135" i="6"/>
  <c r="D130" i="6"/>
  <c r="D116" i="6"/>
  <c r="D111" i="6"/>
  <c r="D101" i="6"/>
  <c r="D89" i="6"/>
  <c r="D79" i="6"/>
  <c r="D67" i="6"/>
  <c r="D25" i="6"/>
  <c r="D18" i="6"/>
  <c r="C4" i="6"/>
  <c r="C5" i="6" s="1"/>
  <c r="C9" i="6"/>
  <c r="G3" i="6"/>
  <c r="G4" i="6" s="1"/>
  <c r="G5" i="6" s="1"/>
  <c r="G6" i="6" s="1"/>
  <c r="G7" i="6" s="1"/>
  <c r="G8" i="6" s="1"/>
  <c r="G9" i="6"/>
  <c r="H9" i="6"/>
  <c r="F9" i="1" s="1"/>
  <c r="D11" i="6"/>
  <c r="H3" i="6"/>
  <c r="E10" i="6"/>
  <c r="F3" i="1" l="1"/>
  <c r="F10" i="6"/>
  <c r="C10" i="6" s="1"/>
  <c r="D10" i="6" s="1"/>
  <c r="C6" i="6"/>
  <c r="H5" i="6"/>
  <c r="H4" i="6"/>
  <c r="F4" i="1" l="1"/>
  <c r="F5" i="1"/>
  <c r="F11" i="6"/>
  <c r="G10" i="6"/>
  <c r="C7" i="6"/>
  <c r="H10" i="6"/>
  <c r="H6" i="6"/>
  <c r="F6" i="1" l="1"/>
  <c r="F10" i="1"/>
  <c r="F12" i="6"/>
  <c r="C11" i="6"/>
  <c r="G11" i="6"/>
  <c r="C8" i="6"/>
  <c r="H7" i="6"/>
  <c r="H11" i="6"/>
  <c r="H8" i="6"/>
  <c r="F8" i="1" l="1"/>
  <c r="F11" i="1"/>
  <c r="F7" i="1"/>
  <c r="F13" i="6"/>
  <c r="C12" i="6"/>
  <c r="G12" i="6"/>
  <c r="H12" i="6"/>
  <c r="F12" i="1" l="1"/>
  <c r="F14" i="6"/>
  <c r="C13" i="6"/>
  <c r="G13" i="6"/>
  <c r="H13" i="6"/>
  <c r="F13" i="1" l="1"/>
  <c r="F15" i="6"/>
  <c r="C14" i="6"/>
  <c r="G14" i="6"/>
  <c r="H14" i="6"/>
  <c r="F14" i="1" l="1"/>
  <c r="F16" i="6"/>
  <c r="G15" i="6"/>
  <c r="C15" i="6"/>
  <c r="H15" i="6"/>
  <c r="F15" i="1" l="1"/>
  <c r="F17" i="6"/>
  <c r="C16" i="6"/>
  <c r="G16" i="6"/>
  <c r="H16" i="6"/>
  <c r="F16" i="1" l="1"/>
  <c r="F18" i="6"/>
  <c r="H17" i="6"/>
  <c r="F17" i="1" s="1"/>
  <c r="G17" i="6"/>
  <c r="C17" i="6"/>
  <c r="F19" i="6" l="1"/>
  <c r="G18" i="6"/>
  <c r="C18" i="6"/>
  <c r="H18" i="6"/>
  <c r="F18" i="1" s="1"/>
  <c r="G19" i="6" l="1"/>
  <c r="C19" i="6"/>
  <c r="H19" i="6"/>
  <c r="F19" i="1" s="1"/>
  <c r="E20" i="6"/>
  <c r="F20" i="6" l="1"/>
  <c r="C20" i="6" s="1"/>
  <c r="D20" i="6" s="1"/>
  <c r="F21" i="6" l="1"/>
  <c r="G20" i="6"/>
  <c r="D206" i="6"/>
  <c r="H20" i="6"/>
  <c r="F20" i="1" l="1"/>
  <c r="C21" i="6"/>
  <c r="F22" i="6"/>
  <c r="G21" i="6"/>
  <c r="H21" i="6"/>
  <c r="F21" i="1" l="1"/>
  <c r="C22" i="6"/>
  <c r="F23" i="6"/>
  <c r="G22" i="6"/>
  <c r="H22" i="6"/>
  <c r="F22" i="1" l="1"/>
  <c r="C23" i="6"/>
  <c r="G23" i="6"/>
  <c r="F24" i="6"/>
  <c r="H23" i="6"/>
  <c r="F23" i="1" l="1"/>
  <c r="G24" i="6"/>
  <c r="C24" i="6"/>
  <c r="F25" i="6"/>
  <c r="H24" i="6"/>
  <c r="F24" i="1" l="1"/>
  <c r="H25" i="6"/>
  <c r="F25" i="1" s="1"/>
  <c r="G25" i="6"/>
  <c r="C25" i="6"/>
  <c r="E26" i="6"/>
  <c r="F26" i="6" l="1"/>
  <c r="C26" i="6" s="1"/>
  <c r="D26" i="6" s="1"/>
  <c r="F27" i="6" l="1"/>
  <c r="G26" i="6"/>
  <c r="H26" i="6"/>
  <c r="F26" i="1" l="1"/>
  <c r="G27" i="6"/>
  <c r="C27" i="6"/>
  <c r="F28" i="6"/>
  <c r="H27" i="6"/>
  <c r="F27" i="1" l="1"/>
  <c r="C28" i="6"/>
  <c r="G28" i="6"/>
  <c r="F29" i="6"/>
  <c r="H28" i="6"/>
  <c r="F28" i="1" l="1"/>
  <c r="G29" i="6"/>
  <c r="F30" i="6"/>
  <c r="C29" i="6"/>
  <c r="H29" i="6"/>
  <c r="F29" i="1" l="1"/>
  <c r="F31" i="6"/>
  <c r="C30" i="6"/>
  <c r="G30" i="6"/>
  <c r="H30" i="6"/>
  <c r="F30" i="1" l="1"/>
  <c r="H31" i="6"/>
  <c r="F31" i="1" s="1"/>
  <c r="G31" i="6"/>
  <c r="C31" i="6"/>
  <c r="E32" i="6"/>
  <c r="F32" i="6" l="1"/>
  <c r="C32" i="6" s="1"/>
  <c r="D32" i="6" s="1"/>
  <c r="F33" i="6" l="1"/>
  <c r="G32" i="6"/>
  <c r="H32" i="6"/>
  <c r="F32" i="1" l="1"/>
  <c r="C33" i="6"/>
  <c r="F34" i="6"/>
  <c r="G33" i="6"/>
  <c r="H33" i="6"/>
  <c r="F33" i="1" l="1"/>
  <c r="C34" i="6"/>
  <c r="F35" i="6"/>
  <c r="G34" i="6"/>
  <c r="H34" i="6"/>
  <c r="F34" i="1" l="1"/>
  <c r="G35" i="6"/>
  <c r="C35" i="6"/>
  <c r="F36" i="6"/>
  <c r="H35" i="6"/>
  <c r="F35" i="1" l="1"/>
  <c r="G36" i="6"/>
  <c r="F37" i="6"/>
  <c r="C36" i="6"/>
  <c r="H36" i="6"/>
  <c r="F36" i="1" l="1"/>
  <c r="F38" i="6"/>
  <c r="G37" i="6"/>
  <c r="C37" i="6"/>
  <c r="H37" i="6"/>
  <c r="F37" i="1" l="1"/>
  <c r="C38" i="6"/>
  <c r="G38" i="6"/>
  <c r="F39" i="6"/>
  <c r="H38" i="6"/>
  <c r="F38" i="1" l="1"/>
  <c r="F40" i="6"/>
  <c r="C39" i="6"/>
  <c r="G39" i="6"/>
  <c r="H39" i="6"/>
  <c r="F39" i="1" l="1"/>
  <c r="C40" i="6"/>
  <c r="G40" i="6"/>
  <c r="F41" i="6"/>
  <c r="H40" i="6"/>
  <c r="F40" i="1" l="1"/>
  <c r="F42" i="6"/>
  <c r="C41" i="6"/>
  <c r="G41" i="6"/>
  <c r="H41" i="6"/>
  <c r="F41" i="1" l="1"/>
  <c r="C42" i="6"/>
  <c r="G42" i="6"/>
  <c r="F43" i="6"/>
  <c r="H42" i="6"/>
  <c r="F42" i="1" l="1"/>
  <c r="C43" i="6"/>
  <c r="G43" i="6"/>
  <c r="F44" i="6"/>
  <c r="H43" i="6"/>
  <c r="F43" i="1" l="1"/>
  <c r="G44" i="6"/>
  <c r="C44" i="6"/>
  <c r="F45" i="6"/>
  <c r="H44" i="6"/>
  <c r="F44" i="1" l="1"/>
  <c r="C45" i="6"/>
  <c r="G45" i="6"/>
  <c r="H45" i="6"/>
  <c r="F45" i="1" s="1"/>
  <c r="E46" i="6"/>
  <c r="F46" i="6" l="1"/>
  <c r="C46" i="6" s="1"/>
  <c r="D46" i="6" s="1"/>
  <c r="F47" i="6" l="1"/>
  <c r="G46" i="6"/>
  <c r="H46" i="6"/>
  <c r="F46" i="1" l="1"/>
  <c r="C47" i="6"/>
  <c r="G47" i="6"/>
  <c r="F48" i="6"/>
  <c r="H47" i="6"/>
  <c r="F47" i="1" l="1"/>
  <c r="G48" i="6"/>
  <c r="C48" i="6"/>
  <c r="F49" i="6"/>
  <c r="H48" i="6"/>
  <c r="F48" i="1" l="1"/>
  <c r="G49" i="6"/>
  <c r="F50" i="6"/>
  <c r="C49" i="6"/>
  <c r="H49" i="6"/>
  <c r="F49" i="1" l="1"/>
  <c r="G50" i="6"/>
  <c r="F51" i="6"/>
  <c r="C50" i="6"/>
  <c r="H50" i="6"/>
  <c r="F50" i="1" l="1"/>
  <c r="C51" i="6"/>
  <c r="F52" i="6"/>
  <c r="G51" i="6"/>
  <c r="H51" i="6"/>
  <c r="F51" i="1" l="1"/>
  <c r="C52" i="6"/>
  <c r="F53" i="6"/>
  <c r="G52" i="6"/>
  <c r="H52" i="6"/>
  <c r="F52" i="1" l="1"/>
  <c r="C53" i="6"/>
  <c r="G53" i="6"/>
  <c r="F54" i="6"/>
  <c r="H53" i="6"/>
  <c r="F53" i="1" l="1"/>
  <c r="F55" i="6"/>
  <c r="G54" i="6"/>
  <c r="C54" i="6"/>
  <c r="H54" i="6"/>
  <c r="F54" i="1" l="1"/>
  <c r="G55" i="6"/>
  <c r="F56" i="6"/>
  <c r="C55" i="6"/>
  <c r="H55" i="6"/>
  <c r="F55" i="1" l="1"/>
  <c r="C56" i="6"/>
  <c r="F57" i="6"/>
  <c r="G56" i="6"/>
  <c r="H56" i="6"/>
  <c r="F56" i="1" l="1"/>
  <c r="F58" i="6"/>
  <c r="C57" i="6"/>
  <c r="G57" i="6"/>
  <c r="H57" i="6"/>
  <c r="F57" i="1" l="1"/>
  <c r="C58" i="6"/>
  <c r="F59" i="6"/>
  <c r="G58" i="6"/>
  <c r="H58" i="6"/>
  <c r="F58" i="1" l="1"/>
  <c r="F60" i="6"/>
  <c r="C59" i="6"/>
  <c r="H59" i="6"/>
  <c r="F59" i="1" s="1"/>
  <c r="G59" i="6"/>
  <c r="G60" i="6" l="1"/>
  <c r="F61" i="6"/>
  <c r="H60" i="6"/>
  <c r="F60" i="1" s="1"/>
  <c r="C60" i="6"/>
  <c r="H61" i="6" l="1"/>
  <c r="F61" i="1" s="1"/>
  <c r="G61" i="6"/>
  <c r="C61" i="6"/>
  <c r="F62" i="6"/>
  <c r="F63" i="6" l="1"/>
  <c r="H62" i="6"/>
  <c r="F62" i="1" s="1"/>
  <c r="C62" i="6"/>
  <c r="G62" i="6"/>
  <c r="F64" i="6" l="1"/>
  <c r="G63" i="6"/>
  <c r="C63" i="6"/>
  <c r="H63" i="6"/>
  <c r="F63" i="1" s="1"/>
  <c r="G64" i="6" l="1"/>
  <c r="F65" i="6"/>
  <c r="C64" i="6"/>
  <c r="H64" i="6"/>
  <c r="F64" i="1" s="1"/>
  <c r="F66" i="6" l="1"/>
  <c r="C65" i="6"/>
  <c r="H65" i="6"/>
  <c r="F65" i="1" s="1"/>
  <c r="G65" i="6"/>
  <c r="G66" i="6" l="1"/>
  <c r="F67" i="6"/>
  <c r="C66" i="6"/>
  <c r="H66" i="6"/>
  <c r="F66" i="1" s="1"/>
  <c r="F68" i="6" l="1"/>
  <c r="H67" i="6"/>
  <c r="F67" i="1" s="1"/>
  <c r="G67" i="6"/>
  <c r="C67" i="6"/>
  <c r="G68" i="6" l="1"/>
  <c r="F69" i="6"/>
  <c r="H68" i="6"/>
  <c r="F68" i="1" s="1"/>
  <c r="C68" i="6"/>
  <c r="F70" i="6" l="1"/>
  <c r="G69" i="6"/>
  <c r="C69" i="6"/>
  <c r="H69" i="6"/>
  <c r="F69" i="1" s="1"/>
  <c r="F71" i="6" l="1"/>
  <c r="H70" i="6"/>
  <c r="F70" i="1" s="1"/>
  <c r="C70" i="6"/>
  <c r="G70" i="6"/>
  <c r="H71" i="6" l="1"/>
  <c r="F71" i="1" s="1"/>
  <c r="F72" i="6"/>
  <c r="G71" i="6"/>
  <c r="C71" i="6"/>
  <c r="F73" i="6" l="1"/>
  <c r="G72" i="6"/>
  <c r="H72" i="6"/>
  <c r="F72" i="1" s="1"/>
  <c r="C72" i="6"/>
  <c r="C73" i="6" l="1"/>
  <c r="F74" i="6"/>
  <c r="H73" i="6"/>
  <c r="F73" i="1" s="1"/>
  <c r="G73" i="6"/>
  <c r="C74" i="6" l="1"/>
  <c r="F75" i="6"/>
  <c r="G74" i="6"/>
  <c r="H74" i="6"/>
  <c r="F74" i="1" s="1"/>
  <c r="H75" i="6" l="1"/>
  <c r="F75" i="1" s="1"/>
  <c r="F76" i="6"/>
  <c r="C75" i="6"/>
  <c r="G75" i="6"/>
  <c r="F77" i="6" l="1"/>
  <c r="G76" i="6"/>
  <c r="H76" i="6"/>
  <c r="F76" i="1" s="1"/>
  <c r="C76" i="6"/>
  <c r="F78" i="6" l="1"/>
  <c r="C77" i="6"/>
  <c r="G77" i="6"/>
  <c r="H77" i="6"/>
  <c r="F77" i="1" s="1"/>
  <c r="H78" i="6" l="1"/>
  <c r="F78" i="1" s="1"/>
  <c r="C78" i="6"/>
  <c r="G78" i="6"/>
  <c r="F79" i="6"/>
  <c r="F80" i="6" l="1"/>
  <c r="C79" i="6"/>
  <c r="H79" i="6"/>
  <c r="F79" i="1" s="1"/>
  <c r="G79" i="6"/>
  <c r="F81" i="6" l="1"/>
  <c r="H80" i="6"/>
  <c r="F80" i="1" s="1"/>
  <c r="G80" i="6"/>
  <c r="C80" i="6"/>
  <c r="G81" i="6" l="1"/>
  <c r="F82" i="6"/>
  <c r="H81" i="6"/>
  <c r="F81" i="1" s="1"/>
  <c r="C81" i="6"/>
  <c r="F83" i="6" l="1"/>
  <c r="C82" i="6"/>
  <c r="G82" i="6"/>
  <c r="H82" i="6"/>
  <c r="F82" i="1" s="1"/>
  <c r="C83" i="6" l="1"/>
  <c r="F84" i="6"/>
  <c r="H83" i="6"/>
  <c r="F83" i="1" s="1"/>
  <c r="G83" i="6"/>
  <c r="G84" i="6" l="1"/>
  <c r="F85" i="6"/>
  <c r="H84" i="6"/>
  <c r="F84" i="1" s="1"/>
  <c r="C84" i="6"/>
  <c r="C85" i="6" l="1"/>
  <c r="F86" i="6"/>
  <c r="H85" i="6"/>
  <c r="F85" i="1" s="1"/>
  <c r="G85" i="6"/>
  <c r="H86" i="6" l="1"/>
  <c r="F86" i="1" s="1"/>
  <c r="F87" i="6"/>
  <c r="G86" i="6"/>
  <c r="C86" i="6"/>
  <c r="F88" i="6" l="1"/>
  <c r="H87" i="6"/>
  <c r="F87" i="1" s="1"/>
  <c r="C87" i="6"/>
  <c r="G87" i="6"/>
  <c r="G88" i="6" l="1"/>
  <c r="F89" i="6"/>
  <c r="H88" i="6"/>
  <c r="F88" i="1" s="1"/>
  <c r="C88" i="6"/>
  <c r="F90" i="6" l="1"/>
  <c r="G89" i="6"/>
  <c r="C89" i="6"/>
  <c r="H89" i="6"/>
  <c r="F89" i="1" s="1"/>
  <c r="F91" i="6" l="1"/>
  <c r="G90" i="6"/>
  <c r="H90" i="6"/>
  <c r="F90" i="1" s="1"/>
  <c r="C90" i="6"/>
  <c r="H91" i="6" l="1"/>
  <c r="F91" i="1" s="1"/>
  <c r="C91" i="6"/>
  <c r="G91" i="6"/>
  <c r="F92" i="6"/>
  <c r="F93" i="6" l="1"/>
  <c r="C92" i="6"/>
  <c r="G92" i="6"/>
  <c r="H92" i="6"/>
  <c r="F92" i="1" s="1"/>
  <c r="F94" i="6" l="1"/>
  <c r="C93" i="6"/>
  <c r="H93" i="6"/>
  <c r="F93" i="1" s="1"/>
  <c r="G93" i="6"/>
  <c r="F95" i="6" l="1"/>
  <c r="G94" i="6"/>
  <c r="C94" i="6"/>
  <c r="H94" i="6"/>
  <c r="F94" i="1" s="1"/>
  <c r="F96" i="6" l="1"/>
  <c r="H95" i="6"/>
  <c r="F95" i="1" s="1"/>
  <c r="G95" i="6"/>
  <c r="C95" i="6"/>
  <c r="C96" i="6" l="1"/>
  <c r="F97" i="6"/>
  <c r="G96" i="6"/>
  <c r="H96" i="6"/>
  <c r="F96" i="1" s="1"/>
  <c r="F98" i="6" l="1"/>
  <c r="H97" i="6"/>
  <c r="F97" i="1" s="1"/>
  <c r="G97" i="6"/>
  <c r="C97" i="6"/>
  <c r="F99" i="6" l="1"/>
  <c r="H98" i="6"/>
  <c r="F98" i="1" s="1"/>
  <c r="G98" i="6"/>
  <c r="C98" i="6"/>
  <c r="C99" i="6" l="1"/>
  <c r="F100" i="6"/>
  <c r="H99" i="6"/>
  <c r="F99" i="1" s="1"/>
  <c r="G99" i="6"/>
  <c r="F101" i="6" l="1"/>
  <c r="H100" i="6"/>
  <c r="F100" i="1" s="1"/>
  <c r="G100" i="6"/>
  <c r="C100" i="6"/>
  <c r="G101" i="6" l="1"/>
  <c r="C101" i="6"/>
  <c r="H101" i="6"/>
  <c r="F101" i="1" s="1"/>
  <c r="F102" i="6"/>
  <c r="F103" i="6" l="1"/>
  <c r="G102" i="6"/>
  <c r="C102" i="6"/>
  <c r="H102" i="6"/>
  <c r="F102" i="1" s="1"/>
  <c r="F104" i="6" l="1"/>
  <c r="G103" i="6"/>
  <c r="C103" i="6"/>
  <c r="H103" i="6"/>
  <c r="F103" i="1" s="1"/>
  <c r="C104" i="6" l="1"/>
  <c r="F105" i="6"/>
  <c r="G104" i="6"/>
  <c r="H104" i="6"/>
  <c r="F104" i="1" s="1"/>
  <c r="H105" i="6" l="1"/>
  <c r="F105" i="1" s="1"/>
  <c r="F106" i="6"/>
  <c r="C105" i="6"/>
  <c r="G105" i="6"/>
  <c r="H106" i="6" l="1"/>
  <c r="F106" i="1" s="1"/>
  <c r="F107" i="6"/>
  <c r="G106" i="6"/>
  <c r="C106" i="6"/>
  <c r="F108" i="6" l="1"/>
  <c r="H107" i="6"/>
  <c r="F107" i="1" s="1"/>
  <c r="G107" i="6"/>
  <c r="C107" i="6"/>
  <c r="G108" i="6" l="1"/>
  <c r="C108" i="6"/>
  <c r="H108" i="6"/>
  <c r="F108" i="1" s="1"/>
  <c r="F109" i="6"/>
  <c r="F110" i="6" l="1"/>
  <c r="H109" i="6"/>
  <c r="F109" i="1" s="1"/>
  <c r="G109" i="6"/>
  <c r="C109" i="6"/>
  <c r="H110" i="6" l="1"/>
  <c r="F110" i="1" s="1"/>
  <c r="F111" i="6"/>
  <c r="G110" i="6"/>
  <c r="C110" i="6"/>
  <c r="F112" i="6" l="1"/>
  <c r="H111" i="6"/>
  <c r="F111" i="1" s="1"/>
  <c r="G111" i="6"/>
  <c r="C111" i="6"/>
  <c r="G112" i="6" l="1"/>
  <c r="H112" i="6"/>
  <c r="F112" i="1" s="1"/>
  <c r="C112" i="6"/>
  <c r="F113" i="6"/>
  <c r="H113" i="6" l="1"/>
  <c r="F113" i="1" s="1"/>
  <c r="F114" i="6"/>
  <c r="G113" i="6"/>
  <c r="C113" i="6"/>
  <c r="F115" i="6" l="1"/>
  <c r="C114" i="6"/>
  <c r="H114" i="6"/>
  <c r="F114" i="1" s="1"/>
  <c r="G114" i="6"/>
  <c r="F116" i="6" l="1"/>
  <c r="C115" i="6"/>
  <c r="G115" i="6"/>
  <c r="H115" i="6"/>
  <c r="F115" i="1" s="1"/>
  <c r="C116" i="6" l="1"/>
  <c r="G116" i="6"/>
  <c r="H116" i="6"/>
  <c r="F116" i="1" s="1"/>
  <c r="F117" i="6"/>
  <c r="F118" i="6" l="1"/>
  <c r="G117" i="6"/>
  <c r="C117" i="6"/>
  <c r="H117" i="6"/>
  <c r="F117" i="1" s="1"/>
  <c r="H118" i="6" l="1"/>
  <c r="F118" i="1" s="1"/>
  <c r="C118" i="6"/>
  <c r="F119" i="6"/>
  <c r="G118" i="6"/>
  <c r="F120" i="6" l="1"/>
  <c r="H119" i="6"/>
  <c r="F119" i="1" s="1"/>
  <c r="G119" i="6"/>
  <c r="C119" i="6"/>
  <c r="G120" i="6" l="1"/>
  <c r="F121" i="6"/>
  <c r="C120" i="6"/>
  <c r="H120" i="6"/>
  <c r="F120" i="1" s="1"/>
  <c r="F122" i="6" l="1"/>
  <c r="H121" i="6"/>
  <c r="F121" i="1" s="1"/>
  <c r="C121" i="6"/>
  <c r="G121" i="6"/>
  <c r="H122" i="6" l="1"/>
  <c r="F122" i="1" s="1"/>
  <c r="F123" i="6"/>
  <c r="G122" i="6"/>
  <c r="C122" i="6"/>
  <c r="F124" i="6" l="1"/>
  <c r="G123" i="6"/>
  <c r="C123" i="6"/>
  <c r="H123" i="6"/>
  <c r="F123" i="1" s="1"/>
  <c r="H124" i="6" l="1"/>
  <c r="F124" i="1" s="1"/>
  <c r="F125" i="6"/>
  <c r="G124" i="6"/>
  <c r="C124" i="6"/>
  <c r="C125" i="6" l="1"/>
  <c r="H125" i="6"/>
  <c r="F125" i="1" s="1"/>
  <c r="F126" i="6"/>
  <c r="G125" i="6"/>
  <c r="H126" i="6" l="1"/>
  <c r="F126" i="1" s="1"/>
  <c r="F127" i="6"/>
  <c r="C126" i="6"/>
  <c r="G126" i="6"/>
  <c r="C127" i="6" l="1"/>
  <c r="G127" i="6"/>
  <c r="H127" i="6"/>
  <c r="F127" i="1" s="1"/>
  <c r="F128" i="6"/>
  <c r="G128" i="6" l="1"/>
  <c r="F129" i="6"/>
  <c r="H128" i="6"/>
  <c r="F128" i="1" s="1"/>
  <c r="C128" i="6"/>
  <c r="C129" i="6" l="1"/>
  <c r="F130" i="6"/>
  <c r="H129" i="6"/>
  <c r="F129" i="1" s="1"/>
  <c r="G129" i="6"/>
  <c r="H130" i="6" l="1"/>
  <c r="F130" i="1" s="1"/>
  <c r="F131" i="6"/>
  <c r="G130" i="6"/>
  <c r="C130" i="6"/>
  <c r="H131" i="6" l="1"/>
  <c r="F131" i="1" s="1"/>
  <c r="F132" i="6"/>
  <c r="C131" i="6"/>
  <c r="G131" i="6"/>
  <c r="F133" i="6" l="1"/>
  <c r="C132" i="6"/>
  <c r="H132" i="6"/>
  <c r="F132" i="1" s="1"/>
  <c r="G132" i="6"/>
  <c r="H133" i="6" l="1"/>
  <c r="F133" i="1" s="1"/>
  <c r="F134" i="6"/>
  <c r="C133" i="6"/>
  <c r="G133" i="6"/>
  <c r="F135" i="6" l="1"/>
  <c r="H134" i="6"/>
  <c r="F134" i="1" s="1"/>
  <c r="G134" i="6"/>
  <c r="C134" i="6"/>
  <c r="H135" i="6" l="1"/>
  <c r="F135" i="1" s="1"/>
  <c r="G135" i="6"/>
  <c r="F136" i="6"/>
  <c r="C135" i="6"/>
  <c r="C136" i="6" l="1"/>
  <c r="F137" i="6"/>
  <c r="G136" i="6"/>
  <c r="H136" i="6"/>
  <c r="F136" i="1" s="1"/>
  <c r="G137" i="6" l="1"/>
  <c r="C137" i="6"/>
  <c r="H137" i="6"/>
  <c r="F137" i="1" s="1"/>
  <c r="F138" i="6"/>
  <c r="C138" i="6" l="1"/>
  <c r="F139" i="6"/>
  <c r="H138" i="6"/>
  <c r="F138" i="1" s="1"/>
  <c r="G138" i="6"/>
  <c r="C139" i="6" l="1"/>
  <c r="F140" i="6"/>
  <c r="G139" i="6"/>
  <c r="H139" i="6"/>
  <c r="F139" i="1" s="1"/>
  <c r="H140" i="6" l="1"/>
  <c r="F140" i="1" s="1"/>
  <c r="F141" i="6"/>
  <c r="C140" i="6"/>
  <c r="G140" i="6"/>
  <c r="F142" i="6" l="1"/>
  <c r="H141" i="6"/>
  <c r="F141" i="1" s="1"/>
  <c r="G141" i="6"/>
  <c r="C141" i="6"/>
  <c r="F143" i="6" l="1"/>
  <c r="G142" i="6"/>
  <c r="C142" i="6"/>
  <c r="H142" i="6"/>
  <c r="F142" i="1" s="1"/>
  <c r="F144" i="6" l="1"/>
  <c r="G143" i="6"/>
  <c r="C143" i="6"/>
  <c r="H143" i="6"/>
  <c r="F143" i="1" s="1"/>
  <c r="G144" i="6" l="1"/>
  <c r="F145" i="6"/>
  <c r="H144" i="6"/>
  <c r="F144" i="1" s="1"/>
  <c r="C144" i="6"/>
  <c r="G145" i="6" l="1"/>
  <c r="F146" i="6"/>
  <c r="C145" i="6"/>
  <c r="H145" i="6"/>
  <c r="F145" i="1" s="1"/>
  <c r="H146" i="6" l="1"/>
  <c r="F146" i="1" s="1"/>
  <c r="G146" i="6"/>
  <c r="C146" i="6"/>
  <c r="F147" i="6"/>
  <c r="H147" i="6" l="1"/>
  <c r="F147" i="1" s="1"/>
  <c r="F148" i="6"/>
  <c r="G147" i="6"/>
  <c r="C147" i="6"/>
  <c r="F149" i="6" l="1"/>
  <c r="H148" i="6"/>
  <c r="F148" i="1" s="1"/>
  <c r="C148" i="6"/>
  <c r="G148" i="6"/>
  <c r="F150" i="6" l="1"/>
  <c r="C149" i="6"/>
  <c r="G149" i="6"/>
  <c r="H149" i="6"/>
  <c r="F149" i="1" s="1"/>
  <c r="H150" i="6" l="1"/>
  <c r="F150" i="1" s="1"/>
  <c r="F151" i="6"/>
  <c r="G150" i="6"/>
  <c r="C150" i="6"/>
  <c r="G151" i="6" l="1"/>
  <c r="F152" i="6"/>
  <c r="H151" i="6"/>
  <c r="F151" i="1" s="1"/>
  <c r="C151" i="6"/>
  <c r="F153" i="6" l="1"/>
  <c r="C152" i="6"/>
  <c r="G152" i="6"/>
  <c r="H152" i="6"/>
  <c r="F152" i="1" s="1"/>
  <c r="H153" i="6" l="1"/>
  <c r="F153" i="1" s="1"/>
  <c r="F154" i="6"/>
  <c r="G153" i="6"/>
  <c r="C153" i="6"/>
  <c r="C154" i="6" l="1"/>
  <c r="F155" i="6"/>
  <c r="H154" i="6"/>
  <c r="F154" i="1" s="1"/>
  <c r="G154" i="6"/>
  <c r="H155" i="6" l="1"/>
  <c r="F155" i="1" s="1"/>
  <c r="F156" i="6"/>
  <c r="C155" i="6"/>
  <c r="G155" i="6"/>
  <c r="F157" i="6" l="1"/>
  <c r="G156" i="6"/>
  <c r="C156" i="6"/>
  <c r="H156" i="6"/>
  <c r="F156" i="1" s="1"/>
  <c r="F158" i="6" l="1"/>
  <c r="C157" i="6"/>
  <c r="G157" i="6"/>
  <c r="H157" i="6"/>
  <c r="F157" i="1" s="1"/>
  <c r="F159" i="6" l="1"/>
  <c r="C158" i="6"/>
  <c r="H158" i="6"/>
  <c r="F158" i="1" s="1"/>
  <c r="G158" i="6"/>
  <c r="F160" i="6" l="1"/>
  <c r="H159" i="6"/>
  <c r="F159" i="1" s="1"/>
  <c r="C159" i="6"/>
  <c r="G159" i="6"/>
  <c r="G160" i="6" l="1"/>
  <c r="F161" i="6"/>
  <c r="H160" i="6"/>
  <c r="F160" i="1" s="1"/>
  <c r="C160" i="6"/>
  <c r="F162" i="6" l="1"/>
  <c r="H161" i="6"/>
  <c r="F161" i="1" s="1"/>
  <c r="C161" i="6"/>
  <c r="G161" i="6"/>
  <c r="G162" i="6" l="1"/>
  <c r="C162" i="6"/>
  <c r="F163" i="6"/>
  <c r="H162" i="6"/>
  <c r="F162" i="1" s="1"/>
  <c r="F164" i="6" l="1"/>
  <c r="H163" i="6"/>
  <c r="F163" i="1" s="1"/>
  <c r="G163" i="6"/>
  <c r="C163" i="6"/>
  <c r="C164" i="6" l="1"/>
  <c r="F165" i="6"/>
  <c r="H164" i="6"/>
  <c r="F164" i="1" s="1"/>
  <c r="G164" i="6"/>
  <c r="F166" i="6" l="1"/>
  <c r="H165" i="6"/>
  <c r="F165" i="1" s="1"/>
  <c r="C165" i="6"/>
  <c r="G165" i="6"/>
  <c r="F167" i="6" l="1"/>
  <c r="H166" i="6"/>
  <c r="F166" i="1" s="1"/>
  <c r="C166" i="6"/>
  <c r="G166" i="6"/>
  <c r="F168" i="6" l="1"/>
  <c r="H167" i="6"/>
  <c r="F167" i="1" s="1"/>
  <c r="G167" i="6"/>
  <c r="C167" i="6"/>
  <c r="F169" i="6" l="1"/>
  <c r="C168" i="6"/>
  <c r="H168" i="6"/>
  <c r="F168" i="1" s="1"/>
  <c r="G168" i="6"/>
  <c r="G169" i="6" l="1"/>
  <c r="F170" i="6"/>
  <c r="C169" i="6"/>
  <c r="H169" i="6"/>
  <c r="F169" i="1" s="1"/>
  <c r="G170" i="6" l="1"/>
  <c r="F171" i="6"/>
  <c r="H170" i="6"/>
  <c r="F170" i="1" s="1"/>
  <c r="C170" i="6"/>
  <c r="G171" i="6" l="1"/>
  <c r="F172" i="6"/>
  <c r="C171" i="6"/>
  <c r="H171" i="6"/>
  <c r="F171" i="1" s="1"/>
  <c r="G172" i="6" l="1"/>
  <c r="F173" i="6"/>
  <c r="C172" i="6"/>
  <c r="H172" i="6"/>
  <c r="F172" i="1" s="1"/>
  <c r="G173" i="6" l="1"/>
  <c r="F174" i="6"/>
  <c r="H173" i="6"/>
  <c r="F173" i="1" s="1"/>
  <c r="C173" i="6"/>
  <c r="F175" i="6" l="1"/>
  <c r="H174" i="6"/>
  <c r="F174" i="1" s="1"/>
  <c r="G174" i="6"/>
  <c r="C174" i="6"/>
  <c r="H175" i="6" l="1"/>
  <c r="F175" i="1" s="1"/>
  <c r="F176" i="6"/>
  <c r="G175" i="6"/>
  <c r="C175" i="6"/>
  <c r="F177" i="6" l="1"/>
  <c r="G176" i="6"/>
  <c r="H176" i="6"/>
  <c r="F176" i="1" s="1"/>
  <c r="C176" i="6"/>
  <c r="G177" i="6" l="1"/>
  <c r="F178" i="6"/>
  <c r="H177" i="6"/>
  <c r="F177" i="1" s="1"/>
  <c r="C177" i="6"/>
  <c r="G178" i="6" l="1"/>
  <c r="F179" i="6"/>
  <c r="H178" i="6"/>
  <c r="F178" i="1" s="1"/>
  <c r="C178" i="6"/>
  <c r="F180" i="6" l="1"/>
  <c r="G179" i="6"/>
  <c r="C179" i="6"/>
  <c r="H179" i="6"/>
  <c r="F179" i="1" s="1"/>
  <c r="H180" i="6" l="1"/>
  <c r="F180" i="1" s="1"/>
  <c r="F181" i="6"/>
  <c r="C180" i="6"/>
  <c r="G180" i="6"/>
  <c r="F182" i="6" l="1"/>
  <c r="H181" i="6"/>
  <c r="F181" i="1" s="1"/>
  <c r="G181" i="6"/>
  <c r="C181" i="6"/>
  <c r="G182" i="6" l="1"/>
  <c r="F183" i="6"/>
  <c r="H182" i="6"/>
  <c r="F182" i="1" s="1"/>
  <c r="C182" i="6"/>
  <c r="G183" i="6" l="1"/>
  <c r="F184" i="6"/>
  <c r="C183" i="6"/>
  <c r="H183" i="6"/>
  <c r="F183" i="1" s="1"/>
  <c r="F185" i="6" l="1"/>
  <c r="G184" i="6"/>
  <c r="C184" i="6"/>
  <c r="H184" i="6"/>
  <c r="F184" i="1" s="1"/>
  <c r="G185" i="6" l="1"/>
  <c r="C185" i="6"/>
  <c r="H185" i="6"/>
  <c r="F185" i="1" s="1"/>
  <c r="F186" i="6"/>
  <c r="F187" i="6" l="1"/>
  <c r="H186" i="6"/>
  <c r="F186" i="1" s="1"/>
  <c r="G186" i="6"/>
  <c r="C186" i="6"/>
  <c r="F188" i="6" l="1"/>
  <c r="C187" i="6"/>
  <c r="H187" i="6"/>
  <c r="F187" i="1" s="1"/>
  <c r="G187" i="6"/>
  <c r="G188" i="6" l="1"/>
  <c r="H188" i="6"/>
  <c r="F188" i="1" s="1"/>
  <c r="F189" i="6"/>
  <c r="C188" i="6"/>
  <c r="C189" i="6" l="1"/>
  <c r="F190" i="6"/>
  <c r="H189" i="6"/>
  <c r="F189" i="1" s="1"/>
  <c r="G189" i="6"/>
  <c r="F191" i="6" l="1"/>
  <c r="H190" i="6"/>
  <c r="F190" i="1" s="1"/>
  <c r="G190" i="6"/>
  <c r="C190" i="6"/>
  <c r="F192" i="6" l="1"/>
  <c r="C191" i="6"/>
  <c r="D191" i="6" s="1"/>
  <c r="H191" i="6"/>
  <c r="F191" i="1" s="1"/>
  <c r="G191" i="6"/>
  <c r="G192" i="6" l="1"/>
  <c r="F193" i="6"/>
  <c r="C192" i="6"/>
  <c r="H192" i="6"/>
  <c r="F192" i="1" s="1"/>
  <c r="H193" i="6" l="1"/>
  <c r="F193" i="1" s="1"/>
  <c r="C193" i="6"/>
  <c r="G193" i="6"/>
  <c r="F194" i="6"/>
  <c r="H194" i="6" l="1"/>
  <c r="F194" i="1" s="1"/>
  <c r="F195" i="6"/>
  <c r="G194" i="6"/>
  <c r="C194" i="6"/>
  <c r="C195" i="6" l="1"/>
  <c r="G195" i="6"/>
  <c r="H195" i="6"/>
  <c r="F195" i="1" s="1"/>
  <c r="F196" i="6"/>
  <c r="G196" i="6" l="1"/>
  <c r="F197" i="6"/>
  <c r="C196" i="6"/>
  <c r="H196" i="6"/>
  <c r="F196" i="1" s="1"/>
  <c r="C197" i="6" l="1"/>
  <c r="F198" i="6"/>
  <c r="H197" i="6"/>
  <c r="F197" i="1" s="1"/>
  <c r="G197" i="6"/>
  <c r="H198" i="6" l="1"/>
  <c r="F198" i="1" s="1"/>
  <c r="F199" i="6"/>
  <c r="G198" i="6"/>
  <c r="C198" i="6"/>
  <c r="G199" i="6" l="1"/>
  <c r="C199" i="6"/>
  <c r="F200" i="6"/>
  <c r="H199" i="6"/>
  <c r="F199" i="1" s="1"/>
  <c r="C200" i="6" l="1"/>
  <c r="H200" i="6"/>
  <c r="F200" i="1" s="1"/>
  <c r="G200" i="6"/>
  <c r="F201" i="6"/>
  <c r="F202" i="6" l="1"/>
  <c r="G201" i="6"/>
  <c r="H201" i="6"/>
  <c r="F201" i="1" s="1"/>
  <c r="C201" i="6"/>
  <c r="H202" i="6" l="1"/>
  <c r="F202" i="1" s="1"/>
  <c r="G202" i="6"/>
  <c r="F203" i="6"/>
  <c r="C202" i="6"/>
  <c r="H203" i="6" l="1"/>
  <c r="F203" i="1" s="1"/>
  <c r="F204" i="6"/>
  <c r="G203" i="6"/>
  <c r="C203" i="6"/>
  <c r="F205" i="6" l="1"/>
  <c r="C204" i="6"/>
  <c r="G204" i="6"/>
  <c r="H204" i="6"/>
  <c r="F204" i="1" s="1"/>
  <c r="H205" i="6" l="1"/>
  <c r="F205" i="1" s="1"/>
  <c r="G205" i="6"/>
  <c r="C205" i="6"/>
  <c r="F206" i="6"/>
  <c r="F207" i="6" l="1"/>
  <c r="C206" i="6"/>
  <c r="H206" i="6"/>
  <c r="F206" i="1" s="1"/>
  <c r="G206" i="6"/>
  <c r="F208" i="6" l="1"/>
  <c r="C207" i="6"/>
  <c r="H207" i="6"/>
  <c r="F207" i="1" s="1"/>
  <c r="G207" i="6"/>
  <c r="F209" i="6" l="1"/>
  <c r="H208" i="6"/>
  <c r="F208" i="1" s="1"/>
  <c r="C208" i="6"/>
  <c r="G208" i="6"/>
  <c r="C209" i="6" l="1"/>
  <c r="G209" i="6"/>
  <c r="H209" i="6"/>
  <c r="F209" i="1" s="1"/>
  <c r="F210" i="6"/>
  <c r="F211" i="6" l="1"/>
  <c r="C210" i="6"/>
  <c r="H210" i="6"/>
  <c r="F210" i="1" s="1"/>
  <c r="G210" i="6"/>
  <c r="F212" i="6" l="1"/>
  <c r="C211" i="6"/>
  <c r="G211" i="6"/>
  <c r="H211" i="6"/>
  <c r="F211" i="1" s="1"/>
  <c r="F213" i="6" l="1"/>
  <c r="C212" i="6"/>
  <c r="D212" i="6" s="1"/>
  <c r="H212" i="6"/>
  <c r="F212" i="1" s="1"/>
  <c r="G212" i="6"/>
  <c r="C213" i="6" l="1"/>
  <c r="G213" i="6"/>
  <c r="F214" i="6"/>
  <c r="H213" i="6"/>
  <c r="F213" i="1" s="1"/>
  <c r="C214" i="6" l="1"/>
  <c r="G214" i="6"/>
  <c r="F215" i="6"/>
  <c r="H214" i="6"/>
  <c r="F214" i="1" s="1"/>
  <c r="C215" i="6" l="1"/>
  <c r="H215" i="6"/>
  <c r="F215" i="1" s="1"/>
  <c r="F216" i="6"/>
  <c r="G215" i="6"/>
  <c r="F217" i="6" l="1"/>
  <c r="C216" i="6"/>
  <c r="H216" i="6"/>
  <c r="F216" i="1" s="1"/>
  <c r="G216" i="6"/>
  <c r="F218" i="6" l="1"/>
  <c r="C217" i="6"/>
  <c r="G217" i="6"/>
  <c r="H217" i="6"/>
  <c r="F217" i="1" s="1"/>
  <c r="C218" i="6" l="1"/>
  <c r="H218" i="6"/>
  <c r="F218" i="1" s="1"/>
  <c r="F219" i="6"/>
  <c r="G218" i="6"/>
  <c r="G219" i="6" l="1"/>
  <c r="C219" i="6"/>
  <c r="H219" i="6"/>
  <c r="F219" i="1" s="1"/>
  <c r="F220" i="6"/>
  <c r="C220" i="6" l="1"/>
  <c r="G220" i="6"/>
  <c r="H220" i="6"/>
  <c r="F220" i="1" s="1"/>
  <c r="F221" i="6"/>
  <c r="C221" i="6" l="1"/>
  <c r="G221" i="6"/>
  <c r="H221" i="6"/>
  <c r="F221" i="1" s="1"/>
  <c r="F222" i="6"/>
  <c r="G222" i="6" l="1"/>
  <c r="C222" i="6"/>
  <c r="H222" i="6"/>
  <c r="F222" i="1" s="1"/>
  <c r="F223" i="6"/>
  <c r="F224" i="6" l="1"/>
  <c r="G223" i="6"/>
  <c r="C223" i="6"/>
  <c r="H223" i="6"/>
  <c r="F223" i="1" s="1"/>
  <c r="C224" i="6" l="1"/>
  <c r="G224" i="6"/>
  <c r="F225" i="6"/>
  <c r="H224" i="6"/>
  <c r="F224" i="1" s="1"/>
  <c r="G225" i="6" l="1"/>
  <c r="F226" i="6"/>
  <c r="C225" i="6"/>
  <c r="H225" i="6"/>
  <c r="F225" i="1" s="1"/>
  <c r="C226" i="6" l="1"/>
  <c r="H226" i="6"/>
  <c r="F226" i="1" s="1"/>
  <c r="G226" i="6"/>
  <c r="F227" i="6"/>
  <c r="C227" i="6" l="1"/>
  <c r="F228" i="6"/>
  <c r="G227" i="6"/>
  <c r="H227" i="6"/>
  <c r="F227" i="1" s="1"/>
  <c r="H228" i="6" l="1"/>
  <c r="F228" i="1" s="1"/>
  <c r="G228" i="6"/>
  <c r="F229" i="6"/>
  <c r="C228" i="6"/>
  <c r="C229" i="6" l="1"/>
  <c r="F230" i="6"/>
  <c r="H229" i="6"/>
  <c r="F229" i="1" s="1"/>
  <c r="G229" i="6"/>
  <c r="F231" i="6" l="1"/>
  <c r="C230" i="6"/>
  <c r="G230" i="6"/>
  <c r="H230" i="6"/>
  <c r="F230" i="1" s="1"/>
  <c r="F232" i="6" l="1"/>
  <c r="H231" i="6"/>
  <c r="F231" i="1" s="1"/>
  <c r="C231" i="6"/>
  <c r="G231" i="6"/>
  <c r="F233" i="6" l="1"/>
  <c r="C232" i="6"/>
  <c r="G232" i="6"/>
  <c r="H232" i="6"/>
  <c r="F232" i="1" s="1"/>
  <c r="G233" i="6" l="1"/>
  <c r="H233" i="6"/>
  <c r="F233" i="1" s="1"/>
  <c r="C233" i="6"/>
  <c r="D233" i="6" s="1"/>
  <c r="F234" i="6"/>
  <c r="F235" i="6" l="1"/>
  <c r="H234" i="6"/>
  <c r="F234" i="1" s="1"/>
  <c r="C234" i="6"/>
  <c r="G234" i="6"/>
  <c r="H235" i="6" l="1"/>
  <c r="F235" i="1" s="1"/>
  <c r="F236" i="6"/>
  <c r="C235" i="6"/>
  <c r="G235" i="6"/>
  <c r="F237" i="6" l="1"/>
  <c r="G236" i="6"/>
  <c r="C236" i="6"/>
  <c r="H236" i="6"/>
  <c r="F236" i="1" s="1"/>
  <c r="H237" i="6" l="1"/>
  <c r="F237" i="1" s="1"/>
  <c r="F238" i="6"/>
  <c r="C237" i="6"/>
  <c r="D237" i="6" s="1"/>
  <c r="G237" i="6"/>
  <c r="H238" i="6" l="1"/>
  <c r="F238" i="1" s="1"/>
  <c r="G238" i="6"/>
  <c r="F239" i="6"/>
  <c r="C238" i="6"/>
  <c r="C239" i="6" l="1"/>
  <c r="H239" i="6"/>
  <c r="F239" i="1" s="1"/>
  <c r="F240" i="6"/>
  <c r="G239" i="6"/>
  <c r="C240" i="6" l="1"/>
  <c r="H240" i="6"/>
  <c r="F240" i="1" s="1"/>
  <c r="F241" i="6"/>
  <c r="G240" i="6"/>
  <c r="H241" i="6" l="1"/>
  <c r="F241" i="1" s="1"/>
  <c r="F242" i="6"/>
  <c r="G241" i="6"/>
  <c r="C241" i="6"/>
  <c r="G242" i="6" l="1"/>
  <c r="H242" i="6"/>
  <c r="F242" i="1" s="1"/>
  <c r="C242" i="6"/>
  <c r="F243" i="6"/>
  <c r="H243" i="6" l="1"/>
  <c r="F243" i="1" s="1"/>
  <c r="F244" i="6"/>
  <c r="G243" i="6"/>
  <c r="C243" i="6"/>
  <c r="H244" i="6" l="1"/>
  <c r="F244" i="1" s="1"/>
  <c r="C244" i="6"/>
  <c r="D244" i="6" s="1"/>
  <c r="F245" i="6"/>
  <c r="G244" i="6"/>
  <c r="H245" i="6" l="1"/>
  <c r="F245" i="1" s="1"/>
  <c r="C245" i="6"/>
  <c r="F246" i="6"/>
  <c r="G245" i="6"/>
  <c r="H246" i="6" l="1"/>
  <c r="F246" i="1" s="1"/>
  <c r="G246" i="6"/>
  <c r="C246" i="6"/>
  <c r="F247" i="6"/>
  <c r="G247" i="6" l="1"/>
  <c r="F248" i="6"/>
  <c r="C247" i="6"/>
  <c r="H247" i="6"/>
  <c r="F247" i="1" s="1"/>
  <c r="H248" i="6" l="1"/>
  <c r="F248" i="1" s="1"/>
  <c r="G248" i="6"/>
  <c r="F249" i="6"/>
  <c r="C248" i="6"/>
  <c r="G249" i="6" l="1"/>
  <c r="H249" i="6"/>
  <c r="F249" i="1" s="1"/>
  <c r="F250" i="6"/>
  <c r="C249" i="6"/>
  <c r="H250" i="6" l="1"/>
  <c r="F250" i="1" s="1"/>
  <c r="C250" i="6"/>
  <c r="F251" i="6"/>
  <c r="G250" i="6"/>
  <c r="H251" i="6" l="1"/>
  <c r="F251" i="1" s="1"/>
  <c r="C251" i="6"/>
  <c r="G251" i="6"/>
  <c r="F252" i="6"/>
  <c r="F253" i="6" l="1"/>
  <c r="G252" i="6"/>
  <c r="C252" i="6"/>
  <c r="H252" i="6"/>
  <c r="F252" i="1" s="1"/>
  <c r="F254" i="6" l="1"/>
  <c r="H253" i="6"/>
  <c r="F253" i="1" s="1"/>
  <c r="G253" i="6"/>
  <c r="C253" i="6"/>
  <c r="D253" i="6" s="1"/>
  <c r="H254" i="6" l="1"/>
  <c r="F254" i="1" s="1"/>
  <c r="G254" i="6"/>
  <c r="C254" i="6"/>
  <c r="F255" i="6"/>
  <c r="F256" i="6" l="1"/>
  <c r="G255" i="6"/>
  <c r="H255" i="6"/>
  <c r="F255" i="1" s="1"/>
  <c r="C255" i="6"/>
  <c r="H256" i="6" l="1"/>
  <c r="F256" i="1" s="1"/>
  <c r="F257" i="6"/>
  <c r="C256" i="6"/>
  <c r="G256" i="6"/>
  <c r="F258" i="6" l="1"/>
  <c r="H257" i="6"/>
  <c r="F257" i="1" s="1"/>
  <c r="C257" i="6"/>
  <c r="G257" i="6"/>
  <c r="F259" i="6" l="1"/>
  <c r="H258" i="6"/>
  <c r="F258" i="1" s="1"/>
  <c r="G258" i="6"/>
  <c r="C258" i="6"/>
  <c r="G259" i="6" l="1"/>
  <c r="H259" i="6"/>
  <c r="F259" i="1" s="1"/>
  <c r="C259" i="6"/>
  <c r="D259" i="6" s="1"/>
  <c r="F260" i="6"/>
  <c r="H260" i="6" l="1"/>
  <c r="F260" i="1" s="1"/>
  <c r="G260" i="6"/>
  <c r="C260" i="6"/>
  <c r="F261" i="6"/>
  <c r="H261" i="6" l="1"/>
  <c r="F261" i="1" s="1"/>
  <c r="F262" i="6"/>
  <c r="G261" i="6"/>
  <c r="C261" i="6"/>
  <c r="F263" i="6" l="1"/>
  <c r="H262" i="6"/>
  <c r="F262" i="1" s="1"/>
  <c r="C262" i="6"/>
  <c r="G262" i="6"/>
  <c r="H263" i="6" l="1"/>
  <c r="F263" i="1" s="1"/>
  <c r="C263" i="6"/>
  <c r="G263" i="6"/>
  <c r="F264" i="6"/>
  <c r="F265" i="6" l="1"/>
  <c r="H264" i="6"/>
  <c r="F264" i="1" s="1"/>
  <c r="G264" i="6"/>
  <c r="C264" i="6"/>
  <c r="H265" i="6" l="1"/>
  <c r="F265" i="1" s="1"/>
  <c r="G265" i="6"/>
  <c r="F266" i="6"/>
  <c r="C265" i="6"/>
  <c r="D265" i="6" s="1"/>
  <c r="F267" i="6" l="1"/>
  <c r="H266" i="6"/>
  <c r="F266" i="1" s="1"/>
  <c r="C266" i="6"/>
  <c r="D266" i="6" s="1"/>
  <c r="G266" i="6"/>
  <c r="H267" i="6" l="1"/>
  <c r="F267" i="1" s="1"/>
  <c r="F268" i="6"/>
  <c r="C267" i="6"/>
  <c r="G267" i="6"/>
  <c r="H268" i="6" l="1"/>
  <c r="F268" i="1" s="1"/>
  <c r="C268" i="6"/>
  <c r="F269" i="6"/>
  <c r="G268" i="6"/>
  <c r="F270" i="6" l="1"/>
  <c r="H269" i="6"/>
  <c r="F269" i="1" s="1"/>
  <c r="G269" i="6"/>
  <c r="C269" i="6"/>
  <c r="C270" i="6" l="1"/>
  <c r="H270" i="6"/>
  <c r="F270" i="1" s="1"/>
  <c r="G270" i="6"/>
  <c r="F271" i="6"/>
  <c r="H271" i="6" l="1"/>
  <c r="F271" i="1" s="1"/>
  <c r="C271" i="6"/>
  <c r="G271" i="6"/>
  <c r="F272" i="6"/>
  <c r="H272" i="6" l="1"/>
  <c r="F272" i="1" s="1"/>
  <c r="C272" i="6"/>
  <c r="F273" i="6"/>
  <c r="G272" i="6"/>
  <c r="G273" i="6" l="1"/>
  <c r="H273" i="6"/>
  <c r="F273" i="1" s="1"/>
  <c r="F274" i="6"/>
  <c r="C273" i="6"/>
  <c r="H274" i="6" l="1"/>
  <c r="F274" i="1" s="1"/>
  <c r="F275" i="6"/>
  <c r="G274" i="6"/>
  <c r="C274" i="6"/>
  <c r="F276" i="6" l="1"/>
  <c r="H275" i="6"/>
  <c r="F275" i="1" s="1"/>
  <c r="G275" i="6"/>
  <c r="C275" i="6"/>
  <c r="C276" i="6" l="1"/>
  <c r="H276" i="6"/>
  <c r="F276" i="1" s="1"/>
  <c r="G276" i="6"/>
  <c r="F277" i="6"/>
  <c r="C277" i="6" l="1"/>
  <c r="H277" i="6"/>
  <c r="F277" i="1" s="1"/>
  <c r="G277" i="6"/>
  <c r="F278" i="6"/>
  <c r="H278" i="6" l="1"/>
  <c r="F278" i="1" s="1"/>
  <c r="G278" i="6"/>
  <c r="C278" i="6"/>
  <c r="F279" i="6"/>
  <c r="G279" i="6" l="1"/>
  <c r="F280" i="6"/>
  <c r="C279" i="6"/>
  <c r="H279" i="6"/>
  <c r="F279" i="1" s="1"/>
  <c r="F281" i="6" l="1"/>
  <c r="H280" i="6"/>
  <c r="F280" i="1" s="1"/>
  <c r="C280" i="6"/>
  <c r="G280" i="6"/>
  <c r="H281" i="6" l="1"/>
  <c r="F281" i="1" s="1"/>
  <c r="G281" i="6"/>
  <c r="F282" i="6"/>
  <c r="C281" i="6"/>
  <c r="F283" i="6" l="1"/>
  <c r="H282" i="6"/>
  <c r="F282" i="1" s="1"/>
  <c r="G282" i="6"/>
  <c r="C282" i="6"/>
  <c r="H283" i="6" l="1"/>
  <c r="F283" i="1" s="1"/>
  <c r="F284" i="6"/>
  <c r="C283" i="6"/>
  <c r="G283" i="6"/>
  <c r="C284" i="6" l="1"/>
  <c r="F285" i="6"/>
  <c r="H284" i="6"/>
  <c r="F284" i="1" s="1"/>
  <c r="G284" i="6"/>
  <c r="F286" i="6" l="1"/>
  <c r="H285" i="6"/>
  <c r="F285" i="1" s="1"/>
  <c r="G285" i="6"/>
  <c r="C285" i="6"/>
  <c r="H286" i="6" l="1"/>
  <c r="F286" i="1" s="1"/>
  <c r="G286" i="6"/>
  <c r="C286" i="6"/>
  <c r="D286" i="6" s="1"/>
  <c r="F287" i="6"/>
  <c r="G287" i="6" l="1"/>
  <c r="H287" i="6"/>
  <c r="F287" i="1" s="1"/>
  <c r="F288" i="6"/>
  <c r="C287" i="6"/>
  <c r="D287" i="6" s="1"/>
  <c r="C288" i="6" l="1"/>
  <c r="H288" i="6"/>
  <c r="F288" i="1" s="1"/>
  <c r="F289" i="6"/>
  <c r="G288" i="6"/>
  <c r="H289" i="6" l="1"/>
  <c r="F289" i="1" s="1"/>
  <c r="F290" i="6"/>
  <c r="G289" i="6"/>
  <c r="C289" i="6"/>
  <c r="H290" i="6" l="1"/>
  <c r="F290" i="1" s="1"/>
  <c r="G290" i="6"/>
  <c r="F291" i="6"/>
  <c r="C290" i="6"/>
  <c r="H291" i="6" l="1"/>
  <c r="F291" i="1" s="1"/>
  <c r="G291" i="6"/>
  <c r="F292" i="6"/>
  <c r="C291" i="6"/>
  <c r="F293" i="6" l="1"/>
  <c r="H292" i="6"/>
  <c r="F292" i="1" s="1"/>
  <c r="G292" i="6"/>
  <c r="C292" i="6"/>
  <c r="H293" i="6" l="1"/>
  <c r="F293" i="1" s="1"/>
  <c r="G293" i="6"/>
  <c r="F294" i="6"/>
  <c r="C293" i="6"/>
  <c r="H294" i="6" l="1"/>
  <c r="F294" i="1" s="1"/>
  <c r="C294" i="6"/>
  <c r="F295" i="6"/>
  <c r="G294" i="6"/>
  <c r="F296" i="6" l="1"/>
  <c r="H295" i="6"/>
  <c r="F295" i="1" s="1"/>
  <c r="G295" i="6"/>
  <c r="C295" i="6"/>
  <c r="H296" i="6" l="1"/>
  <c r="F296" i="1" s="1"/>
  <c r="C296" i="6"/>
  <c r="F297" i="6"/>
  <c r="G296" i="6"/>
  <c r="H297" i="6" l="1"/>
  <c r="F297" i="1" s="1"/>
  <c r="F298" i="6"/>
  <c r="C297" i="6"/>
  <c r="G297" i="6"/>
  <c r="H298" i="6" l="1"/>
  <c r="F298" i="1" s="1"/>
  <c r="C298" i="6"/>
  <c r="F299" i="6"/>
  <c r="G298" i="6"/>
  <c r="H299" i="6" l="1"/>
  <c r="F299" i="1" s="1"/>
  <c r="F300" i="6"/>
  <c r="G299" i="6"/>
  <c r="C299" i="6"/>
  <c r="H300" i="6" l="1"/>
  <c r="F300" i="1" s="1"/>
  <c r="G300" i="6"/>
  <c r="C300" i="6"/>
  <c r="F301" i="6"/>
  <c r="C301" i="6" l="1"/>
  <c r="H301" i="6"/>
  <c r="F301" i="1" s="1"/>
  <c r="G301" i="6"/>
  <c r="F302" i="6"/>
  <c r="G302" i="6" l="1"/>
  <c r="F303" i="6"/>
  <c r="H302" i="6"/>
  <c r="F302" i="1" s="1"/>
  <c r="C302" i="6"/>
  <c r="H303" i="6" l="1"/>
  <c r="F303" i="1" s="1"/>
  <c r="G303" i="6"/>
  <c r="F304" i="6"/>
  <c r="C303" i="6"/>
  <c r="C304" i="6" l="1"/>
  <c r="G304" i="6"/>
  <c r="F305" i="6"/>
  <c r="H304" i="6"/>
  <c r="F304" i="1" s="1"/>
  <c r="H305" i="6" l="1"/>
  <c r="F305" i="1" s="1"/>
  <c r="F306" i="6"/>
  <c r="G305" i="6"/>
  <c r="C305" i="6"/>
  <c r="G306" i="6" l="1"/>
  <c r="H306" i="6"/>
  <c r="F306" i="1" s="1"/>
  <c r="C306" i="6"/>
  <c r="D306" i="6" s="1"/>
  <c r="F307" i="6"/>
  <c r="H307" i="6" l="1"/>
  <c r="F307" i="1" s="1"/>
  <c r="F308" i="6"/>
  <c r="G307" i="6"/>
  <c r="C307" i="6"/>
  <c r="F309" i="6" l="1"/>
  <c r="H308" i="6"/>
  <c r="F308" i="1" s="1"/>
  <c r="G308" i="6"/>
  <c r="C308" i="6"/>
  <c r="D308" i="6" s="1"/>
  <c r="H309" i="6" l="1"/>
  <c r="F309" i="1" s="1"/>
  <c r="G309" i="6"/>
  <c r="F310" i="6"/>
  <c r="C309" i="6"/>
  <c r="H310" i="6" l="1"/>
  <c r="F310" i="1" s="1"/>
  <c r="C310" i="6"/>
  <c r="G310" i="6"/>
  <c r="F311" i="6"/>
  <c r="G311" i="6" l="1"/>
  <c r="F312" i="6"/>
  <c r="C311" i="6"/>
  <c r="H311" i="6"/>
  <c r="F311" i="1" s="1"/>
  <c r="C312" i="6" l="1"/>
  <c r="H312" i="6"/>
  <c r="F312" i="1" s="1"/>
  <c r="F313" i="6"/>
  <c r="G312" i="6"/>
  <c r="G313" i="6" l="1"/>
  <c r="H313" i="6"/>
  <c r="F313" i="1" s="1"/>
  <c r="C313" i="6"/>
  <c r="F314" i="6"/>
  <c r="C314" i="6" l="1"/>
  <c r="F315" i="6"/>
  <c r="H314" i="6"/>
  <c r="F314" i="1" s="1"/>
  <c r="G314" i="6"/>
  <c r="F316" i="6" l="1"/>
  <c r="H315" i="6"/>
  <c r="F315" i="1" s="1"/>
  <c r="G315" i="6"/>
  <c r="C315" i="6"/>
  <c r="D315" i="6" s="1"/>
  <c r="H316" i="6" l="1"/>
  <c r="F316" i="1" s="1"/>
  <c r="C316" i="6"/>
  <c r="F317" i="6"/>
  <c r="G316" i="6"/>
  <c r="F318" i="6" l="1"/>
  <c r="G317" i="6"/>
  <c r="H317" i="6"/>
  <c r="F317" i="1" s="1"/>
  <c r="C317" i="6"/>
  <c r="G318" i="6" l="1"/>
  <c r="C318" i="6"/>
  <c r="D318" i="6" s="1"/>
  <c r="F319" i="6"/>
  <c r="H318" i="6"/>
  <c r="F318" i="1" s="1"/>
  <c r="F320" i="6" l="1"/>
  <c r="H319" i="6"/>
  <c r="F319" i="1" s="1"/>
  <c r="C319" i="6"/>
  <c r="G319" i="6"/>
  <c r="F321" i="6" l="1"/>
  <c r="H320" i="6"/>
  <c r="F320" i="1" s="1"/>
  <c r="C320" i="6"/>
  <c r="G320" i="6"/>
  <c r="F322" i="6" l="1"/>
  <c r="G321" i="6"/>
  <c r="H321" i="6"/>
  <c r="F321" i="1" s="1"/>
  <c r="C321" i="6"/>
  <c r="H322" i="6" l="1"/>
  <c r="F322" i="1" s="1"/>
  <c r="F323" i="6"/>
  <c r="G322" i="6"/>
  <c r="C322" i="6"/>
  <c r="H323" i="6" l="1"/>
  <c r="F323" i="1" s="1"/>
  <c r="G323" i="6"/>
  <c r="C323" i="6"/>
  <c r="F324" i="6"/>
  <c r="F325" i="6" l="1"/>
  <c r="H324" i="6"/>
  <c r="F324" i="1" s="1"/>
  <c r="G324" i="6"/>
  <c r="C324" i="6"/>
  <c r="C325" i="6" l="1"/>
  <c r="F326" i="6"/>
  <c r="H325" i="6"/>
  <c r="F325" i="1" s="1"/>
  <c r="G325" i="6"/>
  <c r="H326" i="6" l="1"/>
  <c r="F326" i="1" s="1"/>
  <c r="G326" i="6"/>
  <c r="C326" i="6"/>
  <c r="F327" i="6"/>
  <c r="F328" i="6" l="1"/>
  <c r="H327" i="6"/>
  <c r="F327" i="1" s="1"/>
  <c r="C327" i="6"/>
  <c r="D327" i="6" s="1"/>
  <c r="G327" i="6"/>
  <c r="F329" i="6" l="1"/>
  <c r="G328" i="6"/>
  <c r="H328" i="6"/>
  <c r="F328" i="1" s="1"/>
  <c r="C328" i="6"/>
  <c r="H329" i="6" l="1"/>
  <c r="F329" i="1" s="1"/>
  <c r="F330" i="6"/>
  <c r="C329" i="6"/>
  <c r="G329" i="6"/>
  <c r="G330" i="6" l="1"/>
  <c r="F331" i="6"/>
  <c r="H330" i="6"/>
  <c r="F330" i="1" s="1"/>
  <c r="C330" i="6"/>
  <c r="D330" i="6" s="1"/>
  <c r="H331" i="6" l="1"/>
  <c r="F331" i="1" s="1"/>
  <c r="F332" i="6"/>
  <c r="G331" i="6"/>
  <c r="C331" i="6"/>
  <c r="F333" i="6" l="1"/>
  <c r="G332" i="6"/>
  <c r="H332" i="6"/>
  <c r="F332" i="1" s="1"/>
  <c r="C332" i="6"/>
  <c r="D332" i="6" s="1"/>
  <c r="F334" i="6" l="1"/>
  <c r="C333" i="6"/>
  <c r="G333" i="6"/>
  <c r="H333" i="6"/>
  <c r="F333" i="1" s="1"/>
  <c r="C334" i="6" l="1"/>
  <c r="H334" i="6"/>
  <c r="F334" i="1" s="1"/>
  <c r="G334" i="6"/>
  <c r="F335" i="6"/>
  <c r="F336" i="6" l="1"/>
  <c r="H335" i="6"/>
  <c r="F335" i="1" s="1"/>
  <c r="G335" i="6"/>
  <c r="C335" i="6"/>
  <c r="F337" i="6" l="1"/>
  <c r="C336" i="6"/>
  <c r="D336" i="6" s="1"/>
  <c r="H336" i="6"/>
  <c r="F336" i="1" s="1"/>
  <c r="G336" i="6"/>
  <c r="H337" i="6" l="1"/>
  <c r="F337" i="1" s="1"/>
  <c r="G337" i="6"/>
  <c r="F338" i="6"/>
  <c r="C337" i="6"/>
  <c r="F339" i="6" l="1"/>
  <c r="H338" i="6"/>
  <c r="F338" i="1" s="1"/>
  <c r="G338" i="6"/>
  <c r="C338" i="6"/>
  <c r="F340" i="6" l="1"/>
  <c r="H339" i="6"/>
  <c r="F339" i="1" s="1"/>
  <c r="G339" i="6"/>
  <c r="C339" i="6"/>
  <c r="D339" i="6" s="1"/>
  <c r="H340" i="6" l="1"/>
  <c r="F340" i="1" s="1"/>
  <c r="G340" i="6"/>
  <c r="F341" i="6"/>
  <c r="C340" i="6"/>
  <c r="F342" i="6" l="1"/>
  <c r="H341" i="6"/>
  <c r="F341" i="1" s="1"/>
  <c r="C341" i="6"/>
  <c r="G341" i="6"/>
  <c r="H342" i="6" l="1"/>
  <c r="F342" i="1" s="1"/>
  <c r="F343" i="6"/>
  <c r="C342" i="6"/>
  <c r="G342" i="6"/>
  <c r="F344" i="6" l="1"/>
  <c r="G343" i="6"/>
  <c r="C343" i="6"/>
  <c r="D343" i="6" s="1"/>
  <c r="H343" i="6"/>
  <c r="F343" i="1" s="1"/>
  <c r="F345" i="6" l="1"/>
  <c r="H344" i="6"/>
  <c r="F344" i="1" s="1"/>
  <c r="G344" i="6"/>
  <c r="C344" i="6"/>
  <c r="H345" i="6" l="1"/>
  <c r="F345" i="1" s="1"/>
  <c r="G345" i="6"/>
  <c r="C345" i="6"/>
  <c r="F346" i="6"/>
  <c r="H346" i="6" l="1"/>
  <c r="F346" i="1" s="1"/>
  <c r="F347" i="6"/>
  <c r="G346" i="6"/>
  <c r="C346" i="6"/>
  <c r="C347" i="6" l="1"/>
  <c r="F348" i="6"/>
  <c r="G347" i="6"/>
  <c r="H347" i="6"/>
  <c r="F347" i="1" s="1"/>
  <c r="C348" i="6" l="1"/>
  <c r="H348" i="6"/>
  <c r="F348" i="1" s="1"/>
  <c r="F349" i="6"/>
  <c r="G348" i="6"/>
  <c r="F350" i="6" l="1"/>
  <c r="H349" i="6"/>
  <c r="F349" i="1" s="1"/>
  <c r="C349" i="6"/>
  <c r="G349" i="6"/>
  <c r="F351" i="6" l="1"/>
  <c r="H350" i="6"/>
  <c r="F350" i="1" s="1"/>
  <c r="C350" i="6"/>
  <c r="G350" i="6"/>
  <c r="G351" i="6" l="1"/>
  <c r="H351" i="6"/>
  <c r="F351" i="1" s="1"/>
  <c r="C351" i="6"/>
  <c r="F352" i="6"/>
  <c r="H352" i="6" l="1"/>
  <c r="F352" i="1" s="1"/>
  <c r="G352" i="6"/>
  <c r="F353" i="6"/>
  <c r="C352" i="6"/>
  <c r="H353" i="6" l="1"/>
  <c r="F353" i="1" s="1"/>
  <c r="C353" i="6"/>
  <c r="F354" i="6"/>
  <c r="G353" i="6"/>
  <c r="H354" i="6" l="1"/>
  <c r="F354" i="1" s="1"/>
  <c r="G354" i="6"/>
  <c r="C354" i="6"/>
  <c r="F355" i="6"/>
  <c r="H355" i="6" l="1"/>
  <c r="F355" i="1" s="1"/>
  <c r="G355" i="6"/>
  <c r="C355" i="6"/>
  <c r="F356" i="6"/>
  <c r="G356" i="6" l="1"/>
  <c r="H356" i="6"/>
  <c r="F356" i="1" s="1"/>
  <c r="F357" i="6"/>
  <c r="C356" i="6"/>
  <c r="H357" i="6" l="1"/>
  <c r="F357" i="1" s="1"/>
  <c r="F358" i="6"/>
  <c r="G357" i="6"/>
  <c r="C357" i="6"/>
  <c r="H358" i="6" l="1"/>
  <c r="F358" i="1" s="1"/>
  <c r="G358" i="6"/>
  <c r="C358" i="6"/>
  <c r="F359" i="6"/>
  <c r="H359" i="6" l="1"/>
  <c r="F359" i="1" s="1"/>
  <c r="F360" i="6"/>
  <c r="G359" i="6"/>
  <c r="C359" i="6"/>
  <c r="D359" i="6" s="1"/>
  <c r="H360" i="6" l="1"/>
  <c r="F360" i="1" s="1"/>
  <c r="C360" i="6"/>
  <c r="G360" i="6"/>
  <c r="F361" i="6"/>
  <c r="C361" i="6" l="1"/>
  <c r="H361" i="6"/>
  <c r="F361" i="1" s="1"/>
  <c r="G361" i="6"/>
  <c r="F362" i="6"/>
  <c r="H362" i="6" l="1"/>
  <c r="F362" i="1" s="1"/>
  <c r="F363" i="6"/>
  <c r="G362" i="6"/>
  <c r="C362" i="6"/>
  <c r="H363" i="6" l="1"/>
  <c r="F363" i="1" s="1"/>
  <c r="F364" i="6"/>
  <c r="G363" i="6"/>
  <c r="C363" i="6"/>
  <c r="D363" i="6" s="1"/>
  <c r="H364" i="6" l="1"/>
  <c r="F364" i="1" s="1"/>
  <c r="F365" i="6"/>
  <c r="G364" i="6"/>
  <c r="C364" i="6"/>
  <c r="F366" i="6" l="1"/>
  <c r="C365" i="6"/>
  <c r="G365" i="6"/>
  <c r="H365" i="6"/>
  <c r="F365" i="1" s="1"/>
  <c r="H366" i="6" l="1"/>
  <c r="F366" i="1" s="1"/>
  <c r="F367" i="6"/>
  <c r="C366" i="6"/>
  <c r="G366" i="6"/>
  <c r="H367" i="6" l="1"/>
  <c r="F367" i="1" s="1"/>
  <c r="G367" i="6"/>
  <c r="F368" i="6"/>
  <c r="C367" i="6"/>
  <c r="G368" i="6" l="1"/>
  <c r="H368" i="6"/>
  <c r="F368" i="1" s="1"/>
  <c r="C368" i="6"/>
  <c r="F369" i="6"/>
  <c r="F370" i="6" l="1"/>
  <c r="C369" i="6"/>
  <c r="G369" i="6"/>
  <c r="H369" i="6"/>
  <c r="F369" i="1" s="1"/>
  <c r="H370" i="6" l="1"/>
  <c r="F370" i="1" s="1"/>
  <c r="G370" i="6"/>
  <c r="F371" i="6"/>
  <c r="C370" i="6"/>
  <c r="F372" i="6" l="1"/>
  <c r="H371" i="6"/>
  <c r="F371" i="1" s="1"/>
  <c r="C371" i="6"/>
  <c r="G371" i="6"/>
  <c r="C372" i="6" l="1"/>
  <c r="H372" i="6"/>
  <c r="F372" i="1" s="1"/>
  <c r="F373" i="6"/>
  <c r="G372" i="6"/>
  <c r="C373" i="6" l="1"/>
  <c r="H373" i="6"/>
  <c r="F373" i="1" s="1"/>
  <c r="F374" i="6"/>
  <c r="G373" i="6"/>
  <c r="C374" i="6" l="1"/>
  <c r="H374" i="6"/>
  <c r="F374" i="1" s="1"/>
  <c r="F375" i="6"/>
  <c r="G374" i="6"/>
  <c r="H375" i="6" l="1"/>
  <c r="F375" i="1" s="1"/>
  <c r="G375" i="6"/>
  <c r="C375" i="6"/>
  <c r="D375" i="6" s="1"/>
  <c r="F376" i="6"/>
  <c r="H376" i="6" l="1"/>
  <c r="F376" i="1" s="1"/>
  <c r="G376" i="6"/>
  <c r="C376" i="6"/>
  <c r="F377" i="6"/>
  <c r="F378" i="6" l="1"/>
  <c r="H377" i="6"/>
  <c r="F377" i="1" s="1"/>
  <c r="G377" i="6"/>
  <c r="C377" i="6"/>
  <c r="H378" i="6" l="1"/>
  <c r="F378" i="1" s="1"/>
  <c r="G378" i="6"/>
  <c r="C378" i="6"/>
  <c r="F379" i="6"/>
  <c r="H379" i="6" l="1"/>
  <c r="F379" i="1" s="1"/>
  <c r="F380" i="6"/>
  <c r="G379" i="6"/>
  <c r="C379" i="6"/>
  <c r="G380" i="6" l="1"/>
  <c r="H380" i="6"/>
  <c r="F380" i="1" s="1"/>
  <c r="C380" i="6"/>
  <c r="D380" i="6" s="1"/>
  <c r="F381" i="6"/>
  <c r="G381" i="6" l="1"/>
  <c r="H381" i="6"/>
  <c r="F381" i="1" s="1"/>
  <c r="F382" i="6"/>
  <c r="C381" i="6"/>
  <c r="C382" i="6" l="1"/>
  <c r="H382" i="6"/>
  <c r="F382" i="1" s="1"/>
  <c r="G382" i="6"/>
  <c r="F383" i="6"/>
  <c r="G383" i="6" l="1"/>
  <c r="F384" i="6"/>
  <c r="H383" i="6"/>
  <c r="F383" i="1" s="1"/>
  <c r="C383" i="6"/>
  <c r="F385" i="6" l="1"/>
  <c r="H384" i="6"/>
  <c r="F384" i="1" s="1"/>
  <c r="G384" i="6"/>
  <c r="C384" i="6"/>
  <c r="H385" i="6" l="1"/>
  <c r="F385" i="1" s="1"/>
  <c r="C385" i="6"/>
  <c r="G385" i="6"/>
  <c r="F386" i="6"/>
  <c r="C386" i="6" l="1"/>
  <c r="H386" i="6"/>
  <c r="F386" i="1" s="1"/>
  <c r="F387" i="6"/>
  <c r="G386" i="6"/>
  <c r="H387" i="6" l="1"/>
  <c r="F387" i="1" s="1"/>
  <c r="F388" i="6"/>
  <c r="C387" i="6"/>
  <c r="G387" i="6"/>
  <c r="G388" i="6" l="1"/>
  <c r="F389" i="6"/>
  <c r="H388" i="6"/>
  <c r="F388" i="1" s="1"/>
  <c r="C388" i="6"/>
  <c r="D388" i="6" s="1"/>
  <c r="H389" i="6" l="1"/>
  <c r="F389" i="1" s="1"/>
  <c r="C389" i="6"/>
  <c r="G389" i="6"/>
  <c r="F390" i="6"/>
  <c r="H390" i="6" l="1"/>
  <c r="F390" i="1" s="1"/>
  <c r="C390" i="6"/>
  <c r="F391" i="6"/>
  <c r="G390" i="6"/>
  <c r="G391" i="6" l="1"/>
  <c r="H391" i="6"/>
  <c r="F391" i="1" s="1"/>
  <c r="C391" i="6"/>
  <c r="F392" i="6"/>
  <c r="C392" i="6" l="1"/>
  <c r="H392" i="6"/>
  <c r="F392" i="1" s="1"/>
  <c r="G392" i="6"/>
  <c r="F393" i="6"/>
  <c r="F394" i="6" l="1"/>
  <c r="H393" i="6"/>
  <c r="F393" i="1" s="1"/>
  <c r="G393" i="6"/>
  <c r="C393" i="6"/>
  <c r="D393" i="6" s="1"/>
  <c r="F395" i="6" l="1"/>
  <c r="H394" i="6"/>
  <c r="F394" i="1" s="1"/>
  <c r="G394" i="6"/>
  <c r="C394" i="6"/>
  <c r="F396" i="6" l="1"/>
  <c r="H395" i="6"/>
  <c r="F395" i="1" s="1"/>
  <c r="C395" i="6"/>
  <c r="G395" i="6"/>
  <c r="G396" i="6" l="1"/>
  <c r="H396" i="6"/>
  <c r="F396" i="1" s="1"/>
  <c r="C396" i="6"/>
  <c r="D396" i="6" s="1"/>
  <c r="F397" i="6"/>
  <c r="C397" i="6" l="1"/>
  <c r="H397" i="6"/>
  <c r="F397" i="1" s="1"/>
  <c r="F398" i="6"/>
  <c r="G397" i="6"/>
  <c r="H398" i="6" l="1"/>
  <c r="F398" i="1" s="1"/>
  <c r="C398" i="6"/>
  <c r="G398" i="6"/>
  <c r="F399" i="6"/>
  <c r="F400" i="6" l="1"/>
  <c r="H399" i="6"/>
  <c r="F399" i="1" s="1"/>
  <c r="C399" i="6"/>
  <c r="G399" i="6"/>
  <c r="F401" i="6" l="1"/>
  <c r="G400" i="6"/>
  <c r="H400" i="6"/>
  <c r="F400" i="1" s="1"/>
  <c r="C400" i="6"/>
  <c r="H401" i="6" l="1"/>
  <c r="F401" i="1" s="1"/>
  <c r="G401" i="6"/>
  <c r="F402" i="6"/>
  <c r="C401" i="6"/>
  <c r="H402" i="6" l="1"/>
  <c r="F402" i="1" s="1"/>
  <c r="C402" i="6"/>
  <c r="G402" i="6"/>
  <c r="F403" i="6"/>
  <c r="F404" i="6" l="1"/>
  <c r="G403" i="6"/>
  <c r="C403" i="6"/>
  <c r="D403" i="6" s="1"/>
  <c r="H403" i="6"/>
  <c r="F403" i="1" s="1"/>
  <c r="H404" i="6" l="1"/>
  <c r="F404" i="1" s="1"/>
  <c r="F405" i="6"/>
  <c r="G404" i="6"/>
  <c r="C404" i="6"/>
  <c r="C405" i="6" l="1"/>
  <c r="D405" i="6" s="1"/>
  <c r="H405" i="6"/>
  <c r="F405" i="1" s="1"/>
  <c r="F406" i="6"/>
  <c r="G405" i="6"/>
  <c r="G406" i="6" l="1"/>
  <c r="F407" i="6"/>
  <c r="C406" i="6"/>
  <c r="H406" i="6"/>
  <c r="F406" i="1" s="1"/>
  <c r="H407" i="6" l="1"/>
  <c r="F407" i="1" s="1"/>
  <c r="F408" i="6"/>
  <c r="C407" i="6"/>
  <c r="G407" i="6"/>
  <c r="G408" i="6" l="1"/>
  <c r="H408" i="6"/>
  <c r="F408" i="1" s="1"/>
  <c r="F409" i="6"/>
  <c r="C408" i="6"/>
  <c r="D408" i="6" s="1"/>
  <c r="G409" i="6" l="1"/>
  <c r="C409" i="6"/>
  <c r="F410" i="6"/>
  <c r="H409" i="6"/>
  <c r="F409" i="1" s="1"/>
  <c r="F411" i="6" l="1"/>
  <c r="C410" i="6"/>
  <c r="G410" i="6"/>
  <c r="H410" i="6"/>
  <c r="F410" i="1" s="1"/>
  <c r="H411" i="6" l="1"/>
  <c r="F411" i="1" s="1"/>
  <c r="F412" i="6"/>
  <c r="C411" i="6"/>
  <c r="G411" i="6"/>
  <c r="C412" i="6" l="1"/>
  <c r="H412" i="6"/>
  <c r="F412" i="1" s="1"/>
  <c r="F413" i="6"/>
  <c r="G412" i="6"/>
  <c r="C413" i="6" l="1"/>
  <c r="G413" i="6"/>
  <c r="H413" i="6"/>
  <c r="F413" i="1" s="1"/>
  <c r="F414" i="6"/>
  <c r="C414" i="6" l="1"/>
  <c r="G414" i="6"/>
  <c r="H414" i="6"/>
  <c r="F414" i="1" s="1"/>
  <c r="F415" i="6"/>
  <c r="H415" i="6" l="1"/>
  <c r="F415" i="1" s="1"/>
  <c r="F416" i="6"/>
  <c r="G415" i="6"/>
  <c r="C415" i="6"/>
  <c r="G416" i="6" l="1"/>
  <c r="H416" i="6"/>
  <c r="F416" i="1" s="1"/>
  <c r="C416" i="6"/>
  <c r="D416" i="6" s="1"/>
  <c r="F417" i="6"/>
  <c r="H417" i="6" l="1"/>
  <c r="F417" i="1" s="1"/>
  <c r="C417" i="6"/>
  <c r="G417" i="6"/>
  <c r="F418" i="6"/>
  <c r="H418" i="6" l="1"/>
  <c r="F418" i="1" s="1"/>
  <c r="F419" i="6"/>
  <c r="C418" i="6"/>
  <c r="G418" i="6"/>
  <c r="H419" i="6" l="1"/>
  <c r="F419" i="1" s="1"/>
  <c r="G419" i="6"/>
  <c r="C419" i="6"/>
  <c r="D419" i="6" s="1"/>
  <c r="F420" i="6"/>
  <c r="H420" i="6" l="1"/>
  <c r="F420" i="1" s="1"/>
  <c r="F421" i="6"/>
  <c r="C420" i="6"/>
  <c r="G420" i="6"/>
  <c r="F422" i="6" l="1"/>
  <c r="H421" i="6"/>
  <c r="F421" i="1" s="1"/>
  <c r="G421" i="6"/>
  <c r="C421" i="6"/>
  <c r="D421" i="6" s="1"/>
  <c r="H422" i="6" l="1"/>
  <c r="F422" i="1" s="1"/>
  <c r="F423" i="6"/>
  <c r="G422" i="6"/>
  <c r="C422" i="6"/>
  <c r="H423" i="6" l="1"/>
  <c r="F423" i="1" s="1"/>
  <c r="F424" i="6"/>
  <c r="G423" i="6"/>
  <c r="C423" i="6"/>
  <c r="D423" i="6" s="1"/>
  <c r="G424" i="6" l="1"/>
  <c r="H424" i="6"/>
  <c r="F424" i="1" s="1"/>
  <c r="C424" i="6"/>
  <c r="D424" i="6" s="1"/>
  <c r="F425" i="6"/>
  <c r="F426" i="6" l="1"/>
  <c r="G425" i="6"/>
  <c r="C425" i="6"/>
  <c r="H425" i="6"/>
  <c r="F425" i="1" s="1"/>
  <c r="H426" i="6" l="1"/>
  <c r="F426" i="1" s="1"/>
  <c r="C426" i="6"/>
  <c r="F427" i="6"/>
  <c r="G426" i="6"/>
  <c r="H427" i="6" l="1"/>
  <c r="F427" i="1" s="1"/>
  <c r="F428" i="6"/>
  <c r="G427" i="6"/>
  <c r="C427" i="6"/>
  <c r="C428" i="6" l="1"/>
  <c r="D428" i="6" s="1"/>
  <c r="F429" i="6"/>
  <c r="H428" i="6"/>
  <c r="F428" i="1" s="1"/>
  <c r="G428" i="6"/>
  <c r="G429" i="6" l="1"/>
  <c r="H429" i="6"/>
  <c r="F429" i="1" s="1"/>
  <c r="C429" i="6"/>
  <c r="D429" i="6" s="1"/>
  <c r="F430" i="6"/>
  <c r="H430" i="6" l="1"/>
  <c r="F430" i="1" s="1"/>
  <c r="F431" i="6"/>
  <c r="G430" i="6"/>
  <c r="C430" i="6"/>
  <c r="G431" i="6" l="1"/>
  <c r="H431" i="6"/>
  <c r="F431" i="1" s="1"/>
  <c r="C431" i="6"/>
  <c r="F432" i="6"/>
  <c r="F433" i="6" l="1"/>
  <c r="H432" i="6"/>
  <c r="F432" i="1" s="1"/>
  <c r="G432" i="6"/>
  <c r="C432" i="6"/>
  <c r="H433" i="6" l="1"/>
  <c r="F433" i="1" s="1"/>
  <c r="F434" i="6"/>
  <c r="G433" i="6"/>
  <c r="C433" i="6"/>
  <c r="G434" i="6" l="1"/>
  <c r="C434" i="6"/>
  <c r="D434" i="6" s="1"/>
  <c r="H434" i="6"/>
  <c r="F434" i="1" s="1"/>
  <c r="F435" i="6"/>
  <c r="F436" i="6" l="1"/>
  <c r="C435" i="6"/>
  <c r="H435" i="6"/>
  <c r="F435" i="1" s="1"/>
  <c r="G435" i="6"/>
  <c r="G436" i="6" l="1"/>
  <c r="H436" i="6"/>
  <c r="F436" i="1" s="1"/>
  <c r="C436" i="6"/>
  <c r="F437" i="6"/>
  <c r="G437" i="6" l="1"/>
  <c r="H437" i="6"/>
  <c r="F437" i="1" s="1"/>
  <c r="C437" i="6"/>
  <c r="F438" i="6"/>
  <c r="G438" i="6" l="1"/>
  <c r="H438" i="6"/>
  <c r="F438" i="1" s="1"/>
  <c r="F439" i="6"/>
  <c r="C438" i="6"/>
  <c r="C439" i="6" l="1"/>
  <c r="G439" i="6"/>
  <c r="H439" i="6"/>
  <c r="F439" i="1" s="1"/>
  <c r="F440" i="6"/>
  <c r="C440" i="6" l="1"/>
  <c r="H440" i="6"/>
  <c r="F440" i="1" s="1"/>
  <c r="G440" i="6"/>
  <c r="F441" i="6"/>
  <c r="H441" i="6" l="1"/>
  <c r="F441" i="1" s="1"/>
  <c r="F442" i="6"/>
  <c r="G441" i="6"/>
  <c r="C441" i="6"/>
  <c r="H442" i="6" l="1"/>
  <c r="F442" i="1" s="1"/>
  <c r="F443" i="6"/>
  <c r="G442" i="6"/>
  <c r="C442" i="6"/>
  <c r="D442" i="6" s="1"/>
  <c r="C443" i="6" l="1"/>
  <c r="H443" i="6"/>
  <c r="F443" i="1" s="1"/>
  <c r="G443" i="6"/>
  <c r="F444" i="6"/>
  <c r="H444" i="6" l="1"/>
  <c r="F444" i="1" s="1"/>
  <c r="G444" i="6"/>
  <c r="C444" i="6"/>
  <c r="D444" i="6" s="1"/>
  <c r="F445" i="6"/>
  <c r="F446" i="6" l="1"/>
  <c r="H445" i="6"/>
  <c r="F445" i="1" s="1"/>
  <c r="G445" i="6"/>
  <c r="C445" i="6"/>
  <c r="H446" i="6" l="1"/>
  <c r="F446" i="1" s="1"/>
  <c r="F447" i="6"/>
  <c r="C446" i="6"/>
  <c r="D446" i="6" s="1"/>
  <c r="G446" i="6"/>
  <c r="C447" i="6" l="1"/>
  <c r="H447" i="6"/>
  <c r="F447" i="1" s="1"/>
  <c r="F448" i="6"/>
  <c r="G447" i="6"/>
  <c r="F449" i="6" l="1"/>
  <c r="C448" i="6"/>
  <c r="G448" i="6"/>
  <c r="H448" i="6"/>
  <c r="F448" i="1" s="1"/>
  <c r="C449" i="6" l="1"/>
  <c r="D449" i="6" s="1"/>
  <c r="H449" i="6"/>
  <c r="F449" i="1" s="1"/>
  <c r="G449" i="6"/>
  <c r="F450" i="6"/>
  <c r="C450" i="6" l="1"/>
  <c r="F451" i="6"/>
  <c r="H450" i="6"/>
  <c r="F450" i="1" s="1"/>
  <c r="G450" i="6"/>
  <c r="H451" i="6" l="1"/>
  <c r="F451" i="1" s="1"/>
  <c r="G451" i="6"/>
  <c r="F452" i="6"/>
  <c r="C451" i="6"/>
  <c r="D451" i="6" s="1"/>
  <c r="F453" i="6" l="1"/>
  <c r="C452" i="6"/>
  <c r="H452" i="6"/>
  <c r="F452" i="1" s="1"/>
  <c r="G452" i="6"/>
  <c r="H453" i="6" l="1"/>
  <c r="F453" i="1" s="1"/>
  <c r="G453" i="6"/>
  <c r="C453" i="6"/>
  <c r="F454" i="6"/>
  <c r="C454" i="6" l="1"/>
  <c r="H454" i="6"/>
  <c r="F454" i="1" s="1"/>
  <c r="G454" i="6"/>
  <c r="F455" i="6"/>
  <c r="F456" i="6" l="1"/>
  <c r="H455" i="6"/>
  <c r="F455" i="1" s="1"/>
  <c r="G455" i="6"/>
  <c r="C455" i="6"/>
  <c r="G456" i="6" l="1"/>
  <c r="H456" i="6"/>
  <c r="F456" i="1" s="1"/>
  <c r="F457" i="6"/>
  <c r="C456" i="6"/>
  <c r="D456" i="6" s="1"/>
  <c r="H457" i="6" l="1"/>
  <c r="F457" i="1" s="1"/>
  <c r="F458" i="6"/>
  <c r="C457" i="6"/>
  <c r="G457" i="6"/>
  <c r="H458" i="6" l="1"/>
  <c r="F458" i="1" s="1"/>
  <c r="C458" i="6"/>
  <c r="D458" i="6" s="1"/>
  <c r="G458" i="6"/>
  <c r="F459" i="6"/>
  <c r="F460" i="6" l="1"/>
  <c r="H459" i="6"/>
  <c r="F459" i="1" s="1"/>
  <c r="G459" i="6"/>
  <c r="C459" i="6"/>
  <c r="G460" i="6" l="1"/>
  <c r="F461" i="6"/>
  <c r="H460" i="6"/>
  <c r="F460" i="1" s="1"/>
  <c r="C460" i="6"/>
  <c r="H461" i="6" l="1"/>
  <c r="F461" i="1" s="1"/>
  <c r="G461" i="6"/>
  <c r="C461" i="6"/>
  <c r="D461" i="6" s="1"/>
  <c r="F462" i="6"/>
  <c r="F463" i="6" l="1"/>
  <c r="G462" i="6"/>
  <c r="H462" i="6"/>
  <c r="F462" i="1" s="1"/>
  <c r="C462" i="6"/>
  <c r="H463" i="6" l="1"/>
  <c r="F463" i="1" s="1"/>
  <c r="F464" i="6"/>
  <c r="G463" i="6"/>
  <c r="C463" i="6"/>
  <c r="D463" i="6" s="1"/>
  <c r="H464" i="6" l="1"/>
  <c r="F464" i="1" s="1"/>
  <c r="F465" i="6"/>
  <c r="G464" i="6"/>
  <c r="C464" i="6"/>
  <c r="G465" i="6" l="1"/>
  <c r="H465" i="6"/>
  <c r="F465" i="1" s="1"/>
  <c r="C465" i="6"/>
  <c r="D465" i="6" s="1"/>
  <c r="F466" i="6"/>
  <c r="H466" i="6" l="1"/>
  <c r="F466" i="1" s="1"/>
  <c r="F467" i="6"/>
  <c r="C466" i="6"/>
  <c r="G466" i="6"/>
  <c r="F468" i="6" l="1"/>
  <c r="H467" i="6"/>
  <c r="F467" i="1" s="1"/>
  <c r="C467" i="6"/>
  <c r="G467" i="6"/>
  <c r="C468" i="6" l="1"/>
  <c r="H468" i="6"/>
  <c r="F468" i="1" s="1"/>
  <c r="G468" i="6"/>
  <c r="F469" i="6"/>
  <c r="F470" i="6" l="1"/>
  <c r="H469" i="6"/>
  <c r="F469" i="1" s="1"/>
  <c r="C469" i="6"/>
  <c r="G469" i="6"/>
  <c r="G470" i="6" l="1"/>
  <c r="F471" i="6"/>
  <c r="C470" i="6"/>
  <c r="H470" i="6"/>
  <c r="F470" i="1" s="1"/>
  <c r="F472" i="6" l="1"/>
  <c r="C471" i="6"/>
  <c r="H471" i="6"/>
  <c r="F471" i="1" s="1"/>
  <c r="G471" i="6"/>
  <c r="H472" i="6" l="1"/>
  <c r="F472" i="1" s="1"/>
  <c r="C472" i="6"/>
  <c r="G472" i="6"/>
  <c r="F473" i="6"/>
  <c r="F474" i="6" l="1"/>
  <c r="G473" i="6"/>
  <c r="C473" i="6"/>
  <c r="H473" i="6"/>
  <c r="F473" i="1" s="1"/>
  <c r="H474" i="6" l="1"/>
  <c r="F474" i="1" s="1"/>
  <c r="F475" i="6"/>
  <c r="G474" i="6"/>
  <c r="C474" i="6"/>
  <c r="H475" i="6" l="1"/>
  <c r="F475" i="1" s="1"/>
  <c r="G475" i="6"/>
  <c r="C475" i="6"/>
  <c r="F476" i="6"/>
  <c r="C476" i="6" l="1"/>
  <c r="H476" i="6"/>
  <c r="F476" i="1" s="1"/>
  <c r="G476" i="6"/>
  <c r="F477" i="6"/>
  <c r="C477" i="6" l="1"/>
  <c r="G477" i="6"/>
  <c r="F478" i="6"/>
  <c r="H477" i="6"/>
  <c r="F477" i="1" s="1"/>
  <c r="F479" i="6" l="1"/>
  <c r="H478" i="6"/>
  <c r="F478" i="1" s="1"/>
  <c r="C478" i="6"/>
  <c r="G478" i="6"/>
  <c r="G479" i="6" l="1"/>
  <c r="F480" i="6"/>
  <c r="H479" i="6"/>
  <c r="F479" i="1" s="1"/>
  <c r="C479" i="6"/>
  <c r="D479" i="6" s="1"/>
  <c r="H480" i="6" l="1"/>
  <c r="F480" i="1" s="1"/>
  <c r="C480" i="6"/>
  <c r="F481" i="6"/>
  <c r="G480" i="6"/>
  <c r="G481" i="6" l="1"/>
  <c r="H481" i="6"/>
  <c r="F481" i="1" s="1"/>
  <c r="F482" i="6"/>
  <c r="C481" i="6"/>
  <c r="G482" i="6" l="1"/>
  <c r="H482" i="6"/>
  <c r="F482" i="1" s="1"/>
  <c r="F483" i="6"/>
  <c r="C482" i="6"/>
  <c r="F484" i="6" l="1"/>
  <c r="H483" i="6"/>
  <c r="F483" i="1" s="1"/>
  <c r="G483" i="6"/>
  <c r="C483" i="6"/>
  <c r="G484" i="6" l="1"/>
  <c r="H484" i="6"/>
  <c r="F484" i="1" s="1"/>
  <c r="C484" i="6"/>
  <c r="F485" i="6"/>
  <c r="H485" i="6" l="1"/>
  <c r="F485" i="1" s="1"/>
  <c r="F486" i="6"/>
  <c r="G485" i="6"/>
  <c r="C485" i="6"/>
  <c r="F487" i="6" l="1"/>
  <c r="H486" i="6"/>
  <c r="F486" i="1" s="1"/>
  <c r="G486" i="6"/>
  <c r="C486" i="6"/>
  <c r="G487" i="6" l="1"/>
  <c r="C487" i="6"/>
  <c r="H487" i="6"/>
  <c r="F487" i="1" s="1"/>
  <c r="F488" i="6"/>
  <c r="H488" i="6" l="1"/>
  <c r="F488" i="1" s="1"/>
  <c r="C488" i="6"/>
  <c r="F489" i="6"/>
  <c r="G488" i="6"/>
  <c r="H489" i="6" l="1"/>
  <c r="F489" i="1" s="1"/>
  <c r="F490" i="6"/>
  <c r="C489" i="6"/>
  <c r="G489" i="6"/>
  <c r="H490" i="6" l="1"/>
  <c r="F490" i="1" s="1"/>
  <c r="G490" i="6"/>
  <c r="F491" i="6"/>
  <c r="C490" i="6"/>
  <c r="D490" i="6" s="1"/>
  <c r="G491" i="6" l="1"/>
  <c r="H491" i="6"/>
  <c r="F491" i="1" s="1"/>
  <c r="F492" i="6"/>
  <c r="C491" i="6"/>
  <c r="G492" i="6" l="1"/>
  <c r="H492" i="6"/>
  <c r="F492" i="1" s="1"/>
  <c r="F493" i="6"/>
  <c r="C492" i="6"/>
  <c r="H493" i="6" l="1"/>
  <c r="F493" i="1" s="1"/>
  <c r="F494" i="6"/>
  <c r="G493" i="6"/>
  <c r="C493" i="6"/>
  <c r="D493" i="6" s="1"/>
  <c r="G494" i="6" l="1"/>
  <c r="H494" i="6"/>
  <c r="F494" i="1" s="1"/>
  <c r="C494" i="6"/>
  <c r="F495" i="6"/>
  <c r="G495" i="6" l="1"/>
  <c r="H495" i="6"/>
  <c r="F495" i="1" s="1"/>
  <c r="F496" i="6"/>
  <c r="C495" i="6"/>
  <c r="C496" i="6" l="1"/>
  <c r="H496" i="6"/>
  <c r="F496" i="1" s="1"/>
  <c r="G496" i="6"/>
  <c r="F497" i="6"/>
  <c r="H497" i="6" l="1"/>
  <c r="F497" i="1" s="1"/>
  <c r="F498" i="6"/>
  <c r="C497" i="6"/>
  <c r="G497" i="6"/>
  <c r="H498" i="6" l="1"/>
  <c r="F498" i="1" s="1"/>
  <c r="F499" i="6"/>
  <c r="G498" i="6"/>
  <c r="C498" i="6"/>
  <c r="D498" i="6" s="1"/>
  <c r="H499" i="6" l="1"/>
  <c r="F499" i="1" s="1"/>
  <c r="F500" i="6"/>
  <c r="C499" i="6"/>
  <c r="D499" i="6" s="1"/>
  <c r="G499" i="6"/>
  <c r="H500" i="6" l="1"/>
  <c r="F500" i="1" s="1"/>
  <c r="G500" i="6"/>
  <c r="C500" i="6"/>
  <c r="F501" i="6"/>
  <c r="H501" i="6" l="1"/>
  <c r="F501" i="1" s="1"/>
  <c r="G501" i="6"/>
  <c r="F502" i="6"/>
  <c r="C501" i="6"/>
  <c r="F503" i="6" l="1"/>
  <c r="C502" i="6"/>
  <c r="H502" i="6"/>
  <c r="F502" i="1" s="1"/>
  <c r="G502" i="6"/>
  <c r="F504" i="6" l="1"/>
  <c r="H503" i="6"/>
  <c r="F503" i="1" s="1"/>
  <c r="G503" i="6"/>
  <c r="C503" i="6"/>
  <c r="H504" i="6" l="1"/>
  <c r="F504" i="1" s="1"/>
  <c r="C504" i="6"/>
  <c r="F505" i="6"/>
  <c r="G504" i="6"/>
  <c r="F506" i="6" l="1"/>
  <c r="H505" i="6"/>
  <c r="F505" i="1" s="1"/>
  <c r="C505" i="6"/>
  <c r="D505" i="6" s="1"/>
  <c r="G505" i="6"/>
  <c r="H506" i="6" l="1"/>
  <c r="F506" i="1" s="1"/>
  <c r="G506" i="6"/>
  <c r="C506" i="6"/>
  <c r="F507" i="6"/>
  <c r="H507" i="6" l="1"/>
  <c r="F507" i="1" s="1"/>
  <c r="F508" i="6"/>
  <c r="G507" i="6"/>
  <c r="C507" i="6"/>
  <c r="G508" i="6" l="1"/>
  <c r="H508" i="6"/>
  <c r="F508" i="1" s="1"/>
  <c r="F509" i="6"/>
  <c r="C508" i="6"/>
  <c r="H509" i="6" l="1"/>
  <c r="F509" i="1" s="1"/>
  <c r="C509" i="6"/>
  <c r="G509" i="6"/>
  <c r="F510" i="6"/>
  <c r="F511" i="6" l="1"/>
  <c r="H510" i="6"/>
  <c r="F510" i="1" s="1"/>
  <c r="G510" i="6"/>
  <c r="C510" i="6"/>
  <c r="G511" i="6" l="1"/>
  <c r="C511" i="6"/>
  <c r="D511" i="6" s="1"/>
  <c r="H511" i="6"/>
  <c r="F511" i="1" s="1"/>
  <c r="F512" i="6"/>
  <c r="C512" i="6" l="1"/>
  <c r="F513" i="6"/>
  <c r="H512" i="6"/>
  <c r="F512" i="1" s="1"/>
  <c r="G512" i="6"/>
  <c r="G513" i="6" l="1"/>
  <c r="C513" i="6"/>
  <c r="H513" i="6"/>
  <c r="F513" i="1" s="1"/>
  <c r="F514" i="6"/>
  <c r="C514" i="6" l="1"/>
  <c r="H514" i="6"/>
  <c r="F514" i="1" s="1"/>
  <c r="F515" i="6"/>
  <c r="G514" i="6"/>
  <c r="C515" i="6" l="1"/>
  <c r="F516" i="6"/>
  <c r="H515" i="6"/>
  <c r="F515" i="1" s="1"/>
  <c r="G515" i="6"/>
  <c r="G516" i="6" l="1"/>
  <c r="H516" i="6"/>
  <c r="F516" i="1" s="1"/>
  <c r="F517" i="6"/>
  <c r="C516" i="6"/>
  <c r="G517" i="6" l="1"/>
  <c r="H517" i="6"/>
  <c r="F517" i="1" s="1"/>
  <c r="F518" i="6"/>
  <c r="C517" i="6"/>
  <c r="F519" i="6" l="1"/>
  <c r="H518" i="6"/>
  <c r="F518" i="1" s="1"/>
  <c r="G518" i="6"/>
  <c r="C518" i="6"/>
  <c r="F520" i="6" l="1"/>
  <c r="H519" i="6"/>
  <c r="F519" i="1" s="1"/>
  <c r="C519" i="6"/>
  <c r="G519" i="6"/>
  <c r="F521" i="6" l="1"/>
  <c r="H520" i="6"/>
  <c r="F520" i="1" s="1"/>
  <c r="C520" i="6"/>
  <c r="D520" i="6" s="1"/>
  <c r="G520" i="6"/>
  <c r="C521" i="6" l="1"/>
  <c r="H521" i="6"/>
  <c r="F521" i="1" s="1"/>
  <c r="G521" i="6"/>
  <c r="F522" i="6"/>
  <c r="H522" i="6" l="1"/>
  <c r="F522" i="1" s="1"/>
  <c r="G522" i="6"/>
  <c r="C522" i="6"/>
  <c r="F523" i="6"/>
  <c r="H523" i="6" l="1"/>
  <c r="F523" i="1" s="1"/>
  <c r="G523" i="6"/>
  <c r="F524" i="6"/>
  <c r="C523" i="6"/>
  <c r="D523" i="6" s="1"/>
  <c r="F525" i="6" l="1"/>
  <c r="H524" i="6"/>
  <c r="F524" i="1" s="1"/>
  <c r="C524" i="6"/>
  <c r="G524" i="6"/>
  <c r="F526" i="6" l="1"/>
  <c r="H525" i="6"/>
  <c r="F525" i="1" s="1"/>
  <c r="C525" i="6"/>
  <c r="D525" i="6" s="1"/>
  <c r="G525" i="6"/>
  <c r="C526" i="6" l="1"/>
  <c r="G526" i="6"/>
  <c r="H526" i="6"/>
  <c r="F526" i="1" s="1"/>
  <c r="F527" i="6"/>
  <c r="F528" i="6" l="1"/>
  <c r="H527" i="6"/>
  <c r="F527" i="1" s="1"/>
  <c r="G527" i="6"/>
  <c r="C527" i="6"/>
  <c r="C528" i="6" l="1"/>
  <c r="H528" i="6"/>
  <c r="F528" i="1" s="1"/>
  <c r="F529" i="6"/>
  <c r="G528" i="6"/>
  <c r="C529" i="6" l="1"/>
  <c r="F530" i="6"/>
  <c r="H529" i="6"/>
  <c r="F529" i="1" s="1"/>
  <c r="G529" i="6"/>
  <c r="G530" i="6" l="1"/>
  <c r="C530" i="6"/>
  <c r="F531" i="6"/>
  <c r="H530" i="6"/>
  <c r="F530" i="1" s="1"/>
  <c r="C531" i="6" l="1"/>
  <c r="F532" i="6"/>
  <c r="G531" i="6"/>
  <c r="H531" i="6"/>
  <c r="F531" i="1" s="1"/>
  <c r="G532" i="6" l="1"/>
  <c r="F533" i="6"/>
  <c r="C532" i="6"/>
  <c r="H532" i="6"/>
  <c r="F532" i="1" s="1"/>
  <c r="F534" i="6" l="1"/>
  <c r="C533" i="6"/>
  <c r="G533" i="6"/>
  <c r="H533" i="6"/>
  <c r="F533" i="1" s="1"/>
  <c r="G534" i="6" l="1"/>
  <c r="C534" i="6"/>
  <c r="H534" i="6"/>
  <c r="F534" i="1" s="1"/>
  <c r="F535" i="6"/>
  <c r="G535" i="6" l="1"/>
  <c r="F536" i="6"/>
  <c r="C535" i="6"/>
  <c r="H535" i="6"/>
  <c r="F535" i="1" s="1"/>
  <c r="F537" i="6" l="1"/>
  <c r="C536" i="6"/>
  <c r="H536" i="6"/>
  <c r="F536" i="1" s="1"/>
  <c r="G536" i="6"/>
  <c r="H537" i="6" l="1"/>
  <c r="F537" i="1" s="1"/>
  <c r="F538" i="6"/>
  <c r="G537" i="6"/>
  <c r="C537" i="6"/>
  <c r="F539" i="6" l="1"/>
  <c r="C538" i="6"/>
  <c r="H538" i="6"/>
  <c r="F538" i="1" s="1"/>
  <c r="G538" i="6"/>
  <c r="C539" i="6" l="1"/>
  <c r="G539" i="6"/>
  <c r="H539" i="6"/>
  <c r="F539" i="1" s="1"/>
  <c r="F540" i="6"/>
  <c r="C540" i="6" l="1"/>
  <c r="F541" i="6"/>
  <c r="G540" i="6"/>
  <c r="H540" i="6"/>
  <c r="F540" i="1" s="1"/>
  <c r="G541" i="6" l="1"/>
  <c r="F542" i="6"/>
  <c r="C541" i="6"/>
  <c r="H541" i="6"/>
  <c r="F541" i="1" s="1"/>
  <c r="C542" i="6" l="1"/>
  <c r="F543" i="6"/>
  <c r="G542" i="6"/>
  <c r="H542" i="6"/>
  <c r="F542" i="1" s="1"/>
  <c r="G543" i="6" l="1"/>
  <c r="F544" i="6"/>
  <c r="H543" i="6"/>
  <c r="F543" i="1" s="1"/>
  <c r="C543" i="6"/>
  <c r="C544" i="6" l="1"/>
  <c r="H544" i="6"/>
  <c r="F544" i="1" s="1"/>
  <c r="F545" i="6"/>
  <c r="G544" i="6"/>
  <c r="G545" i="6" l="1"/>
  <c r="H545" i="6"/>
  <c r="F545" i="1" s="1"/>
  <c r="F546" i="6"/>
  <c r="C545" i="6"/>
  <c r="G546" i="6" l="1"/>
  <c r="H546" i="6"/>
  <c r="F546" i="1" s="1"/>
  <c r="F547" i="6"/>
  <c r="C546" i="6"/>
  <c r="F548" i="6" l="1"/>
  <c r="C547" i="6"/>
  <c r="G547" i="6"/>
  <c r="H547" i="6"/>
  <c r="F547" i="1" s="1"/>
  <c r="G548" i="6" l="1"/>
  <c r="F549" i="6"/>
  <c r="H548" i="6"/>
  <c r="F548" i="1" s="1"/>
  <c r="C548" i="6"/>
  <c r="F550" i="6" l="1"/>
  <c r="G549" i="6"/>
  <c r="H549" i="6"/>
  <c r="F549" i="1" s="1"/>
  <c r="C549" i="6"/>
  <c r="F551" i="6" l="1"/>
  <c r="G550" i="6"/>
  <c r="C550" i="6"/>
  <c r="H550" i="6"/>
  <c r="F550" i="1" s="1"/>
  <c r="G551" i="6" l="1"/>
  <c r="C551" i="6"/>
  <c r="H551" i="6"/>
  <c r="F551" i="1" s="1"/>
  <c r="F552" i="6"/>
  <c r="F553" i="6" l="1"/>
  <c r="H552" i="6"/>
  <c r="F552" i="1" s="1"/>
  <c r="C552" i="6"/>
  <c r="G552" i="6"/>
  <c r="H553" i="6" l="1"/>
  <c r="F553" i="1" s="1"/>
  <c r="F554" i="6"/>
  <c r="C553" i="6"/>
  <c r="G553" i="6"/>
  <c r="C554" i="6" l="1"/>
  <c r="F555" i="6"/>
  <c r="G554" i="6"/>
  <c r="H554" i="6"/>
  <c r="F554" i="1" s="1"/>
  <c r="G555" i="6" l="1"/>
  <c r="C555" i="6"/>
  <c r="F556" i="6"/>
  <c r="H555" i="6"/>
  <c r="F555" i="1" s="1"/>
  <c r="F557" i="6" l="1"/>
  <c r="C556" i="6"/>
  <c r="H556" i="6"/>
  <c r="F556" i="1" s="1"/>
  <c r="G556" i="6"/>
  <c r="G557" i="6" l="1"/>
  <c r="F558" i="6"/>
  <c r="H557" i="6"/>
  <c r="F557" i="1" s="1"/>
  <c r="C557" i="6"/>
  <c r="G558" i="6" l="1"/>
  <c r="H558" i="6"/>
  <c r="F558" i="1" s="1"/>
  <c r="F559" i="6"/>
  <c r="C558" i="6"/>
  <c r="H559" i="6" l="1"/>
  <c r="F559" i="1" s="1"/>
  <c r="F560" i="6"/>
  <c r="G559" i="6"/>
  <c r="C559" i="6"/>
  <c r="C560" i="6" l="1"/>
  <c r="G560" i="6"/>
  <c r="F561" i="6"/>
  <c r="H560" i="6"/>
  <c r="F560" i="1" s="1"/>
  <c r="G561" i="6" l="1"/>
  <c r="H561" i="6"/>
  <c r="F561" i="1" s="1"/>
  <c r="F562" i="6"/>
  <c r="C561" i="6"/>
  <c r="H562" i="6" l="1"/>
  <c r="F562" i="1" s="1"/>
  <c r="C562" i="6"/>
  <c r="F563" i="6"/>
  <c r="G562" i="6"/>
  <c r="H563" i="6" l="1"/>
  <c r="F563" i="1" s="1"/>
  <c r="F564" i="6"/>
  <c r="G563" i="6"/>
  <c r="C563" i="6"/>
  <c r="F565" i="6" l="1"/>
  <c r="H564" i="6"/>
  <c r="F564" i="1" s="1"/>
  <c r="G564" i="6"/>
  <c r="C564" i="6"/>
  <c r="G565" i="6" l="1"/>
  <c r="C565" i="6"/>
  <c r="F566" i="6"/>
  <c r="H565" i="6"/>
  <c r="F565" i="1" s="1"/>
  <c r="H566" i="6" l="1"/>
  <c r="F566" i="1" s="1"/>
  <c r="G566" i="6"/>
  <c r="C566" i="6"/>
  <c r="F567" i="6"/>
  <c r="H567" i="6" l="1"/>
  <c r="F567" i="1" s="1"/>
  <c r="F568" i="6"/>
  <c r="C567" i="6"/>
  <c r="G567" i="6"/>
  <c r="H568" i="6" l="1"/>
  <c r="F568" i="1" s="1"/>
  <c r="F569" i="6"/>
  <c r="G568" i="6"/>
  <c r="C568" i="6"/>
  <c r="C569" i="6" l="1"/>
  <c r="F570" i="6"/>
  <c r="H569" i="6"/>
  <c r="F569" i="1" s="1"/>
  <c r="G569" i="6"/>
  <c r="G570" i="6" l="1"/>
  <c r="F571" i="6"/>
  <c r="H570" i="6"/>
  <c r="F570" i="1" s="1"/>
  <c r="C570" i="6"/>
  <c r="H571" i="6" l="1"/>
  <c r="F571" i="1" s="1"/>
  <c r="G571" i="6"/>
  <c r="F572" i="6"/>
  <c r="C571" i="6"/>
  <c r="C572" i="6" l="1"/>
  <c r="G572" i="6"/>
  <c r="H572" i="6"/>
  <c r="F572" i="1" s="1"/>
  <c r="F573" i="6"/>
  <c r="G573" i="6" l="1"/>
  <c r="H573" i="6"/>
  <c r="F573" i="1" s="1"/>
  <c r="F574" i="6"/>
  <c r="C573" i="6"/>
  <c r="G574" i="6" l="1"/>
  <c r="H574" i="6"/>
  <c r="F574" i="1" s="1"/>
  <c r="F575" i="6"/>
  <c r="C574" i="6"/>
  <c r="C575" i="6" l="1"/>
  <c r="H575" i="6"/>
  <c r="F575" i="1" s="1"/>
  <c r="G575" i="6"/>
  <c r="F576" i="6"/>
  <c r="G576" i="6" l="1"/>
  <c r="F577" i="6"/>
  <c r="C576" i="6"/>
  <c r="H576" i="6"/>
  <c r="F576" i="1" s="1"/>
  <c r="C577" i="6" l="1"/>
  <c r="H577" i="6"/>
  <c r="F577" i="1" s="1"/>
  <c r="G577" i="6"/>
  <c r="F578" i="6"/>
  <c r="C578" i="6" l="1"/>
  <c r="F579" i="6"/>
  <c r="G578" i="6"/>
  <c r="H578" i="6"/>
  <c r="F578" i="1" s="1"/>
  <c r="C579" i="6" l="1"/>
  <c r="H579" i="6"/>
  <c r="F579" i="1" s="1"/>
  <c r="G579" i="6"/>
  <c r="F580" i="6"/>
  <c r="H580" i="6" l="1"/>
  <c r="F580" i="1" s="1"/>
  <c r="C580" i="6"/>
  <c r="G580" i="6"/>
  <c r="F581" i="6"/>
  <c r="C581" i="6" l="1"/>
  <c r="F582" i="6"/>
  <c r="H581" i="6"/>
  <c r="F581" i="1" s="1"/>
  <c r="G581" i="6"/>
  <c r="G582" i="6" l="1"/>
  <c r="H582" i="6"/>
  <c r="F582" i="1" s="1"/>
  <c r="F583" i="6"/>
  <c r="C582" i="6"/>
  <c r="C583" i="6" l="1"/>
  <c r="H583" i="6"/>
  <c r="F583" i="1" s="1"/>
  <c r="G583" i="6"/>
  <c r="F584" i="6"/>
  <c r="H584" i="6" l="1"/>
  <c r="F584" i="1" s="1"/>
  <c r="G584" i="6"/>
  <c r="C584" i="6"/>
  <c r="F585" i="6"/>
  <c r="G585" i="6" l="1"/>
  <c r="F586" i="6"/>
  <c r="H585" i="6"/>
  <c r="F585" i="1" s="1"/>
  <c r="C585" i="6"/>
  <c r="G586" i="6" l="1"/>
  <c r="H586" i="6"/>
  <c r="F586" i="1" s="1"/>
  <c r="C586" i="6"/>
  <c r="F587" i="6"/>
  <c r="H587" i="6" l="1"/>
  <c r="F587" i="1" s="1"/>
  <c r="G587" i="6"/>
  <c r="C587" i="6"/>
  <c r="F588" i="6"/>
  <c r="C588" i="6" l="1"/>
  <c r="H588" i="6"/>
  <c r="F588" i="1" s="1"/>
  <c r="G588" i="6"/>
  <c r="F589" i="6"/>
  <c r="G589" i="6" l="1"/>
  <c r="C589" i="6"/>
  <c r="H589" i="6"/>
  <c r="F589" i="1" s="1"/>
  <c r="F590" i="6"/>
  <c r="F591" i="6" l="1"/>
  <c r="G590" i="6"/>
  <c r="H590" i="6"/>
  <c r="F590" i="1" s="1"/>
  <c r="C590" i="6"/>
  <c r="G591" i="6" l="1"/>
  <c r="C591" i="6"/>
  <c r="F592" i="6"/>
  <c r="H591" i="6"/>
  <c r="F591" i="1" s="1"/>
  <c r="F593" i="6" l="1"/>
  <c r="G592" i="6"/>
  <c r="C592" i="6"/>
  <c r="H592" i="6"/>
  <c r="F592" i="1" s="1"/>
  <c r="C593" i="6" l="1"/>
  <c r="G593" i="6"/>
  <c r="F594" i="6"/>
  <c r="H593" i="6"/>
  <c r="F593" i="1" s="1"/>
  <c r="H594" i="6" l="1"/>
  <c r="F594" i="1" s="1"/>
  <c r="C594" i="6"/>
  <c r="F595" i="6"/>
  <c r="G594" i="6"/>
  <c r="H595" i="6" l="1"/>
  <c r="F595" i="1" s="1"/>
  <c r="F596" i="6"/>
  <c r="C595" i="6"/>
  <c r="G595" i="6"/>
  <c r="G596" i="6" l="1"/>
  <c r="C596" i="6"/>
  <c r="F597" i="6"/>
  <c r="H596" i="6"/>
  <c r="F596" i="1" s="1"/>
  <c r="F598" i="6" l="1"/>
  <c r="C597" i="6"/>
  <c r="G597" i="6"/>
  <c r="H597" i="6"/>
  <c r="F597" i="1" s="1"/>
  <c r="F599" i="6" l="1"/>
  <c r="H598" i="6"/>
  <c r="F598" i="1" s="1"/>
  <c r="C598" i="6"/>
  <c r="G598" i="6"/>
  <c r="G599" i="6" l="1"/>
  <c r="C599" i="6"/>
  <c r="H599" i="6"/>
  <c r="F599" i="1" s="1"/>
  <c r="F600" i="6"/>
  <c r="H600" i="6" l="1"/>
  <c r="F600" i="1" s="1"/>
  <c r="F601" i="6"/>
  <c r="C600" i="6"/>
  <c r="G600" i="6"/>
  <c r="C601" i="6" l="1"/>
  <c r="F602" i="6"/>
  <c r="G601" i="6"/>
  <c r="H601" i="6"/>
  <c r="F601" i="1" s="1"/>
  <c r="H602" i="6" l="1"/>
  <c r="F602" i="1" s="1"/>
  <c r="G602" i="6"/>
  <c r="F603" i="6"/>
  <c r="C602" i="6"/>
  <c r="G603" i="6" l="1"/>
  <c r="F604" i="6"/>
  <c r="H603" i="6"/>
  <c r="F603" i="1" s="1"/>
  <c r="C603" i="6"/>
  <c r="C604" i="6" l="1"/>
  <c r="F605" i="6"/>
  <c r="G604" i="6"/>
  <c r="H604" i="6"/>
  <c r="F604" i="1" s="1"/>
  <c r="F606" i="6" l="1"/>
  <c r="C605" i="6"/>
  <c r="G605" i="6"/>
  <c r="H605" i="6"/>
  <c r="F605" i="1" s="1"/>
  <c r="C606" i="6" l="1"/>
  <c r="F607" i="6"/>
  <c r="H606" i="6"/>
  <c r="F606" i="1" s="1"/>
  <c r="G606" i="6"/>
  <c r="C607" i="6" l="1"/>
  <c r="F608" i="6"/>
  <c r="G607" i="6"/>
  <c r="H607" i="6"/>
  <c r="F607" i="1" s="1"/>
  <c r="C608" i="6" l="1"/>
  <c r="F609" i="6"/>
  <c r="G608" i="6"/>
  <c r="H608" i="6"/>
  <c r="F608" i="1" s="1"/>
  <c r="G609" i="6" l="1"/>
  <c r="F610" i="6"/>
  <c r="H609" i="6"/>
  <c r="F609" i="1" s="1"/>
  <c r="C609" i="6"/>
  <c r="F611" i="6" l="1"/>
  <c r="G610" i="6"/>
  <c r="H610" i="6"/>
  <c r="F610" i="1" s="1"/>
  <c r="C610" i="6"/>
  <c r="C611" i="6" l="1"/>
  <c r="G611" i="6"/>
  <c r="H611" i="6"/>
  <c r="F611" i="1" s="1"/>
  <c r="F612" i="6"/>
  <c r="H612" i="6" l="1"/>
  <c r="F612" i="1" s="1"/>
  <c r="C612" i="6"/>
  <c r="G612" i="6"/>
  <c r="F613" i="6"/>
  <c r="C613" i="6" l="1"/>
  <c r="G613" i="6"/>
  <c r="H613" i="6"/>
  <c r="F613" i="1" s="1"/>
  <c r="F614" i="6"/>
  <c r="H614" i="6" l="1"/>
  <c r="F614" i="1" s="1"/>
  <c r="C614" i="6"/>
  <c r="F615" i="6"/>
  <c r="G614" i="6"/>
  <c r="G615" i="6" l="1"/>
  <c r="C615" i="6"/>
  <c r="F616" i="6"/>
  <c r="H615" i="6"/>
  <c r="F615" i="1" s="1"/>
  <c r="H616" i="6" l="1"/>
  <c r="F616" i="1" s="1"/>
  <c r="G616" i="6"/>
  <c r="F617" i="6"/>
  <c r="C616" i="6"/>
  <c r="G617" i="6" l="1"/>
  <c r="F618" i="6"/>
  <c r="C617" i="6"/>
  <c r="H617" i="6"/>
  <c r="F617" i="1" s="1"/>
  <c r="H618" i="6" l="1"/>
  <c r="F618" i="1" s="1"/>
  <c r="G618" i="6"/>
  <c r="F619" i="6"/>
  <c r="C618" i="6"/>
  <c r="G619" i="6" l="1"/>
  <c r="C619" i="6"/>
  <c r="H619" i="6"/>
  <c r="F619" i="1" s="1"/>
  <c r="F620" i="6"/>
  <c r="G620" i="6" l="1"/>
  <c r="C620" i="6"/>
  <c r="F621" i="6"/>
  <c r="H620" i="6"/>
  <c r="F620" i="1" s="1"/>
  <c r="H621" i="6" l="1"/>
  <c r="F621" i="1" s="1"/>
  <c r="C621" i="6"/>
  <c r="F622" i="6"/>
  <c r="G621" i="6"/>
  <c r="C622" i="6" l="1"/>
  <c r="H622" i="6"/>
  <c r="F622" i="1" s="1"/>
  <c r="F623" i="6"/>
  <c r="G622" i="6"/>
  <c r="C623" i="6" l="1"/>
  <c r="F624" i="6"/>
  <c r="H623" i="6"/>
  <c r="F623" i="1" s="1"/>
  <c r="G623" i="6"/>
  <c r="H624" i="6" l="1"/>
  <c r="F624" i="1" s="1"/>
  <c r="F625" i="6"/>
  <c r="G624" i="6"/>
  <c r="C624" i="6"/>
  <c r="G625" i="6" l="1"/>
  <c r="C625" i="6"/>
  <c r="H625" i="6"/>
  <c r="F625" i="1" s="1"/>
  <c r="F626" i="6"/>
  <c r="G626" i="6" l="1"/>
  <c r="F627" i="6"/>
  <c r="C626" i="6"/>
  <c r="H626" i="6"/>
  <c r="F626" i="1" s="1"/>
  <c r="H627" i="6" l="1"/>
  <c r="F627" i="1" s="1"/>
  <c r="G627" i="6"/>
  <c r="F628" i="6"/>
  <c r="C627" i="6"/>
  <c r="G628" i="6" l="1"/>
  <c r="F629" i="6"/>
  <c r="C628" i="6"/>
  <c r="H628" i="6"/>
  <c r="F628" i="1" s="1"/>
  <c r="F630" i="6" l="1"/>
  <c r="C629" i="6"/>
  <c r="G629" i="6"/>
  <c r="H629" i="6"/>
  <c r="F629" i="1" s="1"/>
  <c r="F631" i="6" l="1"/>
  <c r="G630" i="6"/>
  <c r="H630" i="6"/>
  <c r="F630" i="1" s="1"/>
  <c r="C630" i="6"/>
  <c r="C631" i="6" l="1"/>
  <c r="G631" i="6"/>
  <c r="F632" i="6"/>
  <c r="H631" i="6"/>
  <c r="F631" i="1" s="1"/>
  <c r="G632" i="6" l="1"/>
  <c r="F633" i="6"/>
  <c r="H632" i="6"/>
  <c r="F632" i="1" s="1"/>
  <c r="C632" i="6"/>
  <c r="F634" i="6" l="1"/>
  <c r="C633" i="6"/>
  <c r="G633" i="6"/>
  <c r="H633" i="6"/>
  <c r="F633" i="1" s="1"/>
  <c r="H634" i="6" l="1"/>
  <c r="F634" i="1" s="1"/>
  <c r="F635" i="6"/>
  <c r="C634" i="6"/>
  <c r="G634" i="6"/>
  <c r="H635" i="6" l="1"/>
  <c r="F635" i="1" s="1"/>
  <c r="F636" i="6"/>
  <c r="C635" i="6"/>
  <c r="G635" i="6"/>
  <c r="G636" i="6" l="1"/>
  <c r="C636" i="6"/>
  <c r="H636" i="6"/>
  <c r="F636" i="1" s="1"/>
  <c r="F637" i="6"/>
  <c r="C637" i="6" l="1"/>
  <c r="G637" i="6"/>
  <c r="F638" i="6"/>
  <c r="H637" i="6"/>
  <c r="F637" i="1" s="1"/>
  <c r="F639" i="6" l="1"/>
  <c r="C638" i="6"/>
  <c r="H638" i="6"/>
  <c r="F638" i="1" s="1"/>
  <c r="G638" i="6"/>
  <c r="C639" i="6" l="1"/>
  <c r="G639" i="6"/>
  <c r="F640" i="6"/>
  <c r="H639" i="6"/>
  <c r="F639" i="1" s="1"/>
  <c r="G640" i="6" l="1"/>
  <c r="C640" i="6"/>
  <c r="F641" i="6"/>
  <c r="H640" i="6"/>
  <c r="F640" i="1" s="1"/>
  <c r="F642" i="6" l="1"/>
  <c r="H641" i="6"/>
  <c r="F641" i="1" s="1"/>
  <c r="G641" i="6"/>
  <c r="C641" i="6"/>
  <c r="C642" i="6" l="1"/>
  <c r="F643" i="6"/>
  <c r="H642" i="6"/>
  <c r="F642" i="1" s="1"/>
  <c r="G642" i="6"/>
  <c r="G643" i="6" l="1"/>
  <c r="C643" i="6"/>
  <c r="F644" i="6"/>
  <c r="H643" i="6"/>
  <c r="F643" i="1" s="1"/>
  <c r="F645" i="6" l="1"/>
  <c r="C644" i="6"/>
  <c r="H644" i="6"/>
  <c r="F644" i="1" s="1"/>
  <c r="G644" i="6"/>
  <c r="G645" i="6" l="1"/>
  <c r="H645" i="6"/>
  <c r="F645" i="1" s="1"/>
  <c r="C645" i="6"/>
  <c r="F646" i="6"/>
  <c r="C646" i="6" l="1"/>
  <c r="F647" i="6"/>
  <c r="H646" i="6"/>
  <c r="F646" i="1" s="1"/>
  <c r="G646" i="6"/>
  <c r="G647" i="6" l="1"/>
  <c r="C647" i="6"/>
  <c r="H647" i="6"/>
  <c r="F647" i="1" s="1"/>
  <c r="F648" i="6"/>
  <c r="C648" i="6" l="1"/>
  <c r="H648" i="6"/>
  <c r="F648" i="1" s="1"/>
  <c r="G648" i="6"/>
  <c r="F649" i="6"/>
  <c r="H649" i="6" l="1"/>
  <c r="F649" i="1" s="1"/>
  <c r="C649" i="6"/>
  <c r="F650" i="6"/>
  <c r="G649" i="6"/>
  <c r="H650" i="6" l="1"/>
  <c r="F650" i="1" s="1"/>
  <c r="C650" i="6"/>
  <c r="F651" i="6"/>
  <c r="G650" i="6"/>
  <c r="G651" i="6" l="1"/>
  <c r="C651" i="6"/>
  <c r="F652" i="6"/>
  <c r="H651" i="6"/>
  <c r="F651" i="1" s="1"/>
  <c r="H652" i="6" l="1"/>
  <c r="F652" i="1" s="1"/>
  <c r="G652" i="6"/>
  <c r="C652" i="6"/>
  <c r="F653" i="6"/>
  <c r="G653" i="6" l="1"/>
  <c r="H653" i="6"/>
  <c r="F653" i="1" s="1"/>
  <c r="F654" i="6"/>
  <c r="C653" i="6"/>
  <c r="C654" i="6" l="1"/>
  <c r="F655" i="6"/>
  <c r="H654" i="6"/>
  <c r="F654" i="1" s="1"/>
  <c r="G654" i="6"/>
  <c r="G655" i="6" l="1"/>
  <c r="F656" i="6"/>
  <c r="H655" i="6"/>
  <c r="F655" i="1" s="1"/>
  <c r="C655" i="6"/>
  <c r="F657" i="6" l="1"/>
  <c r="G656" i="6"/>
  <c r="H656" i="6"/>
  <c r="F656" i="1" s="1"/>
  <c r="C656" i="6"/>
  <c r="G657" i="6" l="1"/>
  <c r="H657" i="6"/>
  <c r="F657" i="1" s="1"/>
  <c r="C657" i="6"/>
  <c r="F658" i="6"/>
  <c r="C658" i="6" l="1"/>
  <c r="H658" i="6"/>
  <c r="F658" i="1" s="1"/>
  <c r="F659" i="6"/>
  <c r="G658" i="6"/>
  <c r="G659" i="6" l="1"/>
  <c r="F660" i="6"/>
  <c r="C659" i="6"/>
  <c r="H659" i="6"/>
  <c r="F659" i="1" s="1"/>
  <c r="F661" i="6" l="1"/>
  <c r="H660" i="6"/>
  <c r="F660" i="1" s="1"/>
  <c r="G660" i="6"/>
  <c r="C660" i="6"/>
  <c r="C661" i="6" l="1"/>
  <c r="G661" i="6"/>
  <c r="H661" i="6"/>
  <c r="F661" i="1" s="1"/>
  <c r="F662" i="6"/>
  <c r="C662" i="6" l="1"/>
  <c r="G662" i="6"/>
  <c r="H662" i="6"/>
  <c r="F662" i="1" s="1"/>
  <c r="F663" i="6"/>
  <c r="C663" i="6" l="1"/>
  <c r="F664" i="6"/>
  <c r="G663" i="6"/>
  <c r="H663" i="6"/>
  <c r="F663" i="1" s="1"/>
  <c r="H664" i="6" l="1"/>
  <c r="F664" i="1" s="1"/>
  <c r="F665" i="6"/>
  <c r="C664" i="6"/>
  <c r="G664" i="6"/>
  <c r="H665" i="6" l="1"/>
  <c r="F665" i="1" s="1"/>
  <c r="C665" i="6"/>
  <c r="G665" i="6"/>
  <c r="F666" i="6"/>
  <c r="G666" i="6" l="1"/>
  <c r="H666" i="6"/>
  <c r="F666" i="1" s="1"/>
  <c r="C666" i="6"/>
  <c r="F667" i="6"/>
  <c r="H667" i="6" l="1"/>
  <c r="F667" i="1" s="1"/>
  <c r="C667" i="6"/>
  <c r="F668" i="6"/>
  <c r="G667" i="6"/>
  <c r="H668" i="6" l="1"/>
  <c r="F668" i="1" s="1"/>
  <c r="G668" i="6"/>
  <c r="C668" i="6"/>
  <c r="F669" i="6"/>
  <c r="G669" i="6" l="1"/>
  <c r="C669" i="6"/>
  <c r="F670" i="6"/>
  <c r="H669" i="6"/>
  <c r="F669" i="1" s="1"/>
  <c r="F671" i="6" l="1"/>
  <c r="G670" i="6"/>
  <c r="C670" i="6"/>
  <c r="H670" i="6"/>
  <c r="F670" i="1" s="1"/>
  <c r="G671" i="6" l="1"/>
  <c r="F672" i="6"/>
  <c r="H671" i="6"/>
  <c r="F671" i="1" s="1"/>
  <c r="C671" i="6"/>
  <c r="H672" i="6" l="1"/>
  <c r="F672" i="1" s="1"/>
  <c r="F673" i="6"/>
  <c r="G672" i="6"/>
  <c r="C672" i="6"/>
  <c r="F674" i="6" l="1"/>
  <c r="G673" i="6"/>
  <c r="C673" i="6"/>
  <c r="H673" i="6"/>
  <c r="F673" i="1" s="1"/>
  <c r="C674" i="6" l="1"/>
  <c r="G674" i="6"/>
  <c r="F675" i="6"/>
  <c r="H674" i="6"/>
  <c r="F674" i="1" s="1"/>
  <c r="C675" i="6" l="1"/>
  <c r="H675" i="6"/>
  <c r="F675" i="1" s="1"/>
  <c r="F676" i="6"/>
  <c r="G675" i="6"/>
  <c r="G676" i="6" l="1"/>
  <c r="H676" i="6"/>
  <c r="F676" i="1" s="1"/>
  <c r="F677" i="6"/>
  <c r="C676" i="6"/>
  <c r="F678" i="6" l="1"/>
  <c r="G677" i="6"/>
  <c r="H677" i="6"/>
  <c r="F677" i="1" s="1"/>
  <c r="C677" i="6"/>
  <c r="G678" i="6" l="1"/>
  <c r="C678" i="6"/>
  <c r="H678" i="6"/>
  <c r="F678" i="1" s="1"/>
  <c r="F679" i="6"/>
  <c r="C679" i="6" l="1"/>
  <c r="F680" i="6"/>
  <c r="H679" i="6"/>
  <c r="F679" i="1" s="1"/>
  <c r="G679" i="6"/>
  <c r="H680" i="6" l="1"/>
  <c r="F680" i="1" s="1"/>
  <c r="F681" i="6"/>
  <c r="G680" i="6"/>
  <c r="C680" i="6"/>
  <c r="G681" i="6" l="1"/>
  <c r="F682" i="6"/>
  <c r="H681" i="6"/>
  <c r="F681" i="1" s="1"/>
  <c r="C681" i="6"/>
  <c r="H682" i="6" l="1"/>
  <c r="F682" i="1" s="1"/>
  <c r="F683" i="6"/>
  <c r="C682" i="6"/>
  <c r="G682" i="6"/>
  <c r="G683" i="6" l="1"/>
  <c r="H683" i="6"/>
  <c r="F683" i="1" s="1"/>
  <c r="F684" i="6"/>
  <c r="C683" i="6"/>
  <c r="C684" i="6" l="1"/>
  <c r="G684" i="6"/>
  <c r="H684" i="6"/>
  <c r="F684" i="1" s="1"/>
  <c r="F685" i="6"/>
  <c r="H685" i="6" l="1"/>
  <c r="F685" i="1" s="1"/>
  <c r="G685" i="6"/>
  <c r="C685" i="6"/>
  <c r="F686" i="6"/>
  <c r="F687" i="6" l="1"/>
  <c r="G686" i="6"/>
  <c r="C686" i="6"/>
  <c r="H686" i="6"/>
  <c r="F686" i="1" s="1"/>
  <c r="C687" i="6" l="1"/>
  <c r="F688" i="6"/>
  <c r="G687" i="6"/>
  <c r="H687" i="6"/>
  <c r="F687" i="1" s="1"/>
  <c r="H688" i="6" l="1"/>
  <c r="F688" i="1" s="1"/>
  <c r="F689" i="6"/>
  <c r="G688" i="6"/>
  <c r="C688" i="6"/>
  <c r="C689" i="6" l="1"/>
  <c r="G689" i="6"/>
  <c r="H689" i="6"/>
  <c r="F689" i="1" s="1"/>
  <c r="F690" i="6"/>
  <c r="H690" i="6" l="1"/>
  <c r="F690" i="1" s="1"/>
  <c r="F691" i="6"/>
  <c r="G690" i="6"/>
  <c r="C690" i="6"/>
  <c r="H691" i="6" l="1"/>
  <c r="F691" i="1" s="1"/>
  <c r="G691" i="6"/>
  <c r="C691" i="6"/>
  <c r="F692" i="6"/>
  <c r="G692" i="6" l="1"/>
  <c r="C692" i="6"/>
  <c r="H692" i="6"/>
  <c r="F692" i="1" s="1"/>
  <c r="F693" i="6"/>
  <c r="G693" i="6" l="1"/>
  <c r="C693" i="6"/>
  <c r="H693" i="6"/>
  <c r="F693" i="1" s="1"/>
  <c r="F694" i="6"/>
  <c r="C694" i="6" l="1"/>
  <c r="H694" i="6"/>
  <c r="F694" i="1" s="1"/>
  <c r="F695" i="6"/>
  <c r="G694" i="6"/>
  <c r="G695" i="6" l="1"/>
  <c r="H695" i="6"/>
  <c r="F695" i="1" s="1"/>
  <c r="C695" i="6"/>
  <c r="F696" i="6"/>
  <c r="C696" i="6" l="1"/>
  <c r="H696" i="6"/>
  <c r="F696" i="1" s="1"/>
  <c r="F697" i="6"/>
  <c r="G696" i="6"/>
  <c r="C697" i="6" l="1"/>
  <c r="G697" i="6"/>
  <c r="H697" i="6"/>
  <c r="F697" i="1" s="1"/>
  <c r="F698" i="6"/>
  <c r="G698" i="6" l="1"/>
  <c r="C698" i="6"/>
  <c r="F699" i="6"/>
  <c r="H698" i="6"/>
  <c r="F698" i="1" s="1"/>
  <c r="F700" i="6" l="1"/>
  <c r="H699" i="6"/>
  <c r="F699" i="1" s="1"/>
  <c r="C699" i="6"/>
  <c r="G699" i="6"/>
  <c r="C700" i="6" l="1"/>
  <c r="H700" i="6"/>
  <c r="F700" i="1" s="1"/>
  <c r="F701" i="6"/>
  <c r="G700" i="6"/>
  <c r="F702" i="6" l="1"/>
  <c r="H701" i="6"/>
  <c r="F701" i="1" s="1"/>
  <c r="G701" i="6"/>
  <c r="C701" i="6"/>
  <c r="C702" i="6" l="1"/>
  <c r="G702" i="6"/>
  <c r="H702" i="6"/>
  <c r="F702" i="1" s="1"/>
  <c r="F703" i="6"/>
  <c r="C703" i="6" l="1"/>
  <c r="F704" i="6"/>
  <c r="H703" i="6"/>
  <c r="F703" i="1" s="1"/>
  <c r="G703" i="6"/>
  <c r="C704" i="6" l="1"/>
  <c r="F705" i="6"/>
  <c r="H704" i="6"/>
  <c r="F704" i="1" s="1"/>
  <c r="G704" i="6"/>
  <c r="H705" i="6" l="1"/>
  <c r="F705" i="1" s="1"/>
  <c r="C705" i="6"/>
  <c r="F706" i="6"/>
  <c r="G705" i="6"/>
  <c r="C706" i="6" l="1"/>
  <c r="F707" i="6"/>
  <c r="H706" i="6"/>
  <c r="F706" i="1" s="1"/>
  <c r="G706" i="6"/>
  <c r="G707" i="6" l="1"/>
  <c r="F708" i="6"/>
  <c r="C707" i="6"/>
  <c r="H707" i="6"/>
  <c r="F707" i="1" s="1"/>
  <c r="G708" i="6" l="1"/>
  <c r="F709" i="6"/>
  <c r="H708" i="6"/>
  <c r="F708" i="1" s="1"/>
  <c r="C708" i="6"/>
  <c r="C709" i="6" l="1"/>
  <c r="F710" i="6"/>
  <c r="H709" i="6"/>
  <c r="F709" i="1" s="1"/>
  <c r="G709" i="6"/>
  <c r="G710" i="6" l="1"/>
  <c r="H710" i="6"/>
  <c r="F710" i="1" s="1"/>
  <c r="F711" i="6"/>
  <c r="C710" i="6"/>
  <c r="C711" i="6" l="1"/>
  <c r="F712" i="6"/>
  <c r="H711" i="6"/>
  <c r="F711" i="1" s="1"/>
  <c r="G711" i="6"/>
  <c r="F713" i="6" l="1"/>
  <c r="H712" i="6"/>
  <c r="F712" i="1" s="1"/>
  <c r="C712" i="6"/>
  <c r="G712" i="6"/>
  <c r="C713" i="6" l="1"/>
  <c r="H713" i="6"/>
  <c r="F713" i="1" s="1"/>
  <c r="G713" i="6"/>
  <c r="F714" i="6"/>
  <c r="H714" i="6" l="1"/>
  <c r="F714" i="1" s="1"/>
  <c r="F715" i="6"/>
  <c r="G714" i="6"/>
  <c r="C714" i="6"/>
  <c r="G715" i="6" l="1"/>
  <c r="H715" i="6"/>
  <c r="F715" i="1" s="1"/>
  <c r="C715" i="6"/>
  <c r="F716" i="6"/>
  <c r="G716" i="6" l="1"/>
  <c r="F717" i="6"/>
  <c r="H716" i="6"/>
  <c r="F716" i="1" s="1"/>
  <c r="C716" i="6"/>
  <c r="H717" i="6" l="1"/>
  <c r="F717" i="1" s="1"/>
  <c r="G717" i="6"/>
  <c r="C717" i="6"/>
  <c r="F718" i="6"/>
  <c r="H718" i="6" l="1"/>
  <c r="F718" i="1" s="1"/>
  <c r="C718" i="6"/>
  <c r="G718" i="6"/>
  <c r="F719" i="6"/>
  <c r="H719" i="6" l="1"/>
  <c r="F719" i="1" s="1"/>
  <c r="G719" i="6"/>
  <c r="F720" i="6"/>
  <c r="C719" i="6"/>
  <c r="G720" i="6" l="1"/>
  <c r="H720" i="6"/>
  <c r="F720" i="1" s="1"/>
  <c r="C720" i="6"/>
  <c r="F721" i="6"/>
  <c r="G721" i="6" l="1"/>
  <c r="H721" i="6"/>
  <c r="F721" i="1" s="1"/>
  <c r="C721" i="6"/>
  <c r="F722" i="6"/>
  <c r="G722" i="6" l="1"/>
  <c r="C722" i="6"/>
  <c r="H722" i="6"/>
  <c r="F722" i="1" s="1"/>
  <c r="F723" i="6"/>
  <c r="C723" i="6" l="1"/>
  <c r="G723" i="6"/>
  <c r="F724" i="6"/>
  <c r="H723" i="6"/>
  <c r="F723" i="1" s="1"/>
  <c r="G724" i="6" l="1"/>
  <c r="H724" i="6"/>
  <c r="F724" i="1" s="1"/>
  <c r="C724" i="6"/>
  <c r="F725" i="6"/>
  <c r="G725" i="6" l="1"/>
  <c r="C725" i="6"/>
  <c r="F726" i="6"/>
  <c r="H725" i="6"/>
  <c r="F725" i="1" s="1"/>
  <c r="F727" i="6" l="1"/>
  <c r="H726" i="6"/>
  <c r="F726" i="1" s="1"/>
  <c r="C726" i="6"/>
  <c r="G726" i="6"/>
  <c r="F728" i="6" l="1"/>
  <c r="H727" i="6"/>
  <c r="F727" i="1" s="1"/>
  <c r="C727" i="6"/>
  <c r="G727" i="6"/>
  <c r="H728" i="6" l="1"/>
  <c r="F728" i="1" s="1"/>
  <c r="C728" i="6"/>
  <c r="F729" i="6"/>
  <c r="G728" i="6"/>
  <c r="G729" i="6" l="1"/>
  <c r="H729" i="6"/>
  <c r="F729" i="1" s="1"/>
  <c r="C729" i="6"/>
  <c r="F730" i="6"/>
  <c r="G730" i="6" l="1"/>
  <c r="C730" i="6"/>
  <c r="F731" i="6"/>
  <c r="H730" i="6"/>
  <c r="F730" i="1" s="1"/>
  <c r="C731" i="6" l="1"/>
  <c r="G731" i="6"/>
  <c r="H731" i="6"/>
  <c r="F731" i="1" s="1"/>
  <c r="F732" i="6"/>
  <c r="H732" i="6" l="1"/>
  <c r="F732" i="1" s="1"/>
  <c r="F733" i="6"/>
  <c r="C732" i="6"/>
  <c r="G732" i="6"/>
  <c r="C733" i="6" l="1"/>
  <c r="G733" i="6"/>
  <c r="F734" i="6"/>
  <c r="H733" i="6"/>
  <c r="F733" i="1" s="1"/>
  <c r="H734" i="6" l="1"/>
  <c r="F734" i="1" s="1"/>
  <c r="G734" i="6"/>
  <c r="C734" i="6"/>
  <c r="F735" i="6"/>
  <c r="H735" i="6" l="1"/>
  <c r="F735" i="1" s="1"/>
  <c r="G735" i="6"/>
  <c r="C735" i="6"/>
  <c r="F736" i="6"/>
  <c r="C736" i="6" l="1"/>
  <c r="H736" i="6"/>
  <c r="F736" i="1" s="1"/>
  <c r="G736" i="6"/>
  <c r="F737" i="6"/>
  <c r="F738" i="6" l="1"/>
  <c r="C737" i="6"/>
  <c r="G737" i="6"/>
  <c r="H737" i="6"/>
  <c r="F737" i="1" s="1"/>
  <c r="F739" i="6" l="1"/>
  <c r="C738" i="6"/>
  <c r="G738" i="6"/>
  <c r="H738" i="6"/>
  <c r="F738" i="1" s="1"/>
  <c r="G739" i="6" l="1"/>
  <c r="F740" i="6"/>
  <c r="C739" i="6"/>
  <c r="H739" i="6"/>
  <c r="F739" i="1" s="1"/>
  <c r="F741" i="6" l="1"/>
  <c r="C740" i="6"/>
  <c r="G740" i="6"/>
  <c r="H740" i="6"/>
  <c r="F740" i="1" s="1"/>
  <c r="G741" i="6" l="1"/>
  <c r="F742" i="6"/>
  <c r="C741" i="6"/>
  <c r="H741" i="6"/>
  <c r="F741" i="1" s="1"/>
  <c r="C742" i="6" l="1"/>
  <c r="F743" i="6"/>
  <c r="G742" i="6"/>
  <c r="H742" i="6"/>
  <c r="F742" i="1" s="1"/>
  <c r="F744" i="6" l="1"/>
  <c r="H743" i="6"/>
  <c r="F743" i="1" s="1"/>
  <c r="G743" i="6"/>
  <c r="C743" i="6"/>
  <c r="C744" i="6" l="1"/>
  <c r="G744" i="6"/>
  <c r="H744" i="6"/>
  <c r="F744" i="1" s="1"/>
  <c r="F745" i="6"/>
  <c r="C745" i="6" l="1"/>
  <c r="F746" i="6"/>
  <c r="H745" i="6"/>
  <c r="F745" i="1" s="1"/>
  <c r="G745" i="6"/>
  <c r="H746" i="6" l="1"/>
  <c r="F746" i="1" s="1"/>
  <c r="C746" i="6"/>
  <c r="F747" i="6"/>
  <c r="G746" i="6"/>
  <c r="H747" i="6" l="1"/>
  <c r="F747" i="1" s="1"/>
  <c r="C747" i="6"/>
  <c r="F748" i="6"/>
  <c r="G747" i="6"/>
  <c r="H748" i="6" l="1"/>
  <c r="F748" i="1" s="1"/>
  <c r="G748" i="6"/>
  <c r="C748" i="6"/>
  <c r="F749" i="6"/>
  <c r="C749" i="6" l="1"/>
  <c r="F750" i="6"/>
  <c r="G749" i="6"/>
  <c r="H749" i="6"/>
  <c r="F749" i="1" s="1"/>
  <c r="H750" i="6" l="1"/>
  <c r="F750" i="1" s="1"/>
  <c r="F751" i="6"/>
  <c r="G750" i="6"/>
  <c r="C750" i="6"/>
  <c r="G751" i="6" l="1"/>
  <c r="C751" i="6"/>
  <c r="H751" i="6"/>
  <c r="F751" i="1" s="1"/>
  <c r="F752" i="6"/>
  <c r="G752" i="6" l="1"/>
  <c r="F753" i="6"/>
  <c r="C752" i="6"/>
  <c r="H752" i="6"/>
  <c r="F752" i="1" s="1"/>
  <c r="H753" i="6" l="1"/>
  <c r="F753" i="1" s="1"/>
  <c r="C753" i="6"/>
  <c r="F754" i="6"/>
  <c r="G753" i="6"/>
  <c r="C754" i="6" l="1"/>
  <c r="G754" i="6"/>
  <c r="F755" i="6"/>
  <c r="H754" i="6"/>
  <c r="F754" i="1" s="1"/>
  <c r="G755" i="6" l="1"/>
  <c r="C755" i="6"/>
  <c r="H755" i="6"/>
  <c r="F755" i="1" s="1"/>
  <c r="F756" i="6"/>
  <c r="F757" i="6" l="1"/>
  <c r="C756" i="6"/>
  <c r="H756" i="6"/>
  <c r="F756" i="1" s="1"/>
  <c r="G756" i="6"/>
  <c r="G757" i="6" l="1"/>
  <c r="F758" i="6"/>
  <c r="C757" i="6"/>
  <c r="H757" i="6"/>
  <c r="F757" i="1" s="1"/>
  <c r="H758" i="6" l="1"/>
  <c r="F758" i="1" s="1"/>
  <c r="C758" i="6"/>
  <c r="G758" i="6"/>
  <c r="F759" i="6"/>
  <c r="H759" i="6" l="1"/>
  <c r="F759" i="1" s="1"/>
  <c r="G759" i="6"/>
  <c r="C759" i="6"/>
  <c r="F760" i="6"/>
  <c r="F761" i="6" l="1"/>
  <c r="H760" i="6"/>
  <c r="F760" i="1" s="1"/>
  <c r="G760" i="6"/>
  <c r="C760" i="6"/>
  <c r="H761" i="6" l="1"/>
  <c r="F761" i="1" s="1"/>
  <c r="C761" i="6"/>
  <c r="F762" i="6"/>
  <c r="G761" i="6"/>
  <c r="C762" i="6" l="1"/>
  <c r="G762" i="6"/>
  <c r="F763" i="6"/>
  <c r="H762" i="6"/>
  <c r="F762" i="1" s="1"/>
  <c r="C763" i="6" l="1"/>
  <c r="F764" i="6"/>
  <c r="G763" i="6"/>
  <c r="H763" i="6"/>
  <c r="F763" i="1" s="1"/>
  <c r="C764" i="6" l="1"/>
  <c r="G764" i="6"/>
  <c r="F765" i="6"/>
  <c r="H764" i="6"/>
  <c r="F764" i="1" s="1"/>
  <c r="G765" i="6" l="1"/>
  <c r="C765" i="6"/>
  <c r="F766" i="6"/>
  <c r="H765" i="6"/>
  <c r="F765" i="1" s="1"/>
  <c r="C766" i="6" l="1"/>
  <c r="F767" i="6"/>
  <c r="G766" i="6"/>
  <c r="H766" i="6"/>
  <c r="F766" i="1" s="1"/>
  <c r="F768" i="6" l="1"/>
  <c r="H767" i="6"/>
  <c r="F767" i="1" s="1"/>
  <c r="C767" i="6"/>
  <c r="G767" i="6"/>
  <c r="H768" i="6" l="1"/>
  <c r="F768" i="1" s="1"/>
  <c r="C768" i="6"/>
  <c r="F769" i="6"/>
  <c r="G768" i="6"/>
  <c r="C769" i="6" l="1"/>
  <c r="H769" i="6"/>
  <c r="F769" i="1" s="1"/>
  <c r="G769" i="6"/>
  <c r="F770" i="6"/>
  <c r="G770" i="6" l="1"/>
  <c r="C770" i="6"/>
  <c r="F771" i="6"/>
  <c r="H770" i="6"/>
  <c r="F770" i="1" s="1"/>
  <c r="G771" i="6" l="1"/>
  <c r="F772" i="6"/>
  <c r="H771" i="6"/>
  <c r="F771" i="1" s="1"/>
  <c r="C771" i="6"/>
  <c r="G772" i="6" l="1"/>
  <c r="C772" i="6"/>
  <c r="F773" i="6"/>
  <c r="H772" i="6"/>
  <c r="F772" i="1" s="1"/>
  <c r="G773" i="6" l="1"/>
  <c r="F774" i="6"/>
  <c r="H773" i="6"/>
  <c r="F773" i="1" s="1"/>
  <c r="C773" i="6"/>
  <c r="F775" i="6" l="1"/>
  <c r="G774" i="6"/>
  <c r="C774" i="6"/>
  <c r="H774" i="6"/>
  <c r="F774" i="1" s="1"/>
  <c r="F776" i="6" l="1"/>
  <c r="C775" i="6"/>
  <c r="G775" i="6"/>
  <c r="H775" i="6"/>
  <c r="F775" i="1" s="1"/>
  <c r="G776" i="6" l="1"/>
  <c r="C776" i="6"/>
  <c r="F777" i="6"/>
  <c r="H776" i="6"/>
  <c r="F776" i="1" s="1"/>
  <c r="F778" i="6" l="1"/>
  <c r="H777" i="6"/>
  <c r="F777" i="1" s="1"/>
  <c r="G777" i="6"/>
  <c r="C777" i="6"/>
  <c r="C778" i="6" l="1"/>
  <c r="F779" i="6"/>
  <c r="H778" i="6"/>
  <c r="F778" i="1" s="1"/>
  <c r="G778" i="6"/>
  <c r="F780" i="6" l="1"/>
  <c r="C779" i="6"/>
  <c r="G779" i="6"/>
  <c r="H779" i="6"/>
  <c r="F779" i="1" s="1"/>
  <c r="F781" i="6" l="1"/>
  <c r="C780" i="6"/>
  <c r="G780" i="6"/>
  <c r="H780" i="6"/>
  <c r="F780" i="1" s="1"/>
  <c r="G781" i="6" l="1"/>
  <c r="F782" i="6"/>
  <c r="C781" i="6"/>
  <c r="H781" i="6"/>
  <c r="F781" i="1" s="1"/>
  <c r="H782" i="6" l="1"/>
  <c r="F782" i="1" s="1"/>
  <c r="F783" i="6"/>
  <c r="G782" i="6"/>
  <c r="C782" i="6"/>
  <c r="C783" i="6" l="1"/>
  <c r="F784" i="6"/>
  <c r="H783" i="6"/>
  <c r="F783" i="1" s="1"/>
  <c r="G783" i="6"/>
  <c r="H784" i="6" l="1"/>
  <c r="F784" i="1" s="1"/>
  <c r="F785" i="6"/>
  <c r="G784" i="6"/>
  <c r="C784" i="6"/>
  <c r="G785" i="6" l="1"/>
  <c r="C785" i="6"/>
  <c r="H785" i="6"/>
  <c r="F785" i="1" s="1"/>
  <c r="F786" i="6"/>
  <c r="C786" i="6" l="1"/>
  <c r="H786" i="6"/>
  <c r="F786" i="1" s="1"/>
  <c r="G786" i="6"/>
  <c r="F787" i="6"/>
  <c r="G787" i="6" l="1"/>
  <c r="H787" i="6"/>
  <c r="F787" i="1" s="1"/>
  <c r="C787" i="6"/>
  <c r="F788" i="6"/>
  <c r="F789" i="6" l="1"/>
  <c r="C788" i="6"/>
  <c r="G788" i="6"/>
  <c r="H788" i="6"/>
  <c r="F788" i="1" s="1"/>
  <c r="H789" i="6" l="1"/>
  <c r="F789" i="1" s="1"/>
  <c r="G789" i="6"/>
  <c r="F790" i="6"/>
  <c r="C789" i="6"/>
  <c r="C790" i="6" l="1"/>
  <c r="G790" i="6"/>
  <c r="H790" i="6"/>
  <c r="F790" i="1" s="1"/>
  <c r="F791" i="6"/>
  <c r="H791" i="6" l="1"/>
  <c r="F791" i="1" s="1"/>
  <c r="F792" i="6"/>
  <c r="G791" i="6"/>
  <c r="C791" i="6"/>
  <c r="C792" i="6" l="1"/>
  <c r="H792" i="6"/>
  <c r="F792" i="1" s="1"/>
  <c r="F793" i="6"/>
  <c r="G792" i="6"/>
  <c r="G793" i="6" l="1"/>
  <c r="C793" i="6"/>
  <c r="H793" i="6"/>
  <c r="F793" i="1" s="1"/>
  <c r="F794" i="6"/>
  <c r="F795" i="6" l="1"/>
  <c r="H794" i="6"/>
  <c r="F794" i="1" s="1"/>
  <c r="G794" i="6"/>
  <c r="C794" i="6"/>
  <c r="H795" i="6" l="1"/>
  <c r="F795" i="1" s="1"/>
  <c r="F796" i="6"/>
  <c r="G795" i="6"/>
  <c r="C795" i="6"/>
  <c r="H796" i="6" l="1"/>
  <c r="F796" i="1" s="1"/>
  <c r="C796" i="6"/>
  <c r="G796" i="6"/>
  <c r="F797" i="6"/>
  <c r="H797" i="6" l="1"/>
  <c r="F797" i="1" s="1"/>
  <c r="G797" i="6"/>
  <c r="C797" i="6"/>
  <c r="F798" i="6"/>
  <c r="C798" i="6" l="1"/>
  <c r="F799" i="6"/>
  <c r="G798" i="6"/>
  <c r="H798" i="6"/>
  <c r="F798" i="1" s="1"/>
  <c r="G799" i="6" l="1"/>
  <c r="H799" i="6"/>
  <c r="F799" i="1" s="1"/>
  <c r="F800" i="6"/>
  <c r="C799" i="6"/>
  <c r="G800" i="6" l="1"/>
  <c r="H800" i="6"/>
  <c r="F800" i="1" s="1"/>
  <c r="F801" i="6"/>
  <c r="C800" i="6"/>
  <c r="C801" i="6" l="1"/>
  <c r="G801" i="6"/>
  <c r="F802" i="6"/>
  <c r="H801" i="6"/>
  <c r="F801" i="1" s="1"/>
  <c r="F803" i="6" l="1"/>
  <c r="H802" i="6"/>
  <c r="F802" i="1" s="1"/>
  <c r="C802" i="6"/>
  <c r="G802" i="6"/>
  <c r="G803" i="6" l="1"/>
  <c r="F804" i="6"/>
  <c r="H803" i="6"/>
  <c r="F803" i="1" s="1"/>
  <c r="C803" i="6"/>
  <c r="F805" i="6" l="1"/>
  <c r="H804" i="6"/>
  <c r="F804" i="1" s="1"/>
  <c r="C804" i="6"/>
  <c r="G804" i="6"/>
  <c r="C805" i="6" l="1"/>
  <c r="H805" i="6"/>
  <c r="F805" i="1" s="1"/>
  <c r="G805" i="6"/>
  <c r="F806" i="6"/>
  <c r="G806" i="6" l="1"/>
  <c r="F807" i="6"/>
  <c r="C806" i="6"/>
  <c r="H806" i="6"/>
  <c r="F806" i="1" s="1"/>
  <c r="H807" i="6" l="1"/>
  <c r="F807" i="1" s="1"/>
  <c r="G807" i="6"/>
  <c r="C807" i="6"/>
  <c r="F808" i="6"/>
  <c r="G808" i="6" l="1"/>
  <c r="C808" i="6"/>
  <c r="H808" i="6"/>
  <c r="F808" i="1" s="1"/>
  <c r="F809" i="6"/>
  <c r="H809" i="6" l="1"/>
  <c r="F809" i="1" s="1"/>
  <c r="C809" i="6"/>
  <c r="G809" i="6"/>
  <c r="F810" i="6"/>
  <c r="H810" i="6" l="1"/>
  <c r="F810" i="1" s="1"/>
  <c r="C810" i="6"/>
  <c r="G810" i="6"/>
  <c r="F811" i="6"/>
  <c r="G811" i="6" l="1"/>
  <c r="C811" i="6"/>
  <c r="F812" i="6"/>
  <c r="H811" i="6"/>
  <c r="F811" i="1" s="1"/>
  <c r="F813" i="6" l="1"/>
  <c r="G812" i="6"/>
  <c r="C812" i="6"/>
  <c r="H812" i="6"/>
  <c r="F812" i="1" s="1"/>
  <c r="F814" i="6" l="1"/>
  <c r="G813" i="6"/>
  <c r="H813" i="6"/>
  <c r="F813" i="1" s="1"/>
  <c r="C813" i="6"/>
  <c r="G814" i="6" l="1"/>
  <c r="F815" i="6"/>
  <c r="C814" i="6"/>
  <c r="H814" i="6"/>
  <c r="F814" i="1" s="1"/>
  <c r="F816" i="6" l="1"/>
  <c r="H815" i="6"/>
  <c r="F815" i="1" s="1"/>
  <c r="G815" i="6"/>
  <c r="C815" i="6"/>
  <c r="G816" i="6" l="1"/>
  <c r="F817" i="6"/>
  <c r="H816" i="6"/>
  <c r="F816" i="1" s="1"/>
  <c r="C816" i="6"/>
  <c r="C817" i="6" l="1"/>
  <c r="H817" i="6"/>
  <c r="F817" i="1" s="1"/>
  <c r="G817" i="6"/>
  <c r="F818" i="6"/>
  <c r="F819" i="6" l="1"/>
  <c r="C818" i="6"/>
  <c r="H818" i="6"/>
  <c r="F818" i="1" s="1"/>
  <c r="G818" i="6"/>
  <c r="H819" i="6" l="1"/>
  <c r="F819" i="1" s="1"/>
  <c r="C819" i="6"/>
  <c r="G819" i="6"/>
  <c r="F820" i="6"/>
  <c r="G820" i="6" l="1"/>
  <c r="H820" i="6"/>
  <c r="F820" i="1" s="1"/>
  <c r="F821" i="6"/>
  <c r="C820" i="6"/>
  <c r="C821" i="6" l="1"/>
  <c r="G821" i="6"/>
  <c r="F822" i="6"/>
  <c r="H821" i="6"/>
  <c r="F821" i="1" s="1"/>
  <c r="H822" i="6" l="1"/>
  <c r="F822" i="1" s="1"/>
  <c r="G822" i="6"/>
  <c r="F823" i="6"/>
  <c r="C822" i="6"/>
  <c r="G823" i="6" l="1"/>
  <c r="F824" i="6"/>
  <c r="H823" i="6"/>
  <c r="F823" i="1" s="1"/>
  <c r="C823" i="6"/>
  <c r="G824" i="6" l="1"/>
  <c r="F825" i="6"/>
  <c r="C824" i="6"/>
  <c r="H824" i="6"/>
  <c r="F824" i="1" s="1"/>
  <c r="C825" i="6" l="1"/>
  <c r="H825" i="6"/>
  <c r="F825" i="1" s="1"/>
  <c r="F826" i="6"/>
  <c r="G825" i="6"/>
  <c r="G826" i="6" l="1"/>
  <c r="C826" i="6"/>
  <c r="H826" i="6"/>
  <c r="F826" i="1" s="1"/>
  <c r="F827" i="6"/>
  <c r="F828" i="6" l="1"/>
  <c r="C827" i="6"/>
  <c r="G827" i="6"/>
  <c r="H827" i="6"/>
  <c r="F827" i="1" s="1"/>
  <c r="H828" i="6" l="1"/>
  <c r="F828" i="1" s="1"/>
  <c r="G828" i="6"/>
  <c r="C828" i="6"/>
  <c r="F829" i="6"/>
  <c r="F830" i="6" l="1"/>
  <c r="C829" i="6"/>
  <c r="G829" i="6"/>
  <c r="H829" i="6"/>
  <c r="F829" i="1" s="1"/>
  <c r="G830" i="6" l="1"/>
  <c r="F831" i="6"/>
  <c r="C830" i="6"/>
  <c r="H830" i="6"/>
  <c r="F830" i="1" s="1"/>
  <c r="F832" i="6" l="1"/>
  <c r="H831" i="6"/>
  <c r="F831" i="1" s="1"/>
  <c r="C831" i="6"/>
  <c r="G831" i="6"/>
  <c r="G832" i="6" l="1"/>
  <c r="H832" i="6"/>
  <c r="F832" i="1" s="1"/>
  <c r="C832" i="6"/>
  <c r="F833" i="6"/>
  <c r="G833" i="6" l="1"/>
  <c r="H833" i="6"/>
  <c r="F833" i="1" s="1"/>
  <c r="F834" i="6"/>
  <c r="C833" i="6"/>
  <c r="F835" i="6" l="1"/>
  <c r="G834" i="6"/>
  <c r="H834" i="6"/>
  <c r="F834" i="1" s="1"/>
  <c r="C834" i="6"/>
  <c r="G835" i="6" l="1"/>
  <c r="F836" i="6"/>
  <c r="C835" i="6"/>
  <c r="H835" i="6"/>
  <c r="F835" i="1" s="1"/>
  <c r="F837" i="6" l="1"/>
  <c r="C836" i="6"/>
  <c r="G836" i="6"/>
  <c r="H836" i="6"/>
  <c r="F836" i="1" s="1"/>
  <c r="F838" i="6" l="1"/>
  <c r="H837" i="6"/>
  <c r="F837" i="1" s="1"/>
  <c r="G837" i="6"/>
  <c r="C837" i="6"/>
  <c r="H838" i="6" l="1"/>
  <c r="F838" i="1" s="1"/>
  <c r="G838" i="6"/>
  <c r="C838" i="6"/>
  <c r="F839" i="6"/>
  <c r="H839" i="6" l="1"/>
  <c r="F839" i="1" s="1"/>
  <c r="G839" i="6"/>
  <c r="F840" i="6"/>
  <c r="C839" i="6"/>
  <c r="C840" i="6" l="1"/>
  <c r="F841" i="6"/>
  <c r="G840" i="6"/>
  <c r="H840" i="6"/>
  <c r="F840" i="1" s="1"/>
  <c r="H841" i="6" l="1"/>
  <c r="F841" i="1" s="1"/>
  <c r="C841" i="6"/>
  <c r="F842" i="6"/>
  <c r="G841" i="6"/>
  <c r="G842" i="6" l="1"/>
  <c r="H842" i="6"/>
  <c r="F842" i="1" s="1"/>
  <c r="C842" i="6"/>
  <c r="F843" i="6"/>
  <c r="H843" i="6" l="1"/>
  <c r="F843" i="1" s="1"/>
  <c r="G843" i="6"/>
  <c r="F844" i="6"/>
  <c r="C843" i="6"/>
  <c r="G844" i="6" l="1"/>
  <c r="C844" i="6"/>
  <c r="F845" i="6"/>
  <c r="H844" i="6"/>
  <c r="F844" i="1" s="1"/>
  <c r="F846" i="6" l="1"/>
  <c r="C845" i="6"/>
  <c r="G845" i="6"/>
  <c r="H845" i="6"/>
  <c r="F845" i="1" s="1"/>
  <c r="G846" i="6" l="1"/>
  <c r="F847" i="6"/>
  <c r="H846" i="6"/>
  <c r="F846" i="1" s="1"/>
  <c r="C846" i="6"/>
  <c r="G847" i="6" l="1"/>
  <c r="F848" i="6"/>
  <c r="H847" i="6"/>
  <c r="F847" i="1" s="1"/>
  <c r="C847" i="6"/>
  <c r="C848" i="6" l="1"/>
  <c r="G848" i="6"/>
  <c r="H848" i="6"/>
  <c r="F848" i="1" s="1"/>
  <c r="F849" i="6"/>
  <c r="C849" i="6" l="1"/>
  <c r="F850" i="6"/>
  <c r="G849" i="6"/>
  <c r="H849" i="6"/>
  <c r="F849" i="1" s="1"/>
  <c r="C850" i="6" l="1"/>
  <c r="H850" i="6"/>
  <c r="F850" i="1" s="1"/>
  <c r="G850" i="6"/>
  <c r="F851" i="6"/>
  <c r="F852" i="6" l="1"/>
  <c r="H851" i="6"/>
  <c r="F851" i="1" s="1"/>
  <c r="G851" i="6"/>
  <c r="C851" i="6"/>
  <c r="H852" i="6" l="1"/>
  <c r="F852" i="1" s="1"/>
  <c r="G852" i="6"/>
  <c r="C852" i="6"/>
  <c r="F853" i="6"/>
  <c r="C853" i="6" l="1"/>
  <c r="F854" i="6"/>
  <c r="G853" i="6"/>
  <c r="H853" i="6"/>
  <c r="F853" i="1" s="1"/>
  <c r="F855" i="6" l="1"/>
  <c r="G854" i="6"/>
  <c r="H854" i="6"/>
  <c r="F854" i="1" s="1"/>
  <c r="C854" i="6"/>
  <c r="G855" i="6" l="1"/>
  <c r="F856" i="6"/>
  <c r="H855" i="6"/>
  <c r="F855" i="1" s="1"/>
  <c r="C855" i="6"/>
  <c r="C856" i="6" l="1"/>
  <c r="H856" i="6"/>
  <c r="F856" i="1" s="1"/>
  <c r="F857" i="6"/>
  <c r="G856" i="6"/>
  <c r="F858" i="6" l="1"/>
  <c r="H857" i="6"/>
  <c r="F857" i="1" s="1"/>
  <c r="C857" i="6"/>
  <c r="G857" i="6"/>
  <c r="F859" i="6" l="1"/>
  <c r="C858" i="6"/>
  <c r="H858" i="6"/>
  <c r="F858" i="1" s="1"/>
  <c r="G858" i="6"/>
  <c r="F860" i="6" l="1"/>
  <c r="C859" i="6"/>
  <c r="H859" i="6"/>
  <c r="F859" i="1" s="1"/>
  <c r="G859" i="6"/>
  <c r="G860" i="6" l="1"/>
  <c r="C860" i="6"/>
  <c r="F861" i="6"/>
  <c r="H860" i="6"/>
  <c r="F860" i="1" s="1"/>
  <c r="C861" i="6" l="1"/>
  <c r="H861" i="6"/>
  <c r="F861" i="1" s="1"/>
  <c r="F862" i="6"/>
  <c r="G861" i="6"/>
  <c r="G862" i="6" l="1"/>
  <c r="C862" i="6"/>
  <c r="F863" i="6"/>
  <c r="H862" i="6"/>
  <c r="F862" i="1" s="1"/>
  <c r="G863" i="6" l="1"/>
  <c r="C863" i="6"/>
  <c r="H863" i="6"/>
  <c r="F863" i="1" s="1"/>
  <c r="F864" i="6"/>
  <c r="H864" i="6" l="1"/>
  <c r="F864" i="1" s="1"/>
  <c r="F865" i="6"/>
  <c r="G864" i="6"/>
  <c r="C864" i="6"/>
  <c r="F866" i="6" l="1"/>
  <c r="G865" i="6"/>
  <c r="H865" i="6"/>
  <c r="F865" i="1" s="1"/>
  <c r="C865" i="6"/>
  <c r="H866" i="6" l="1"/>
  <c r="F866" i="1" s="1"/>
  <c r="C866" i="6"/>
  <c r="G866" i="6"/>
  <c r="F867" i="6"/>
  <c r="C867" i="6" l="1"/>
  <c r="F868" i="6"/>
  <c r="G867" i="6"/>
  <c r="H867" i="6"/>
  <c r="F867" i="1" s="1"/>
  <c r="C868" i="6" l="1"/>
  <c r="G868" i="6"/>
  <c r="F869" i="6"/>
  <c r="H868" i="6"/>
  <c r="F868" i="1" s="1"/>
  <c r="F870" i="6" l="1"/>
  <c r="C869" i="6"/>
  <c r="H869" i="6"/>
  <c r="F869" i="1" s="1"/>
  <c r="G869" i="6"/>
  <c r="G870" i="6" l="1"/>
  <c r="F871" i="6"/>
  <c r="H870" i="6"/>
  <c r="F870" i="1" s="1"/>
  <c r="C870" i="6"/>
  <c r="G871" i="6" l="1"/>
  <c r="C871" i="6"/>
  <c r="H871" i="6"/>
  <c r="F871" i="1" s="1"/>
  <c r="F872" i="6"/>
  <c r="F873" i="6" l="1"/>
  <c r="G872" i="6"/>
  <c r="H872" i="6"/>
  <c r="F872" i="1" s="1"/>
  <c r="C872" i="6"/>
  <c r="F874" i="6" l="1"/>
  <c r="C873" i="6"/>
  <c r="H873" i="6"/>
  <c r="F873" i="1" s="1"/>
  <c r="G873" i="6"/>
  <c r="H874" i="6" l="1"/>
  <c r="F874" i="1" s="1"/>
  <c r="F875" i="6"/>
  <c r="G874" i="6"/>
  <c r="C874" i="6"/>
  <c r="G875" i="6" l="1"/>
  <c r="C875" i="6"/>
  <c r="F876" i="6"/>
  <c r="H875" i="6"/>
  <c r="F875" i="1" s="1"/>
  <c r="H876" i="6" l="1"/>
  <c r="F876" i="1" s="1"/>
  <c r="F877" i="6"/>
  <c r="G876" i="6"/>
  <c r="C876" i="6"/>
  <c r="G877" i="6" l="1"/>
  <c r="F878" i="6"/>
  <c r="C877" i="6"/>
  <c r="H877" i="6"/>
  <c r="F877" i="1" s="1"/>
  <c r="H878" i="6" l="1"/>
  <c r="F878" i="1" s="1"/>
  <c r="G878" i="6"/>
  <c r="F879" i="6"/>
  <c r="C878" i="6"/>
  <c r="C879" i="6" l="1"/>
  <c r="H879" i="6"/>
  <c r="F879" i="1" s="1"/>
  <c r="G879" i="6"/>
  <c r="F880" i="6"/>
  <c r="C880" i="6" l="1"/>
  <c r="H880" i="6"/>
  <c r="F880" i="1" s="1"/>
  <c r="F881" i="6"/>
  <c r="G880" i="6"/>
  <c r="G881" i="6" l="1"/>
  <c r="F882" i="6"/>
  <c r="H881" i="6"/>
  <c r="F881" i="1" s="1"/>
  <c r="C881" i="6"/>
  <c r="C882" i="6" l="1"/>
  <c r="F883" i="6"/>
  <c r="G882" i="6"/>
  <c r="H882" i="6"/>
  <c r="F882" i="1" s="1"/>
  <c r="H883" i="6" l="1"/>
  <c r="F883" i="1" s="1"/>
  <c r="F884" i="6"/>
  <c r="C883" i="6"/>
  <c r="G883" i="6"/>
  <c r="C884" i="6" l="1"/>
  <c r="F885" i="6"/>
  <c r="G884" i="6"/>
  <c r="H884" i="6"/>
  <c r="F884" i="1" s="1"/>
  <c r="F886" i="6" l="1"/>
  <c r="C885" i="6"/>
  <c r="H885" i="6"/>
  <c r="F885" i="1" s="1"/>
  <c r="G885" i="6"/>
  <c r="F887" i="6" l="1"/>
  <c r="H886" i="6"/>
  <c r="F886" i="1" s="1"/>
  <c r="G886" i="6"/>
  <c r="C886" i="6"/>
  <c r="G887" i="6" l="1"/>
  <c r="C887" i="6"/>
  <c r="H887" i="6"/>
  <c r="F887" i="1" s="1"/>
  <c r="F888" i="6"/>
  <c r="C888" i="6" l="1"/>
  <c r="G888" i="6"/>
  <c r="H888" i="6"/>
  <c r="F888" i="1" s="1"/>
  <c r="F889" i="6"/>
  <c r="C889" i="6" l="1"/>
  <c r="H889" i="6"/>
  <c r="F889" i="1" s="1"/>
  <c r="G889" i="6"/>
  <c r="F890" i="6"/>
  <c r="G890" i="6" l="1"/>
  <c r="H890" i="6"/>
  <c r="F890" i="1" s="1"/>
  <c r="F891" i="6"/>
  <c r="C890" i="6"/>
  <c r="H891" i="6" l="1"/>
  <c r="F891" i="1" s="1"/>
  <c r="G891" i="6"/>
  <c r="F892" i="6"/>
  <c r="C891" i="6"/>
  <c r="H892" i="6" l="1"/>
  <c r="F892" i="1" s="1"/>
  <c r="G892" i="6"/>
  <c r="C892" i="6"/>
  <c r="F893" i="6"/>
  <c r="C893" i="6" l="1"/>
  <c r="H893" i="6"/>
  <c r="F893" i="1" s="1"/>
  <c r="G893" i="6"/>
  <c r="F894" i="6"/>
  <c r="C894" i="6" l="1"/>
  <c r="F895" i="6"/>
  <c r="H894" i="6"/>
  <c r="F894" i="1" s="1"/>
  <c r="G894" i="6"/>
  <c r="H895" i="6" l="1"/>
  <c r="F895" i="1" s="1"/>
  <c r="G895" i="6"/>
  <c r="C895" i="6"/>
  <c r="F896" i="6"/>
  <c r="G896" i="6" l="1"/>
  <c r="C896" i="6"/>
  <c r="F897" i="6"/>
  <c r="H896" i="6"/>
  <c r="F896" i="1" s="1"/>
  <c r="H897" i="6" l="1"/>
  <c r="F897" i="1" s="1"/>
  <c r="C897" i="6"/>
  <c r="F898" i="6"/>
  <c r="G897" i="6"/>
  <c r="C898" i="6" l="1"/>
  <c r="G898" i="6"/>
  <c r="F899" i="6"/>
  <c r="H898" i="6"/>
  <c r="F898" i="1" s="1"/>
  <c r="G899" i="6" l="1"/>
  <c r="H899" i="6"/>
  <c r="F899" i="1" s="1"/>
  <c r="F900" i="6"/>
  <c r="C899" i="6"/>
  <c r="F901" i="6" l="1"/>
  <c r="C900" i="6"/>
  <c r="H900" i="6"/>
  <c r="F900" i="1" s="1"/>
  <c r="G900" i="6"/>
  <c r="C901" i="6" l="1"/>
  <c r="H901" i="6"/>
  <c r="F901" i="1" s="1"/>
  <c r="F902" i="6"/>
  <c r="G901" i="6"/>
  <c r="G902" i="6" l="1"/>
  <c r="C902" i="6"/>
  <c r="F903" i="6"/>
  <c r="H902" i="6"/>
  <c r="F902" i="1" s="1"/>
  <c r="F904" i="6" l="1"/>
  <c r="C903" i="6"/>
  <c r="G903" i="6"/>
  <c r="H903" i="6"/>
  <c r="F903" i="1" s="1"/>
  <c r="H904" i="6" l="1"/>
  <c r="F904" i="1" s="1"/>
  <c r="C904" i="6"/>
  <c r="F905" i="6"/>
  <c r="G904" i="6"/>
  <c r="C905" i="6" l="1"/>
  <c r="H905" i="6"/>
  <c r="F905" i="1" s="1"/>
  <c r="G905" i="6"/>
  <c r="F906" i="6"/>
  <c r="C906" i="6" l="1"/>
  <c r="F907" i="6"/>
  <c r="G906" i="6"/>
  <c r="H906" i="6"/>
  <c r="F906" i="1" s="1"/>
  <c r="G907" i="6" l="1"/>
  <c r="C907" i="6"/>
  <c r="H907" i="6"/>
  <c r="F907" i="1" s="1"/>
  <c r="F908" i="6"/>
  <c r="G908" i="6" l="1"/>
  <c r="C908" i="6"/>
  <c r="H908" i="6"/>
  <c r="F908" i="1" s="1"/>
  <c r="F909" i="6"/>
  <c r="G909" i="6" l="1"/>
  <c r="H909" i="6"/>
  <c r="F909" i="1" s="1"/>
  <c r="F910" i="6"/>
  <c r="C909" i="6"/>
  <c r="F911" i="6" l="1"/>
  <c r="C910" i="6"/>
  <c r="H910" i="6"/>
  <c r="F910" i="1" s="1"/>
  <c r="G910" i="6"/>
  <c r="F912" i="6" l="1"/>
  <c r="C911" i="6"/>
  <c r="H911" i="6"/>
  <c r="F911" i="1" s="1"/>
  <c r="G911" i="6"/>
  <c r="F913" i="6" l="1"/>
  <c r="C912" i="6"/>
  <c r="H912" i="6"/>
  <c r="F912" i="1" s="1"/>
  <c r="G912" i="6"/>
  <c r="F914" i="6" l="1"/>
  <c r="H913" i="6"/>
  <c r="F913" i="1" s="1"/>
  <c r="G913" i="6"/>
  <c r="C913" i="6"/>
  <c r="H914" i="6" l="1"/>
  <c r="F914" i="1" s="1"/>
  <c r="F915" i="6"/>
  <c r="G914" i="6"/>
  <c r="C914" i="6"/>
  <c r="H915" i="6" l="1"/>
  <c r="F915" i="1" s="1"/>
  <c r="G915" i="6"/>
  <c r="C915" i="6"/>
  <c r="F916" i="6"/>
  <c r="H916" i="6" l="1"/>
  <c r="F916" i="1" s="1"/>
  <c r="G916" i="6"/>
  <c r="F917" i="6"/>
  <c r="C916" i="6"/>
  <c r="G917" i="6" l="1"/>
  <c r="F918" i="6"/>
  <c r="H917" i="6"/>
  <c r="F917" i="1" s="1"/>
  <c r="C917" i="6"/>
  <c r="G918" i="6" l="1"/>
  <c r="F919" i="6"/>
  <c r="C918" i="6"/>
  <c r="H918" i="6"/>
  <c r="F918" i="1" s="1"/>
  <c r="G919" i="6" l="1"/>
  <c r="H919" i="6"/>
  <c r="F919" i="1" s="1"/>
  <c r="C919" i="6"/>
  <c r="F920" i="6"/>
  <c r="F921" i="6" l="1"/>
  <c r="C920" i="6"/>
  <c r="G920" i="6"/>
  <c r="H920" i="6"/>
  <c r="F920" i="1" s="1"/>
  <c r="C921" i="6" l="1"/>
  <c r="H921" i="6"/>
  <c r="F921" i="1" s="1"/>
  <c r="G921" i="6"/>
  <c r="F922" i="6"/>
  <c r="C922" i="6" l="1"/>
  <c r="G922" i="6"/>
  <c r="H922" i="6"/>
  <c r="F922" i="1" s="1"/>
  <c r="F923" i="6"/>
  <c r="G923" i="6" l="1"/>
  <c r="C923" i="6"/>
  <c r="H923" i="6"/>
  <c r="F923" i="1" s="1"/>
  <c r="F924" i="6"/>
  <c r="C924" i="6" l="1"/>
  <c r="F925" i="6"/>
  <c r="H924" i="6"/>
  <c r="F924" i="1" s="1"/>
  <c r="G924" i="6"/>
  <c r="F926" i="6" l="1"/>
  <c r="G925" i="6"/>
  <c r="H925" i="6"/>
  <c r="F925" i="1" s="1"/>
  <c r="C925" i="6"/>
  <c r="H926" i="6" l="1"/>
  <c r="F926" i="1" s="1"/>
  <c r="C926" i="6"/>
  <c r="G926" i="6"/>
  <c r="F927" i="6"/>
  <c r="C927" i="6" l="1"/>
  <c r="F928" i="6"/>
  <c r="G927" i="6"/>
  <c r="H927" i="6"/>
  <c r="F927" i="1" s="1"/>
  <c r="F929" i="6" l="1"/>
  <c r="C928" i="6"/>
  <c r="G928" i="6"/>
  <c r="H928" i="6"/>
  <c r="F928" i="1" s="1"/>
  <c r="C929" i="6" l="1"/>
  <c r="H929" i="6"/>
  <c r="F929" i="1" s="1"/>
  <c r="G929" i="6"/>
  <c r="F930" i="6"/>
  <c r="G930" i="6" l="1"/>
  <c r="H930" i="6"/>
  <c r="F930" i="1" s="1"/>
  <c r="F931" i="6"/>
  <c r="C930" i="6"/>
  <c r="F932" i="6" l="1"/>
  <c r="C931" i="6"/>
  <c r="H931" i="6"/>
  <c r="F931" i="1" s="1"/>
  <c r="G931" i="6"/>
  <c r="H932" i="6" l="1"/>
  <c r="F932" i="1" s="1"/>
  <c r="F933" i="6"/>
  <c r="C932" i="6"/>
  <c r="G932" i="6"/>
  <c r="G933" i="6" l="1"/>
  <c r="C933" i="6"/>
  <c r="H933" i="6"/>
  <c r="F933" i="1" s="1"/>
  <c r="F934" i="6"/>
  <c r="G934" i="6" l="1"/>
  <c r="C934" i="6"/>
  <c r="H934" i="6"/>
  <c r="F934" i="1" s="1"/>
  <c r="F935" i="6"/>
  <c r="G935" i="6" l="1"/>
  <c r="F936" i="6"/>
  <c r="H935" i="6"/>
  <c r="F935" i="1" s="1"/>
  <c r="C935" i="6"/>
  <c r="F937" i="6" l="1"/>
  <c r="C936" i="6"/>
  <c r="G936" i="6"/>
  <c r="H936" i="6"/>
  <c r="F936" i="1" s="1"/>
  <c r="C937" i="6" l="1"/>
  <c r="H937" i="6"/>
  <c r="F937" i="1" s="1"/>
  <c r="F938" i="6"/>
  <c r="G937" i="6"/>
  <c r="H938" i="6" l="1"/>
  <c r="F938" i="1" s="1"/>
  <c r="C938" i="6"/>
  <c r="G938" i="6"/>
  <c r="F939" i="6"/>
  <c r="H939" i="6" l="1"/>
  <c r="F939" i="1" s="1"/>
  <c r="G939" i="6"/>
  <c r="C939" i="6"/>
  <c r="F940" i="6"/>
  <c r="C940" i="6" l="1"/>
  <c r="H940" i="6"/>
  <c r="F940" i="1" s="1"/>
  <c r="F941" i="6"/>
  <c r="G940" i="6"/>
  <c r="G941" i="6" l="1"/>
  <c r="H941" i="6"/>
  <c r="F941" i="1" s="1"/>
  <c r="F942" i="6"/>
  <c r="C941" i="6"/>
  <c r="H942" i="6" l="1"/>
  <c r="F942" i="1" s="1"/>
  <c r="C942" i="6"/>
  <c r="G942" i="6"/>
  <c r="F943" i="6"/>
  <c r="C943" i="6" l="1"/>
  <c r="F944" i="6"/>
  <c r="G943" i="6"/>
  <c r="H943" i="6"/>
  <c r="F943" i="1" s="1"/>
  <c r="G944" i="6" l="1"/>
  <c r="F945" i="6"/>
  <c r="C944" i="6"/>
  <c r="H944" i="6"/>
  <c r="F944" i="1" s="1"/>
  <c r="C945" i="6" l="1"/>
  <c r="G945" i="6"/>
  <c r="H945" i="6"/>
  <c r="F945" i="1" s="1"/>
  <c r="F946" i="6"/>
  <c r="G946" i="6" l="1"/>
  <c r="H946" i="6"/>
  <c r="F946" i="1" s="1"/>
  <c r="C946" i="6"/>
  <c r="F947" i="6"/>
  <c r="F948" i="6" l="1"/>
  <c r="C947" i="6"/>
  <c r="H947" i="6"/>
  <c r="F947" i="1" s="1"/>
  <c r="G947" i="6"/>
  <c r="H948" i="6" l="1"/>
  <c r="F948" i="1" s="1"/>
  <c r="F949" i="6"/>
  <c r="G948" i="6"/>
  <c r="C948" i="6"/>
  <c r="C949" i="6" l="1"/>
  <c r="G949" i="6"/>
  <c r="F950" i="6"/>
  <c r="H949" i="6"/>
  <c r="F949" i="1" s="1"/>
  <c r="F951" i="6" l="1"/>
  <c r="C950" i="6"/>
  <c r="H950" i="6"/>
  <c r="F950" i="1" s="1"/>
  <c r="G950" i="6"/>
  <c r="G951" i="6" l="1"/>
  <c r="F952" i="6"/>
  <c r="C951" i="6"/>
  <c r="H951" i="6"/>
  <c r="F951" i="1" s="1"/>
  <c r="C952" i="6" l="1"/>
  <c r="H952" i="6"/>
  <c r="F952" i="1" s="1"/>
  <c r="F953" i="6"/>
  <c r="G952" i="6"/>
  <c r="G953" i="6" l="1"/>
  <c r="C953" i="6"/>
  <c r="H953" i="6"/>
  <c r="F953" i="1" s="1"/>
  <c r="F954" i="6"/>
  <c r="F955" i="6" l="1"/>
  <c r="H954" i="6"/>
  <c r="F954" i="1" s="1"/>
  <c r="G954" i="6"/>
  <c r="C954" i="6"/>
  <c r="F956" i="6" l="1"/>
  <c r="H955" i="6"/>
  <c r="F955" i="1" s="1"/>
  <c r="G955" i="6"/>
  <c r="C955" i="6"/>
  <c r="G956" i="6" l="1"/>
  <c r="F957" i="6"/>
  <c r="H956" i="6"/>
  <c r="F956" i="1" s="1"/>
  <c r="C956" i="6"/>
  <c r="G957" i="6" l="1"/>
  <c r="H957" i="6"/>
  <c r="F957" i="1" s="1"/>
  <c r="C957" i="6"/>
  <c r="F958" i="6"/>
  <c r="H958" i="6" l="1"/>
  <c r="F958" i="1" s="1"/>
  <c r="F959" i="6"/>
  <c r="C958" i="6"/>
  <c r="G958" i="6"/>
  <c r="F960" i="6" l="1"/>
  <c r="H959" i="6"/>
  <c r="F959" i="1" s="1"/>
  <c r="G959" i="6"/>
  <c r="C959" i="6"/>
  <c r="F961" i="6" l="1"/>
  <c r="G960" i="6"/>
  <c r="C960" i="6"/>
  <c r="H960" i="6"/>
  <c r="F960" i="1" s="1"/>
  <c r="F962" i="6" l="1"/>
  <c r="G961" i="6"/>
  <c r="H961" i="6"/>
  <c r="F961" i="1" s="1"/>
  <c r="C961" i="6"/>
  <c r="G962" i="6" l="1"/>
  <c r="H962" i="6"/>
  <c r="F962" i="1" s="1"/>
  <c r="C962" i="6"/>
  <c r="F963" i="6"/>
  <c r="G963" i="6" l="1"/>
  <c r="H963" i="6"/>
  <c r="F963" i="1" s="1"/>
  <c r="C963" i="6"/>
  <c r="F964" i="6"/>
  <c r="C964" i="6" l="1"/>
  <c r="F965" i="6"/>
  <c r="H964" i="6"/>
  <c r="F964" i="1" s="1"/>
  <c r="G964" i="6"/>
  <c r="F966" i="6" l="1"/>
  <c r="C965" i="6"/>
  <c r="H965" i="6"/>
  <c r="F965" i="1" s="1"/>
  <c r="G965" i="6"/>
  <c r="G966" i="6" l="1"/>
  <c r="F967" i="6"/>
  <c r="C966" i="6"/>
  <c r="H966" i="6"/>
  <c r="F966" i="1" s="1"/>
  <c r="F968" i="6" l="1"/>
  <c r="G967" i="6"/>
  <c r="H967" i="6"/>
  <c r="F967" i="1" s="1"/>
  <c r="C967" i="6"/>
  <c r="G968" i="6" l="1"/>
  <c r="F969" i="6"/>
  <c r="H968" i="6"/>
  <c r="F968" i="1" s="1"/>
  <c r="C968" i="6"/>
  <c r="F970" i="6" l="1"/>
  <c r="H969" i="6"/>
  <c r="F969" i="1" s="1"/>
  <c r="G969" i="6"/>
  <c r="C969" i="6"/>
  <c r="G970" i="6" l="1"/>
  <c r="F971" i="6"/>
  <c r="H970" i="6"/>
  <c r="F970" i="1" s="1"/>
  <c r="C970" i="6"/>
  <c r="H971" i="6" l="1"/>
  <c r="F971" i="1" s="1"/>
  <c r="F972" i="6"/>
  <c r="G971" i="6"/>
  <c r="C971" i="6"/>
  <c r="H972" i="6" l="1"/>
  <c r="F972" i="1" s="1"/>
  <c r="C972" i="6"/>
  <c r="G972" i="6"/>
  <c r="F973" i="6"/>
  <c r="G973" i="6" l="1"/>
  <c r="H973" i="6"/>
  <c r="F973" i="1" s="1"/>
  <c r="F974" i="6"/>
  <c r="C973" i="6"/>
  <c r="H974" i="6" l="1"/>
  <c r="F974" i="1" s="1"/>
  <c r="C974" i="6"/>
  <c r="F975" i="6"/>
  <c r="G974" i="6"/>
  <c r="G975" i="6" l="1"/>
  <c r="H975" i="6"/>
  <c r="F975" i="1" s="1"/>
  <c r="F976" i="6"/>
  <c r="C975" i="6"/>
  <c r="G976" i="6" l="1"/>
  <c r="C976" i="6"/>
  <c r="H976" i="6"/>
  <c r="F976" i="1" s="1"/>
  <c r="F977" i="6"/>
  <c r="C977" i="6" l="1"/>
  <c r="G977" i="6"/>
  <c r="F978" i="6"/>
  <c r="H977" i="6"/>
  <c r="F977" i="1" s="1"/>
  <c r="F979" i="6" l="1"/>
  <c r="G978" i="6"/>
  <c r="H978" i="6"/>
  <c r="F978" i="1" s="1"/>
  <c r="C978" i="6"/>
  <c r="F980" i="6" l="1"/>
  <c r="H979" i="6"/>
  <c r="F979" i="1" s="1"/>
  <c r="C979" i="6"/>
  <c r="G979" i="6"/>
  <c r="F981" i="6" l="1"/>
  <c r="G980" i="6"/>
  <c r="H980" i="6"/>
  <c r="F980" i="1" s="1"/>
  <c r="C980" i="6"/>
  <c r="C981" i="6" l="1"/>
  <c r="F982" i="6"/>
  <c r="H981" i="6"/>
  <c r="F981" i="1" s="1"/>
  <c r="G981" i="6"/>
  <c r="C982" i="6" l="1"/>
  <c r="G982" i="6"/>
  <c r="F983" i="6"/>
  <c r="H982" i="6"/>
  <c r="F982" i="1" s="1"/>
  <c r="G983" i="6" l="1"/>
  <c r="F984" i="6"/>
  <c r="C983" i="6"/>
  <c r="H983" i="6"/>
  <c r="F983" i="1" s="1"/>
  <c r="F985" i="6" l="1"/>
  <c r="G984" i="6"/>
  <c r="H984" i="6"/>
  <c r="F984" i="1" s="1"/>
  <c r="C984" i="6"/>
  <c r="F986" i="6" l="1"/>
  <c r="C985" i="6"/>
  <c r="G985" i="6"/>
  <c r="H985" i="6"/>
  <c r="F985" i="1" s="1"/>
  <c r="G986" i="6" l="1"/>
  <c r="C986" i="6"/>
  <c r="F987" i="6"/>
  <c r="H986" i="6"/>
  <c r="F986" i="1" s="1"/>
  <c r="G987" i="6" l="1"/>
  <c r="F988" i="6"/>
  <c r="H987" i="6"/>
  <c r="F987" i="1" s="1"/>
  <c r="C987" i="6"/>
  <c r="H988" i="6" l="1"/>
  <c r="F988" i="1" s="1"/>
  <c r="C988" i="6"/>
  <c r="F989" i="6"/>
  <c r="G988" i="6"/>
  <c r="F990" i="6" l="1"/>
  <c r="C989" i="6"/>
  <c r="H989" i="6"/>
  <c r="F989" i="1" s="1"/>
  <c r="G989" i="6"/>
  <c r="H990" i="6" l="1"/>
  <c r="F990" i="1" s="1"/>
  <c r="F991" i="6"/>
  <c r="C990" i="6"/>
  <c r="G990" i="6"/>
  <c r="H991" i="6" l="1"/>
  <c r="F991" i="1" s="1"/>
  <c r="F992" i="6"/>
  <c r="G991" i="6"/>
  <c r="C991" i="6"/>
  <c r="H992" i="6" l="1"/>
  <c r="F992" i="1" s="1"/>
  <c r="F993" i="6"/>
  <c r="G992" i="6"/>
  <c r="C992" i="6"/>
  <c r="H993" i="6" l="1"/>
  <c r="F993" i="1" s="1"/>
  <c r="C993" i="6"/>
  <c r="G993" i="6"/>
  <c r="F994" i="6"/>
  <c r="C994" i="6" l="1"/>
  <c r="F995" i="6"/>
  <c r="G994" i="6"/>
  <c r="H994" i="6"/>
  <c r="F994" i="1" s="1"/>
  <c r="G995" i="6" l="1"/>
  <c r="H995" i="6"/>
  <c r="F995" i="1" s="1"/>
  <c r="C995" i="6"/>
  <c r="F996" i="6"/>
  <c r="G996" i="6" l="1"/>
  <c r="F997" i="6"/>
  <c r="H996" i="6"/>
  <c r="F996" i="1" s="1"/>
  <c r="C996" i="6"/>
  <c r="G997" i="6" l="1"/>
  <c r="F998" i="6"/>
  <c r="H997" i="6"/>
  <c r="F997" i="1" s="1"/>
  <c r="C997" i="6"/>
  <c r="F999" i="6" l="1"/>
  <c r="C998" i="6"/>
  <c r="G998" i="6"/>
  <c r="H998" i="6"/>
  <c r="F998" i="1" s="1"/>
  <c r="H999" i="6" l="1"/>
  <c r="F999" i="1" s="1"/>
  <c r="C999" i="6"/>
  <c r="F1000" i="6"/>
  <c r="G999" i="6"/>
  <c r="H1000" i="6" l="1"/>
  <c r="F1000" i="1" s="1"/>
  <c r="F1001" i="6"/>
  <c r="C1000" i="6"/>
  <c r="G1000" i="6"/>
  <c r="H1001" i="6" l="1"/>
  <c r="F1001" i="1" s="1"/>
  <c r="G1001" i="6"/>
  <c r="F1002" i="6"/>
  <c r="C1001" i="6"/>
  <c r="C1002" i="6" l="1"/>
  <c r="G1002" i="6"/>
  <c r="H1002" i="6"/>
  <c r="F1002" i="1" s="1"/>
  <c r="F1003" i="6"/>
  <c r="C1003" i="6" l="1"/>
  <c r="F1004" i="6"/>
  <c r="H1003" i="6"/>
  <c r="F1003" i="1" s="1"/>
  <c r="G1003" i="6"/>
  <c r="H1004" i="6" l="1"/>
  <c r="F1004" i="1" s="1"/>
  <c r="G1004" i="6"/>
  <c r="F1005" i="6"/>
  <c r="C1004" i="6"/>
  <c r="G1005" i="6" l="1"/>
  <c r="H1005" i="6"/>
  <c r="F1005" i="1" s="1"/>
  <c r="F1006" i="6"/>
  <c r="C1005" i="6"/>
  <c r="H1006" i="6" l="1"/>
  <c r="F1006" i="1" s="1"/>
  <c r="G1006" i="6"/>
  <c r="C1006" i="6"/>
  <c r="F1007" i="6"/>
  <c r="G1007" i="6" l="1"/>
  <c r="H1007" i="6"/>
  <c r="F1007" i="1" s="1"/>
  <c r="F1008" i="6"/>
  <c r="C1007" i="6"/>
  <c r="G1008" i="6" l="1"/>
  <c r="F1009" i="6"/>
  <c r="H1008" i="6"/>
  <c r="F1008" i="1" s="1"/>
  <c r="C1008" i="6"/>
  <c r="C1009" i="6" l="1"/>
  <c r="G1009" i="6"/>
  <c r="H1009" i="6"/>
  <c r="F1009" i="1" s="1"/>
  <c r="F1010" i="6"/>
  <c r="F1011" i="6" l="1"/>
  <c r="H1010" i="6"/>
  <c r="F1010" i="1" s="1"/>
  <c r="G1010" i="6"/>
  <c r="C1010" i="6"/>
  <c r="C1011" i="6" l="1"/>
  <c r="G1011" i="6"/>
  <c r="F1012" i="6"/>
  <c r="H1011" i="6"/>
  <c r="F1011" i="1" s="1"/>
  <c r="H1012" i="6" l="1"/>
  <c r="F1012" i="1" s="1"/>
  <c r="F1013" i="6"/>
  <c r="G1012" i="6"/>
  <c r="C1012" i="6"/>
  <c r="C1013" i="6" l="1"/>
  <c r="G1013" i="6"/>
  <c r="F1014" i="6"/>
  <c r="H1013" i="6"/>
  <c r="F1013" i="1" s="1"/>
  <c r="G1014" i="6" l="1"/>
  <c r="F1015" i="6"/>
  <c r="H1014" i="6"/>
  <c r="F1014" i="1" s="1"/>
  <c r="C1014" i="6"/>
  <c r="H1015" i="6" l="1"/>
  <c r="F1015" i="1" s="1"/>
  <c r="G1015" i="6"/>
  <c r="F1016" i="6"/>
  <c r="C1015" i="6"/>
  <c r="F1017" i="6" l="1"/>
  <c r="C1016" i="6"/>
  <c r="G1016" i="6"/>
  <c r="H1016" i="6"/>
  <c r="F1016" i="1" s="1"/>
  <c r="H1017" i="6" l="1"/>
  <c r="F1017" i="1" s="1"/>
  <c r="G1017" i="6"/>
  <c r="C1017" i="6"/>
  <c r="F1018" i="6"/>
  <c r="H1018" i="6" l="1"/>
  <c r="F1018" i="1" s="1"/>
  <c r="F1019" i="6"/>
  <c r="G1018" i="6"/>
  <c r="C1018" i="6"/>
  <c r="H1019" i="6" l="1"/>
  <c r="F1019" i="1" s="1"/>
  <c r="G1019" i="6"/>
  <c r="C1019" i="6"/>
  <c r="F1020" i="6"/>
  <c r="H1020" i="6" l="1"/>
  <c r="F1020" i="1" s="1"/>
  <c r="C1020" i="6"/>
  <c r="F1021" i="6"/>
  <c r="G1020" i="6"/>
  <c r="G1021" i="6" l="1"/>
  <c r="C1021" i="6"/>
  <c r="H1021" i="6"/>
  <c r="F1021" i="1" s="1"/>
  <c r="F1022" i="6"/>
  <c r="F1023" i="6" l="1"/>
  <c r="C1022" i="6"/>
  <c r="H1022" i="6"/>
  <c r="F1022" i="1" s="1"/>
  <c r="G1022" i="6"/>
  <c r="H1023" i="6" l="1"/>
  <c r="F1023" i="1" s="1"/>
  <c r="C1023" i="6"/>
  <c r="F1024" i="6"/>
  <c r="G1023" i="6"/>
  <c r="C1024" i="6" l="1"/>
  <c r="F1025" i="6"/>
  <c r="G1024" i="6"/>
  <c r="H1024" i="6"/>
  <c r="F1024" i="1" s="1"/>
  <c r="F1026" i="6" l="1"/>
  <c r="C1025" i="6"/>
  <c r="H1025" i="6"/>
  <c r="F1025" i="1" s="1"/>
  <c r="G1025" i="6"/>
  <c r="H1026" i="6" l="1"/>
  <c r="F1026" i="1" s="1"/>
  <c r="C1026" i="6"/>
  <c r="G1026" i="6"/>
  <c r="F1027" i="6"/>
  <c r="H1027" i="6" l="1"/>
  <c r="F1027" i="1" s="1"/>
  <c r="C1027" i="6"/>
  <c r="G1027" i="6"/>
  <c r="F1028" i="6"/>
  <c r="F1029" i="6" l="1"/>
  <c r="G1028" i="6"/>
  <c r="C1028" i="6"/>
  <c r="H1028" i="6"/>
  <c r="F1028" i="1" s="1"/>
  <c r="G1029" i="6" l="1"/>
  <c r="H1029" i="6"/>
  <c r="F1029" i="1" s="1"/>
  <c r="C1029" i="6"/>
  <c r="F1030" i="6"/>
  <c r="G1030" i="6" l="1"/>
  <c r="C1030" i="6"/>
  <c r="F1031" i="6"/>
  <c r="H1030" i="6"/>
  <c r="F1030" i="1" s="1"/>
  <c r="H1031" i="6" l="1"/>
  <c r="F1031" i="1" s="1"/>
  <c r="C1031" i="6"/>
  <c r="G1031" i="6"/>
  <c r="F1032" i="6"/>
  <c r="F1033" i="6" l="1"/>
  <c r="G1032" i="6"/>
  <c r="C1032" i="6"/>
  <c r="H1032" i="6"/>
  <c r="F1032" i="1" s="1"/>
  <c r="H1033" i="6" l="1"/>
  <c r="F1033" i="1" s="1"/>
  <c r="F1034" i="6"/>
  <c r="G1033" i="6"/>
  <c r="C1033" i="6"/>
  <c r="F1035" i="6" l="1"/>
  <c r="G1034" i="6"/>
  <c r="H1034" i="6"/>
  <c r="F1034" i="1" s="1"/>
  <c r="C1034" i="6"/>
  <c r="G1035" i="6" l="1"/>
  <c r="H1035" i="6"/>
  <c r="F1035" i="1" s="1"/>
  <c r="F1036" i="6"/>
  <c r="C1035" i="6"/>
  <c r="G1036" i="6" l="1"/>
  <c r="H1036" i="6"/>
  <c r="F1036" i="1" s="1"/>
  <c r="F1037" i="6"/>
  <c r="C1036" i="6"/>
  <c r="H1037" i="6" l="1"/>
  <c r="F1037" i="1" s="1"/>
  <c r="F1038" i="6"/>
  <c r="C1037" i="6"/>
  <c r="G1037" i="6"/>
  <c r="C1038" i="6" l="1"/>
  <c r="F1039" i="6"/>
  <c r="G1038" i="6"/>
  <c r="H1038" i="6"/>
  <c r="F1038" i="1" s="1"/>
  <c r="H1039" i="6" l="1"/>
  <c r="F1039" i="1" s="1"/>
  <c r="F1040" i="6"/>
  <c r="C1039" i="6"/>
  <c r="G1039" i="6"/>
  <c r="F1041" i="6" l="1"/>
  <c r="C1040" i="6"/>
  <c r="G1040" i="6"/>
  <c r="H1040" i="6"/>
  <c r="F1040" i="1" s="1"/>
  <c r="H1041" i="6" l="1"/>
  <c r="F1041" i="1" s="1"/>
  <c r="C1041" i="6"/>
  <c r="G1041" i="6"/>
  <c r="F1042" i="6"/>
  <c r="G1042" i="6" l="1"/>
  <c r="F1043" i="6"/>
  <c r="C1042" i="6"/>
  <c r="H1042" i="6"/>
  <c r="F1042" i="1" s="1"/>
  <c r="F1044" i="6" l="1"/>
  <c r="G1043" i="6"/>
  <c r="C1043" i="6"/>
  <c r="H1043" i="6"/>
  <c r="F1043" i="1" s="1"/>
  <c r="C1044" i="6" l="1"/>
  <c r="G1044" i="6"/>
  <c r="H1044" i="6"/>
  <c r="F1044" i="1" s="1"/>
  <c r="F1045" i="6"/>
  <c r="H1045" i="6" l="1"/>
  <c r="F1045" i="1" s="1"/>
  <c r="F1046" i="6"/>
  <c r="C1045" i="6"/>
  <c r="G1045" i="6"/>
  <c r="C1046" i="6" l="1"/>
  <c r="F1047" i="6"/>
  <c r="G1046" i="6"/>
  <c r="H1046" i="6"/>
  <c r="F1046" i="1" s="1"/>
  <c r="H1047" i="6" l="1"/>
  <c r="F1047" i="1" s="1"/>
  <c r="F1048" i="6"/>
  <c r="C1047" i="6"/>
  <c r="G1047" i="6"/>
  <c r="F1049" i="6" l="1"/>
  <c r="G1048" i="6"/>
  <c r="H1048" i="6"/>
  <c r="F1048" i="1" s="1"/>
  <c r="C1048" i="6"/>
  <c r="H1049" i="6" l="1"/>
  <c r="F1049" i="1" s="1"/>
  <c r="G1049" i="6"/>
  <c r="C1049" i="6"/>
  <c r="F1050" i="6"/>
  <c r="H1050" i="6" l="1"/>
  <c r="F1050" i="1" s="1"/>
  <c r="F1051" i="6"/>
  <c r="G1050" i="6"/>
  <c r="C1050" i="6"/>
  <c r="H1051" i="6" l="1"/>
  <c r="F1051" i="1" s="1"/>
  <c r="G1051" i="6"/>
  <c r="F1052" i="6"/>
  <c r="C1051" i="6"/>
  <c r="G1052" i="6" l="1"/>
  <c r="F1053" i="6"/>
  <c r="C1052" i="6"/>
  <c r="H1052" i="6"/>
  <c r="F1052" i="1" s="1"/>
  <c r="G1053" i="6" l="1"/>
  <c r="F1054" i="6"/>
  <c r="H1053" i="6"/>
  <c r="F1053" i="1" s="1"/>
  <c r="C1053" i="6"/>
  <c r="H1054" i="6" l="1"/>
  <c r="F1054" i="1" s="1"/>
  <c r="F1055" i="6"/>
  <c r="G1054" i="6"/>
  <c r="C1054" i="6"/>
  <c r="C1055" i="6" l="1"/>
  <c r="H1055" i="6"/>
  <c r="F1055" i="1" s="1"/>
  <c r="F1056" i="6"/>
  <c r="G1055" i="6"/>
  <c r="G1056" i="6" l="1"/>
  <c r="H1056" i="6"/>
  <c r="F1056" i="1" s="1"/>
  <c r="F1057" i="6"/>
  <c r="C1056" i="6"/>
  <c r="C1057" i="6" l="1"/>
  <c r="H1057" i="6"/>
  <c r="F1057" i="1" s="1"/>
  <c r="F1058" i="6"/>
  <c r="G1057" i="6"/>
  <c r="G1058" i="6" l="1"/>
  <c r="F1059" i="6"/>
  <c r="H1058" i="6"/>
  <c r="F1058" i="1" s="1"/>
  <c r="C1058" i="6"/>
  <c r="C1059" i="6" l="1"/>
  <c r="F1060" i="6"/>
  <c r="G1059" i="6"/>
  <c r="H1059" i="6"/>
  <c r="F1059" i="1" s="1"/>
  <c r="G1060" i="6" l="1"/>
  <c r="C1060" i="6"/>
  <c r="F1061" i="6"/>
  <c r="H1060" i="6"/>
  <c r="F1060" i="1" s="1"/>
  <c r="C1061" i="6" l="1"/>
  <c r="F1062" i="6"/>
  <c r="H1061" i="6"/>
  <c r="F1061" i="1" s="1"/>
  <c r="G1061" i="6"/>
  <c r="F1063" i="6" l="1"/>
  <c r="C1062" i="6"/>
  <c r="H1062" i="6"/>
  <c r="F1062" i="1" s="1"/>
  <c r="G1062" i="6"/>
  <c r="C1063" i="6" l="1"/>
  <c r="H1063" i="6"/>
  <c r="F1063" i="1" s="1"/>
  <c r="G1063" i="6"/>
  <c r="F1064" i="6"/>
  <c r="C1064" i="6" l="1"/>
  <c r="F1065" i="6"/>
  <c r="H1064" i="6"/>
  <c r="F1064" i="1" s="1"/>
  <c r="G1064" i="6"/>
  <c r="G1065" i="6" l="1"/>
  <c r="F1066" i="6"/>
  <c r="H1065" i="6"/>
  <c r="F1065" i="1" s="1"/>
  <c r="C1065" i="6"/>
  <c r="F1067" i="6" l="1"/>
  <c r="C1066" i="6"/>
  <c r="G1066" i="6"/>
  <c r="H1066" i="6"/>
  <c r="F1066" i="1" s="1"/>
  <c r="H1067" i="6" l="1"/>
  <c r="F1067" i="1" s="1"/>
  <c r="C1067" i="6"/>
  <c r="G1067" i="6"/>
  <c r="F1068" i="6"/>
  <c r="C1068" i="6" l="1"/>
  <c r="G1068" i="6"/>
  <c r="F1069" i="6"/>
  <c r="H1068" i="6"/>
  <c r="F1068" i="1" s="1"/>
  <c r="H1069" i="6" l="1"/>
  <c r="F1069" i="1" s="1"/>
  <c r="F1070" i="6"/>
  <c r="C1069" i="6"/>
  <c r="G1069" i="6"/>
  <c r="G1070" i="6" l="1"/>
  <c r="F1071" i="6"/>
  <c r="H1070" i="6"/>
  <c r="F1070" i="1" s="1"/>
  <c r="C1070" i="6"/>
  <c r="G1071" i="6" l="1"/>
  <c r="F1072" i="6"/>
  <c r="C1071" i="6"/>
  <c r="H1071" i="6"/>
  <c r="F1071" i="1" s="1"/>
  <c r="H1072" i="6" l="1"/>
  <c r="F1072" i="1" s="1"/>
  <c r="G1072" i="6"/>
  <c r="C1072" i="6"/>
  <c r="F1073" i="6"/>
  <c r="H1073" i="6" l="1"/>
  <c r="F1073" i="1" s="1"/>
  <c r="G1073" i="6"/>
  <c r="C1073" i="6"/>
  <c r="F1074" i="6"/>
  <c r="C1074" i="6" l="1"/>
  <c r="F1075" i="6"/>
  <c r="H1074" i="6"/>
  <c r="F1074" i="1" s="1"/>
  <c r="G1074" i="6"/>
  <c r="H1075" i="6" l="1"/>
  <c r="F1075" i="1" s="1"/>
  <c r="C1075" i="6"/>
  <c r="G1075" i="6"/>
  <c r="F1076" i="6"/>
  <c r="G1076" i="6" l="1"/>
  <c r="C1076" i="6"/>
  <c r="H1076" i="6"/>
  <c r="F1076" i="1" s="1"/>
  <c r="F1077" i="6"/>
  <c r="G1077" i="6" l="1"/>
  <c r="C1077" i="6"/>
  <c r="F1078" i="6"/>
  <c r="H1077" i="6"/>
  <c r="F1077" i="1" s="1"/>
  <c r="C1078" i="6" l="1"/>
  <c r="G1078" i="6"/>
  <c r="F1079" i="6"/>
  <c r="H1078" i="6"/>
  <c r="F1078" i="1" s="1"/>
  <c r="G1079" i="6" l="1"/>
  <c r="F1080" i="6"/>
  <c r="H1079" i="6"/>
  <c r="F1079" i="1" s="1"/>
  <c r="C1079" i="6"/>
  <c r="F1081" i="6" l="1"/>
  <c r="H1080" i="6"/>
  <c r="F1080" i="1" s="1"/>
  <c r="G1080" i="6"/>
  <c r="C1080" i="6"/>
  <c r="F1082" i="6" l="1"/>
  <c r="G1081" i="6"/>
  <c r="C1081" i="6"/>
  <c r="H1081" i="6"/>
  <c r="F1081" i="1" s="1"/>
  <c r="F1083" i="6" l="1"/>
  <c r="G1082" i="6"/>
  <c r="H1082" i="6"/>
  <c r="F1082" i="1" s="1"/>
  <c r="C1082" i="6"/>
  <c r="C1083" i="6" l="1"/>
  <c r="F1084" i="6"/>
  <c r="H1083" i="6"/>
  <c r="F1083" i="1" s="1"/>
  <c r="G1083" i="6"/>
  <c r="G1084" i="6" l="1"/>
  <c r="H1084" i="6"/>
  <c r="F1084" i="1" s="1"/>
  <c r="F1085" i="6"/>
  <c r="C1084" i="6"/>
  <c r="H1085" i="6" l="1"/>
  <c r="F1085" i="1" s="1"/>
  <c r="F1086" i="6"/>
  <c r="C1085" i="6"/>
  <c r="G1085" i="6"/>
  <c r="C1086" i="6" l="1"/>
  <c r="F1087" i="6"/>
  <c r="H1086" i="6"/>
  <c r="F1086" i="1" s="1"/>
  <c r="G1086" i="6"/>
  <c r="H1087" i="6" l="1"/>
  <c r="F1087" i="1" s="1"/>
  <c r="G1087" i="6"/>
  <c r="F1088" i="6"/>
  <c r="C1087" i="6"/>
  <c r="C1088" i="6" l="1"/>
  <c r="G1088" i="6"/>
  <c r="H1088" i="6"/>
  <c r="F1088" i="1" s="1"/>
  <c r="F1089" i="6"/>
  <c r="C1089" i="6" l="1"/>
  <c r="H1089" i="6"/>
  <c r="F1089" i="1" s="1"/>
  <c r="G1089" i="6"/>
  <c r="F1090" i="6"/>
  <c r="F1091" i="6" l="1"/>
  <c r="G1090" i="6"/>
  <c r="C1090" i="6"/>
  <c r="H1090" i="6"/>
  <c r="F1090" i="1" s="1"/>
  <c r="F1092" i="6" l="1"/>
  <c r="H1091" i="6"/>
  <c r="F1091" i="1" s="1"/>
  <c r="G1091" i="6"/>
  <c r="C1091" i="6"/>
  <c r="C1092" i="6" l="1"/>
  <c r="H1092" i="6"/>
  <c r="F1092" i="1" s="1"/>
  <c r="G1092" i="6"/>
  <c r="F1093" i="6"/>
  <c r="H1093" i="6" l="1"/>
  <c r="F1093" i="1" s="1"/>
  <c r="C1093" i="6"/>
  <c r="F1094" i="6"/>
  <c r="G1093" i="6"/>
  <c r="G1094" i="6" l="1"/>
  <c r="F1095" i="6"/>
  <c r="H1094" i="6"/>
  <c r="F1094" i="1" s="1"/>
  <c r="C1094" i="6"/>
  <c r="H1095" i="6" l="1"/>
  <c r="F1095" i="1" s="1"/>
  <c r="F1096" i="6"/>
  <c r="G1095" i="6"/>
  <c r="C1095" i="6"/>
  <c r="G1096" i="6" l="1"/>
  <c r="F1097" i="6"/>
  <c r="H1096" i="6"/>
  <c r="F1096" i="1" s="1"/>
  <c r="C1096" i="6"/>
  <c r="H1097" i="6" l="1"/>
  <c r="F1097" i="1" s="1"/>
  <c r="F1098" i="6"/>
  <c r="C1097" i="6"/>
  <c r="G1097" i="6"/>
  <c r="F1099" i="6" l="1"/>
  <c r="C1098" i="6"/>
  <c r="H1098" i="6"/>
  <c r="F1098" i="1" s="1"/>
  <c r="G1098" i="6"/>
  <c r="G1099" i="6" l="1"/>
  <c r="F1100" i="6"/>
  <c r="C1099" i="6"/>
  <c r="H1099" i="6"/>
  <c r="F1099" i="1" s="1"/>
  <c r="C1100" i="6" l="1"/>
  <c r="H1100" i="6"/>
  <c r="F1100" i="1" s="1"/>
  <c r="F1101" i="6"/>
  <c r="G1100" i="6"/>
  <c r="C1101" i="6" l="1"/>
  <c r="G1101" i="6"/>
  <c r="H1101" i="6"/>
  <c r="F1101" i="1" s="1"/>
  <c r="F1102" i="6"/>
  <c r="H1102" i="6" l="1"/>
  <c r="F1102" i="1" s="1"/>
  <c r="F1103" i="6"/>
  <c r="G1102" i="6"/>
  <c r="C1102" i="6"/>
  <c r="C1103" i="6" l="1"/>
  <c r="F1104" i="6"/>
  <c r="G1103" i="6"/>
  <c r="H1103" i="6"/>
  <c r="F1103" i="1" s="1"/>
  <c r="G1104" i="6" l="1"/>
  <c r="C1104" i="6"/>
  <c r="H1104" i="6"/>
  <c r="F1104" i="1" s="1"/>
  <c r="F1105" i="6"/>
  <c r="G1105" i="6" l="1"/>
  <c r="C1105" i="6"/>
  <c r="F1106" i="6"/>
  <c r="H1105" i="6"/>
  <c r="F1105" i="1" s="1"/>
  <c r="G1106" i="6" l="1"/>
  <c r="C1106" i="6"/>
  <c r="F1107" i="6"/>
  <c r="H1106" i="6"/>
  <c r="F1106" i="1" s="1"/>
  <c r="H1107" i="6" l="1"/>
  <c r="F1107" i="1" s="1"/>
  <c r="C1107" i="6"/>
  <c r="G1107" i="6"/>
  <c r="F1108" i="6"/>
  <c r="H1108" i="6" l="1"/>
  <c r="F1108" i="1" s="1"/>
  <c r="F1109" i="6"/>
  <c r="C1108" i="6"/>
  <c r="G1108" i="6"/>
  <c r="F1110" i="6" l="1"/>
  <c r="H1109" i="6"/>
  <c r="F1109" i="1" s="1"/>
  <c r="C1109" i="6"/>
  <c r="G1109" i="6"/>
  <c r="F1111" i="6" l="1"/>
  <c r="C1110" i="6"/>
  <c r="G1110" i="6"/>
  <c r="H1110" i="6"/>
  <c r="F1110" i="1" s="1"/>
  <c r="F1112" i="6" l="1"/>
  <c r="H1111" i="6"/>
  <c r="F1111" i="1" s="1"/>
  <c r="G1111" i="6"/>
  <c r="C1111" i="6"/>
  <c r="F1113" i="6" l="1"/>
  <c r="H1112" i="6"/>
  <c r="F1112" i="1" s="1"/>
  <c r="C1112" i="6"/>
  <c r="G1112" i="6"/>
  <c r="H1113" i="6" l="1"/>
  <c r="F1113" i="1" s="1"/>
  <c r="G1113" i="6"/>
  <c r="C1113" i="6"/>
  <c r="F1114" i="6"/>
  <c r="H1114" i="6" l="1"/>
  <c r="F1114" i="1" s="1"/>
  <c r="F1115" i="6"/>
  <c r="G1114" i="6"/>
  <c r="C1114" i="6"/>
  <c r="C1115" i="6" l="1"/>
  <c r="H1115" i="6"/>
  <c r="F1115" i="1" s="1"/>
  <c r="G1115" i="6"/>
  <c r="F1116" i="6"/>
  <c r="C1116" i="6" l="1"/>
  <c r="G1116" i="6"/>
  <c r="F1117" i="6"/>
  <c r="H1116" i="6"/>
  <c r="F1116" i="1" s="1"/>
  <c r="C1117" i="6" l="1"/>
  <c r="F1118" i="6"/>
  <c r="G1117" i="6"/>
  <c r="H1117" i="6"/>
  <c r="F1117" i="1" s="1"/>
  <c r="H1118" i="6" l="1"/>
  <c r="F1118" i="1" s="1"/>
  <c r="F1119" i="6"/>
  <c r="C1118" i="6"/>
  <c r="G1118" i="6"/>
  <c r="G1119" i="6" l="1"/>
  <c r="F1120" i="6"/>
  <c r="H1119" i="6"/>
  <c r="F1119" i="1" s="1"/>
  <c r="C1119" i="6"/>
  <c r="F1121" i="6" l="1"/>
  <c r="G1120" i="6"/>
  <c r="H1120" i="6"/>
  <c r="F1120" i="1" s="1"/>
  <c r="C1120" i="6"/>
  <c r="C1121" i="6" l="1"/>
  <c r="F1122" i="6"/>
  <c r="H1121" i="6"/>
  <c r="F1121" i="1" s="1"/>
  <c r="G1121" i="6"/>
  <c r="H1122" i="6" l="1"/>
  <c r="F1122" i="1" s="1"/>
  <c r="F1123" i="6"/>
  <c r="C1122" i="6"/>
  <c r="G1122" i="6"/>
  <c r="F1124" i="6" l="1"/>
  <c r="C1123" i="6"/>
  <c r="H1123" i="6"/>
  <c r="F1123" i="1" s="1"/>
  <c r="G1123" i="6"/>
  <c r="H1124" i="6" l="1"/>
  <c r="F1124" i="1" s="1"/>
  <c r="G1124" i="6"/>
  <c r="C1124" i="6"/>
  <c r="F1125" i="6"/>
  <c r="H1125" i="6" l="1"/>
  <c r="F1125" i="1" s="1"/>
  <c r="F1126" i="6"/>
  <c r="C1125" i="6"/>
  <c r="G1125" i="6"/>
  <c r="G1126" i="6" l="1"/>
  <c r="F1127" i="6"/>
  <c r="H1126" i="6"/>
  <c r="F1126" i="1" s="1"/>
  <c r="C1126" i="6"/>
  <c r="G1127" i="6" l="1"/>
  <c r="H1127" i="6"/>
  <c r="F1127" i="1" s="1"/>
  <c r="C1127" i="6"/>
  <c r="F1128" i="6"/>
  <c r="G1128" i="6" l="1"/>
  <c r="C1128" i="6"/>
  <c r="F1129" i="6"/>
  <c r="H1128" i="6"/>
  <c r="F1128" i="1" s="1"/>
  <c r="C1129" i="6" l="1"/>
  <c r="F1130" i="6"/>
  <c r="G1129" i="6"/>
  <c r="H1129" i="6"/>
  <c r="F1129" i="1" s="1"/>
  <c r="H1130" i="6" l="1"/>
  <c r="F1130" i="1" s="1"/>
  <c r="F1131" i="6"/>
  <c r="C1130" i="6"/>
  <c r="G1130" i="6"/>
  <c r="G1131" i="6" l="1"/>
  <c r="C1131" i="6"/>
  <c r="H1131" i="6"/>
  <c r="F1131" i="1" s="1"/>
  <c r="F1132" i="6"/>
  <c r="C1132" i="6" l="1"/>
  <c r="H1132" i="6"/>
  <c r="F1132" i="1" s="1"/>
  <c r="G1132" i="6"/>
  <c r="F1133" i="6"/>
  <c r="C1133" i="6" l="1"/>
  <c r="H1133" i="6"/>
  <c r="F1133" i="1" s="1"/>
  <c r="G1133" i="6"/>
  <c r="F1134" i="6"/>
  <c r="H1134" i="6" l="1"/>
  <c r="F1134" i="1" s="1"/>
  <c r="F1135" i="6"/>
  <c r="G1134" i="6"/>
  <c r="C1134" i="6"/>
  <c r="H1135" i="6" l="1"/>
  <c r="F1135" i="1" s="1"/>
  <c r="C1135" i="6"/>
  <c r="G1135" i="6"/>
  <c r="F1136" i="6"/>
  <c r="H1136" i="6" l="1"/>
  <c r="F1136" i="1" s="1"/>
  <c r="F1137" i="6"/>
  <c r="G1136" i="6"/>
  <c r="C1136" i="6"/>
  <c r="G1137" i="6" l="1"/>
  <c r="H1137" i="6"/>
  <c r="F1137" i="1" s="1"/>
  <c r="F1138" i="6"/>
  <c r="C1137" i="6"/>
  <c r="H1138" i="6" l="1"/>
  <c r="F1138" i="1" s="1"/>
  <c r="G1138" i="6"/>
  <c r="F1139" i="6"/>
  <c r="C1138" i="6"/>
  <c r="G1139" i="6" l="1"/>
  <c r="C1139" i="6"/>
  <c r="H1139" i="6"/>
  <c r="F1139" i="1" s="1"/>
  <c r="F1140" i="6"/>
  <c r="G1140" i="6" l="1"/>
  <c r="C1140" i="6"/>
  <c r="H1140" i="6"/>
  <c r="F1140" i="1" s="1"/>
  <c r="F1141" i="6"/>
  <c r="C1141" i="6" l="1"/>
  <c r="G1141" i="6"/>
  <c r="F1142" i="6"/>
  <c r="H1141" i="6"/>
  <c r="F1141" i="1" s="1"/>
  <c r="F1143" i="6" l="1"/>
  <c r="H1142" i="6"/>
  <c r="F1142" i="1" s="1"/>
  <c r="C1142" i="6"/>
  <c r="G1142" i="6"/>
  <c r="C1143" i="6" l="1"/>
  <c r="G1143" i="6"/>
  <c r="F1144" i="6"/>
  <c r="H1143" i="6"/>
  <c r="F1143" i="1" s="1"/>
  <c r="H1144" i="6" l="1"/>
  <c r="F1144" i="1" s="1"/>
  <c r="G1144" i="6"/>
  <c r="F1145" i="6"/>
  <c r="C1144" i="6"/>
  <c r="C1145" i="6" l="1"/>
  <c r="F1146" i="6"/>
  <c r="G1145" i="6"/>
  <c r="H1145" i="6"/>
  <c r="F1145" i="1" s="1"/>
  <c r="G1146" i="6" l="1"/>
  <c r="F1147" i="6"/>
  <c r="H1146" i="6"/>
  <c r="F1146" i="1" s="1"/>
  <c r="C1146" i="6"/>
  <c r="F1148" i="6" l="1"/>
  <c r="C1147" i="6"/>
  <c r="G1147" i="6"/>
  <c r="H1147" i="6"/>
  <c r="F1147" i="1" s="1"/>
  <c r="G1148" i="6" l="1"/>
  <c r="H1148" i="6"/>
  <c r="F1148" i="1" s="1"/>
  <c r="C1148" i="6"/>
  <c r="F1149" i="6"/>
  <c r="C1149" i="6" l="1"/>
  <c r="G1149" i="6"/>
  <c r="F1150" i="6"/>
  <c r="H1149" i="6"/>
  <c r="F1149" i="1" s="1"/>
  <c r="H1150" i="6" l="1"/>
  <c r="F1150" i="1" s="1"/>
  <c r="C1150" i="6"/>
  <c r="G1150" i="6"/>
  <c r="F1151" i="6"/>
  <c r="H1151" i="6" l="1"/>
  <c r="F1151" i="1" s="1"/>
  <c r="C1151" i="6"/>
  <c r="F1152" i="6"/>
  <c r="G1151" i="6"/>
  <c r="C1152" i="6" l="1"/>
  <c r="F1153" i="6"/>
  <c r="G1152" i="6"/>
  <c r="H1152" i="6"/>
  <c r="F1152" i="1" s="1"/>
  <c r="F1154" i="6" l="1"/>
  <c r="C1153" i="6"/>
  <c r="H1153" i="6"/>
  <c r="F1153" i="1" s="1"/>
  <c r="G1153" i="6"/>
  <c r="G1154" i="6" l="1"/>
  <c r="F1155" i="6"/>
  <c r="C1154" i="6"/>
  <c r="H1154" i="6"/>
  <c r="F1154" i="1" s="1"/>
  <c r="C1155" i="6" l="1"/>
  <c r="H1155" i="6"/>
  <c r="F1155" i="1" s="1"/>
  <c r="G1155" i="6"/>
  <c r="F1156" i="6"/>
  <c r="C1156" i="6" l="1"/>
  <c r="H1156" i="6"/>
  <c r="F1156" i="1" s="1"/>
  <c r="G1156" i="6"/>
  <c r="F1157" i="6"/>
  <c r="F1158" i="6" l="1"/>
  <c r="C1157" i="6"/>
  <c r="G1157" i="6"/>
  <c r="H1157" i="6"/>
  <c r="F1157" i="1" s="1"/>
  <c r="G1158" i="6" l="1"/>
  <c r="C1158" i="6"/>
  <c r="H1158" i="6"/>
  <c r="F1158" i="1" s="1"/>
  <c r="F1159" i="6"/>
  <c r="F1160" i="6" l="1"/>
  <c r="G1159" i="6"/>
  <c r="H1159" i="6"/>
  <c r="F1159" i="1" s="1"/>
  <c r="C1159" i="6"/>
  <c r="G1160" i="6" l="1"/>
  <c r="F1161" i="6"/>
  <c r="H1160" i="6"/>
  <c r="F1160" i="1" s="1"/>
  <c r="C1160" i="6"/>
  <c r="F1162" i="6" l="1"/>
  <c r="G1161" i="6"/>
  <c r="H1161" i="6"/>
  <c r="F1161" i="1" s="1"/>
  <c r="C1161" i="6"/>
  <c r="G1162" i="6" l="1"/>
  <c r="C1162" i="6"/>
  <c r="H1162" i="6"/>
  <c r="F1162" i="1" s="1"/>
  <c r="F1163" i="6"/>
  <c r="H1163" i="6" l="1"/>
  <c r="F1163" i="1" s="1"/>
  <c r="F1164" i="6"/>
  <c r="C1163" i="6"/>
  <c r="G1163" i="6"/>
  <c r="F1165" i="6" l="1"/>
  <c r="C1164" i="6"/>
  <c r="H1164" i="6"/>
  <c r="F1164" i="1" s="1"/>
  <c r="G1164" i="6"/>
  <c r="C1165" i="6" l="1"/>
  <c r="G1165" i="6"/>
  <c r="H1165" i="6"/>
  <c r="F1165" i="1" s="1"/>
  <c r="F1166" i="6"/>
  <c r="C1166" i="6" l="1"/>
  <c r="G1166" i="6"/>
  <c r="F1167" i="6"/>
  <c r="H1166" i="6"/>
  <c r="F1166" i="1" s="1"/>
  <c r="F1168" i="6" l="1"/>
  <c r="C1167" i="6"/>
  <c r="G1167" i="6"/>
  <c r="H1167" i="6"/>
  <c r="F1167" i="1" s="1"/>
  <c r="C1168" i="6" l="1"/>
  <c r="G1168" i="6"/>
  <c r="F1169" i="6"/>
  <c r="H1168" i="6"/>
  <c r="F1168" i="1" s="1"/>
  <c r="H1169" i="6" l="1"/>
  <c r="F1169" i="1" s="1"/>
  <c r="C1169" i="6"/>
  <c r="G1169" i="6"/>
  <c r="F1170" i="6"/>
  <c r="G1170" i="6" l="1"/>
  <c r="H1170" i="6"/>
  <c r="F1170" i="1" s="1"/>
  <c r="F1171" i="6"/>
  <c r="C1170" i="6"/>
  <c r="C1171" i="6" l="1"/>
  <c r="G1171" i="6"/>
  <c r="F1172" i="6"/>
  <c r="H1171" i="6"/>
  <c r="F1171" i="1" s="1"/>
  <c r="H1172" i="6" l="1"/>
  <c r="F1172" i="1" s="1"/>
  <c r="C1172" i="6"/>
  <c r="G1172" i="6"/>
  <c r="F1173" i="6"/>
  <c r="C1173" i="6" l="1"/>
  <c r="G1173" i="6"/>
  <c r="H1173" i="6"/>
  <c r="F1173" i="1" s="1"/>
  <c r="F1174" i="6"/>
  <c r="H1174" i="6" l="1"/>
  <c r="F1174" i="1" s="1"/>
  <c r="F1175" i="6"/>
  <c r="C1174" i="6"/>
  <c r="G1174" i="6"/>
  <c r="H1175" i="6" l="1"/>
  <c r="F1175" i="1" s="1"/>
  <c r="G1175" i="6"/>
  <c r="F1176" i="6"/>
  <c r="C1175" i="6"/>
  <c r="H1176" i="6" l="1"/>
  <c r="F1176" i="1" s="1"/>
  <c r="F1177" i="6"/>
  <c r="C1176" i="6"/>
  <c r="G1176" i="6"/>
  <c r="C1177" i="6" l="1"/>
  <c r="H1177" i="6"/>
  <c r="F1177" i="1" s="1"/>
  <c r="F1178" i="6"/>
  <c r="G1177" i="6"/>
  <c r="H1178" i="6" l="1"/>
  <c r="F1178" i="1" s="1"/>
  <c r="F1179" i="6"/>
  <c r="G1178" i="6"/>
  <c r="C1178" i="6"/>
  <c r="H1179" i="6" l="1"/>
  <c r="F1179" i="1" s="1"/>
  <c r="C1179" i="6"/>
  <c r="F1180" i="6"/>
  <c r="G1179" i="6"/>
  <c r="F1181" i="6" l="1"/>
  <c r="C1180" i="6"/>
  <c r="H1180" i="6"/>
  <c r="F1180" i="1" s="1"/>
  <c r="G1180" i="6"/>
  <c r="G1181" i="6" l="1"/>
  <c r="C1181" i="6"/>
  <c r="H1181" i="6"/>
  <c r="F1181" i="1" s="1"/>
  <c r="F1182" i="6"/>
  <c r="C1182" i="6" l="1"/>
  <c r="F1183" i="6"/>
  <c r="H1182" i="6"/>
  <c r="F1182" i="1" s="1"/>
  <c r="G1182" i="6"/>
  <c r="C1183" i="6" l="1"/>
  <c r="G1183" i="6"/>
  <c r="H1183" i="6"/>
  <c r="F1183" i="1" s="1"/>
  <c r="F1184" i="6"/>
  <c r="C1184" i="6" l="1"/>
  <c r="F1185" i="6"/>
  <c r="H1184" i="6"/>
  <c r="F1184" i="1" s="1"/>
  <c r="G1184" i="6"/>
  <c r="C1185" i="6" l="1"/>
  <c r="G1185" i="6"/>
  <c r="F1186" i="6"/>
  <c r="H1185" i="6"/>
  <c r="F1185" i="1" s="1"/>
  <c r="H1186" i="6" l="1"/>
  <c r="F1186" i="1" s="1"/>
  <c r="C1186" i="6"/>
  <c r="G1186" i="6"/>
  <c r="F1187" i="6"/>
  <c r="C1187" i="6" l="1"/>
  <c r="G1187" i="6"/>
  <c r="F1188" i="6"/>
  <c r="H1187" i="6"/>
  <c r="F1187" i="1" s="1"/>
  <c r="G1188" i="6" l="1"/>
  <c r="C1188" i="6"/>
  <c r="F1189" i="6"/>
  <c r="H1188" i="6"/>
  <c r="F1188" i="1" s="1"/>
  <c r="G1189" i="6" l="1"/>
  <c r="F1190" i="6"/>
  <c r="H1189" i="6"/>
  <c r="F1189" i="1" s="1"/>
  <c r="C1189" i="6"/>
  <c r="C1190" i="6" l="1"/>
  <c r="H1190" i="6"/>
  <c r="F1190" i="1" s="1"/>
  <c r="F1191" i="6"/>
  <c r="G1190" i="6"/>
  <c r="C1191" i="6" l="1"/>
  <c r="G1191" i="6"/>
  <c r="F1192" i="6"/>
  <c r="H1191" i="6"/>
  <c r="F1191" i="1" s="1"/>
  <c r="C1192" i="6" l="1"/>
  <c r="F1193" i="6"/>
  <c r="G1192" i="6"/>
  <c r="H1192" i="6"/>
  <c r="F1192" i="1" s="1"/>
  <c r="G1193" i="6" l="1"/>
  <c r="H1193" i="6"/>
  <c r="F1193" i="1" s="1"/>
  <c r="C1193" i="6"/>
  <c r="F1194" i="6"/>
  <c r="C1194" i="6" l="1"/>
  <c r="G1194" i="6"/>
  <c r="H1194" i="6"/>
  <c r="F1194" i="1" s="1"/>
  <c r="F1195" i="6"/>
  <c r="H1195" i="6" l="1"/>
  <c r="F1195" i="1" s="1"/>
  <c r="G1195" i="6"/>
  <c r="C1195" i="6"/>
  <c r="F1196" i="6"/>
  <c r="F1197" i="6" l="1"/>
  <c r="C1196" i="6"/>
  <c r="H1196" i="6"/>
  <c r="F1196" i="1" s="1"/>
  <c r="G1196" i="6"/>
  <c r="C1197" i="6" l="1"/>
  <c r="G1197" i="6"/>
  <c r="F1198" i="6"/>
  <c r="H1197" i="6"/>
  <c r="F1197" i="1" s="1"/>
  <c r="F1199" i="6" l="1"/>
  <c r="C1198" i="6"/>
  <c r="G1198" i="6"/>
  <c r="H1198" i="6"/>
  <c r="F1198" i="1" s="1"/>
  <c r="C1199" i="6" l="1"/>
  <c r="H1199" i="6"/>
  <c r="F1199" i="1" s="1"/>
  <c r="G1199" i="6"/>
  <c r="F1200" i="6"/>
  <c r="F1201" i="6" l="1"/>
  <c r="C1200" i="6"/>
  <c r="G1200" i="6"/>
  <c r="H1200" i="6"/>
  <c r="F1200" i="1" s="1"/>
  <c r="G1201" i="6" l="1"/>
  <c r="F1202" i="6"/>
  <c r="H1201" i="6"/>
  <c r="F1201" i="1" s="1"/>
  <c r="C1201" i="6"/>
  <c r="F1203" i="6" l="1"/>
  <c r="G1202" i="6"/>
  <c r="C1202" i="6"/>
  <c r="H1202" i="6"/>
  <c r="F1202" i="1" s="1"/>
  <c r="G1203" i="6" l="1"/>
  <c r="C1203" i="6"/>
  <c r="F1204" i="6"/>
  <c r="H1203" i="6"/>
  <c r="F1203" i="1" s="1"/>
  <c r="G1204" i="6" l="1"/>
  <c r="C1204" i="6"/>
  <c r="F1205" i="6"/>
  <c r="H1204" i="6"/>
  <c r="F1204" i="1" s="1"/>
  <c r="C1205" i="6" l="1"/>
  <c r="G1205" i="6"/>
  <c r="H1205" i="6"/>
  <c r="F1205" i="1" s="1"/>
  <c r="F1206" i="6"/>
  <c r="H1206" i="6" l="1"/>
  <c r="F1206" i="1" s="1"/>
  <c r="F1207" i="6"/>
  <c r="C1206" i="6"/>
  <c r="G1206" i="6"/>
  <c r="G1207" i="6" l="1"/>
  <c r="H1207" i="6"/>
  <c r="F1207" i="1" s="1"/>
  <c r="C1207" i="6"/>
  <c r="F1208" i="6"/>
  <c r="C1208" i="6" l="1"/>
  <c r="G1208" i="6"/>
  <c r="F1209" i="6"/>
  <c r="H1208" i="6"/>
  <c r="F1208" i="1" s="1"/>
  <c r="F1210" i="6" l="1"/>
  <c r="H1209" i="6"/>
  <c r="F1209" i="1" s="1"/>
  <c r="G1209" i="6"/>
  <c r="C1209" i="6"/>
  <c r="G1210" i="6" l="1"/>
  <c r="H1210" i="6"/>
  <c r="F1210" i="1" s="1"/>
  <c r="C1210" i="6"/>
  <c r="F1211" i="6"/>
  <c r="G1211" i="6" l="1"/>
  <c r="C1211" i="6"/>
  <c r="F1212" i="6"/>
  <c r="H1211" i="6"/>
  <c r="F1211" i="1" s="1"/>
  <c r="G1212" i="6" l="1"/>
  <c r="H1212" i="6"/>
  <c r="F1212" i="1" s="1"/>
  <c r="F1213" i="6"/>
  <c r="C1212" i="6"/>
  <c r="H1213" i="6" l="1"/>
  <c r="F1213" i="1" s="1"/>
  <c r="F1214" i="6"/>
  <c r="G1213" i="6"/>
  <c r="C1213" i="6"/>
  <c r="G1214" i="6" l="1"/>
  <c r="H1214" i="6"/>
  <c r="F1214" i="1" s="1"/>
  <c r="F1215" i="6"/>
  <c r="C1214" i="6"/>
  <c r="G1215" i="6" l="1"/>
  <c r="H1215" i="6"/>
  <c r="F1215" i="1" s="1"/>
  <c r="C1215" i="6"/>
  <c r="F1216" i="6"/>
  <c r="H1216" i="6" l="1"/>
  <c r="F1216" i="1" s="1"/>
  <c r="C1216" i="6"/>
  <c r="G1216" i="6"/>
  <c r="F1217" i="6"/>
  <c r="C1217" i="6" l="1"/>
  <c r="G1217" i="6"/>
  <c r="H1217" i="6"/>
  <c r="F1217" i="1" s="1"/>
  <c r="F1218" i="6"/>
  <c r="C1218" i="6" l="1"/>
  <c r="H1218" i="6"/>
  <c r="F1218" i="1" s="1"/>
  <c r="G1218" i="6"/>
  <c r="F1219" i="6"/>
  <c r="C1219" i="6" l="1"/>
  <c r="F1220" i="6"/>
  <c r="G1219" i="6"/>
  <c r="H1219" i="6"/>
  <c r="F1219" i="1" s="1"/>
  <c r="G1220" i="6" l="1"/>
  <c r="C1220" i="6"/>
  <c r="F1221" i="6"/>
  <c r="H1220" i="6"/>
  <c r="F1220" i="1" s="1"/>
  <c r="C1221" i="6" l="1"/>
  <c r="F1222" i="6"/>
  <c r="H1221" i="6"/>
  <c r="F1221" i="1" s="1"/>
  <c r="G1221" i="6"/>
  <c r="F1223" i="6" l="1"/>
  <c r="C1222" i="6"/>
  <c r="G1222" i="6"/>
  <c r="H1222" i="6"/>
  <c r="F1222" i="1" s="1"/>
  <c r="H1223" i="6" l="1"/>
  <c r="F1223" i="1" s="1"/>
  <c r="F1224" i="6"/>
  <c r="C1223" i="6"/>
  <c r="G1223" i="6"/>
  <c r="G1224" i="6" l="1"/>
  <c r="C1224" i="6"/>
  <c r="H1224" i="6"/>
  <c r="F1224" i="1" s="1"/>
  <c r="F1225" i="6"/>
  <c r="H1225" i="6" l="1"/>
  <c r="F1225" i="1" s="1"/>
  <c r="G1225" i="6"/>
  <c r="F1226" i="6"/>
  <c r="C1225" i="6"/>
  <c r="F1227" i="6" l="1"/>
  <c r="H1226" i="6"/>
  <c r="F1226" i="1" s="1"/>
  <c r="C1226" i="6"/>
  <c r="G1226" i="6"/>
  <c r="F1228" i="6" l="1"/>
  <c r="C1227" i="6"/>
  <c r="H1227" i="6"/>
  <c r="F1227" i="1" s="1"/>
  <c r="G1227" i="6"/>
  <c r="F1229" i="6" l="1"/>
  <c r="H1228" i="6"/>
  <c r="F1228" i="1" s="1"/>
  <c r="G1228" i="6"/>
  <c r="C1228" i="6"/>
  <c r="G1229" i="6" l="1"/>
  <c r="C1229" i="6"/>
  <c r="H1229" i="6"/>
  <c r="F1229" i="1" s="1"/>
  <c r="F1230" i="6"/>
  <c r="G1230" i="6" l="1"/>
  <c r="H1230" i="6"/>
  <c r="F1230" i="1" s="1"/>
  <c r="C1230" i="6"/>
  <c r="F1231" i="6"/>
  <c r="H1231" i="6" l="1"/>
  <c r="F1231" i="1" s="1"/>
  <c r="G1231" i="6"/>
  <c r="C1231" i="6"/>
  <c r="F1232" i="6"/>
  <c r="G1232" i="6" l="1"/>
  <c r="H1232" i="6"/>
  <c r="F1232" i="1" s="1"/>
  <c r="F1233" i="6"/>
  <c r="C1232" i="6"/>
  <c r="F1234" i="6" l="1"/>
  <c r="H1233" i="6"/>
  <c r="F1233" i="1" s="1"/>
  <c r="C1233" i="6"/>
  <c r="G1233" i="6"/>
  <c r="C1234" i="6" l="1"/>
  <c r="H1234" i="6"/>
  <c r="F1234" i="1" s="1"/>
  <c r="G1234" i="6"/>
  <c r="F1235" i="6"/>
  <c r="F1236" i="6" l="1"/>
  <c r="H1235" i="6"/>
  <c r="F1235" i="1" s="1"/>
  <c r="C1235" i="6"/>
  <c r="G1235" i="6"/>
  <c r="F1237" i="6" l="1"/>
  <c r="C1236" i="6"/>
  <c r="H1236" i="6"/>
  <c r="F1236" i="1" s="1"/>
  <c r="G1236" i="6"/>
  <c r="H1237" i="6" l="1"/>
  <c r="F1237" i="1" s="1"/>
  <c r="C1237" i="6"/>
  <c r="F1238" i="6"/>
  <c r="G1237" i="6"/>
  <c r="H1238" i="6" l="1"/>
  <c r="F1238" i="1" s="1"/>
  <c r="F1239" i="6"/>
  <c r="G1238" i="6"/>
  <c r="C1238" i="6"/>
  <c r="H1239" i="6" l="1"/>
  <c r="F1239" i="1" s="1"/>
  <c r="C1239" i="6"/>
  <c r="F1240" i="6"/>
  <c r="G1239" i="6"/>
  <c r="F1241" i="6" l="1"/>
  <c r="H1240" i="6"/>
  <c r="F1240" i="1" s="1"/>
  <c r="C1240" i="6"/>
  <c r="G1240" i="6"/>
  <c r="C1241" i="6" l="1"/>
  <c r="G1241" i="6"/>
  <c r="H1241" i="6"/>
  <c r="F1241" i="1" s="1"/>
  <c r="F1242" i="6"/>
  <c r="C1242" i="6" l="1"/>
  <c r="F1243" i="6"/>
  <c r="H1242" i="6"/>
  <c r="F1242" i="1" s="1"/>
  <c r="G1242" i="6"/>
  <c r="C1243" i="6" l="1"/>
  <c r="G1243" i="6"/>
  <c r="H1243" i="6"/>
  <c r="F1243" i="1" s="1"/>
  <c r="F1244" i="6"/>
  <c r="C1244" i="6" l="1"/>
  <c r="F1245" i="6"/>
  <c r="G1244" i="6"/>
  <c r="H1244" i="6"/>
  <c r="F1244" i="1" s="1"/>
  <c r="F1246" i="6" l="1"/>
  <c r="C1245" i="6"/>
  <c r="G1245" i="6"/>
  <c r="H1245" i="6"/>
  <c r="F1245" i="1" s="1"/>
  <c r="G1246" i="6" l="1"/>
  <c r="F1247" i="6"/>
  <c r="H1246" i="6"/>
  <c r="F1246" i="1" s="1"/>
  <c r="C1246" i="6"/>
  <c r="C1247" i="6" l="1"/>
  <c r="H1247" i="6"/>
  <c r="F1247" i="1" s="1"/>
  <c r="G1247" i="6"/>
  <c r="F1248" i="6"/>
  <c r="F1249" i="6" l="1"/>
  <c r="H1248" i="6"/>
  <c r="F1248" i="1" s="1"/>
  <c r="C1248" i="6"/>
  <c r="G1248" i="6"/>
  <c r="H1249" i="6" l="1"/>
  <c r="F1249" i="1" s="1"/>
  <c r="G1249" i="6"/>
  <c r="F1250" i="6"/>
  <c r="C1249" i="6"/>
  <c r="H1250" i="6" l="1"/>
  <c r="F1250" i="1" s="1"/>
  <c r="G1250" i="6"/>
  <c r="F1251" i="6"/>
  <c r="C1250" i="6"/>
  <c r="H1251" i="6" l="1"/>
  <c r="F1251" i="1" s="1"/>
  <c r="F1252" i="6"/>
  <c r="G1251" i="6"/>
  <c r="C1251" i="6"/>
  <c r="F1253" i="6" l="1"/>
  <c r="H1252" i="6"/>
  <c r="F1252" i="1" s="1"/>
  <c r="G1252" i="6"/>
  <c r="C1252" i="6"/>
  <c r="G1253" i="6" l="1"/>
  <c r="F1254" i="6"/>
  <c r="H1253" i="6"/>
  <c r="F1253" i="1" s="1"/>
  <c r="C1253" i="6"/>
  <c r="F1255" i="6" l="1"/>
  <c r="C1254" i="6"/>
  <c r="H1254" i="6"/>
  <c r="F1254" i="1" s="1"/>
  <c r="G1254" i="6"/>
  <c r="H1255" i="6" l="1"/>
  <c r="F1255" i="1" s="1"/>
  <c r="F1256" i="6"/>
  <c r="G1255" i="6"/>
  <c r="C1255" i="6"/>
  <c r="C1256" i="6" l="1"/>
  <c r="F1257" i="6"/>
  <c r="G1256" i="6"/>
  <c r="H1256" i="6"/>
  <c r="F1256" i="1" s="1"/>
  <c r="C1257" i="6" l="1"/>
  <c r="G1257" i="6"/>
  <c r="F1258" i="6"/>
  <c r="H1257" i="6"/>
  <c r="F1257" i="1" s="1"/>
  <c r="F1259" i="6" l="1"/>
  <c r="G1258" i="6"/>
  <c r="H1258" i="6"/>
  <c r="F1258" i="1" s="1"/>
  <c r="C1258" i="6"/>
  <c r="F1260" i="6" l="1"/>
  <c r="C1259" i="6"/>
  <c r="G1259" i="6"/>
  <c r="H1259" i="6"/>
  <c r="F1259" i="1" s="1"/>
  <c r="H1260" i="6" l="1"/>
  <c r="F1260" i="1" s="1"/>
  <c r="C1260" i="6"/>
  <c r="G1260" i="6"/>
  <c r="F1261" i="6"/>
  <c r="H1261" i="6" l="1"/>
  <c r="F1261" i="1" s="1"/>
  <c r="G1261" i="6"/>
  <c r="C1261" i="6"/>
  <c r="F1262" i="6"/>
  <c r="G1262" i="6" l="1"/>
  <c r="C1262" i="6"/>
  <c r="H1262" i="6"/>
  <c r="F1262" i="1" s="1"/>
  <c r="F1263" i="6"/>
  <c r="H1263" i="6" l="1"/>
  <c r="F1263" i="1" s="1"/>
  <c r="C1263" i="6"/>
  <c r="G1263" i="6"/>
  <c r="F1264" i="6"/>
  <c r="G1264" i="6" l="1"/>
  <c r="F1265" i="6"/>
  <c r="H1264" i="6"/>
  <c r="F1264" i="1" s="1"/>
  <c r="C1264" i="6"/>
  <c r="F1266" i="6" l="1"/>
  <c r="G1265" i="6"/>
  <c r="H1265" i="6"/>
  <c r="F1265" i="1" s="1"/>
  <c r="C1265" i="6"/>
  <c r="H1266" i="6" l="1"/>
  <c r="F1266" i="1" s="1"/>
  <c r="F1267" i="6"/>
  <c r="G1266" i="6"/>
  <c r="C1266" i="6"/>
  <c r="F1268" i="6" l="1"/>
  <c r="C1267" i="6"/>
  <c r="H1267" i="6"/>
  <c r="F1267" i="1" s="1"/>
  <c r="G1267" i="6"/>
  <c r="H1268" i="6" l="1"/>
  <c r="F1268" i="1" s="1"/>
  <c r="G1268" i="6"/>
  <c r="C1268" i="6"/>
  <c r="F1269" i="6"/>
  <c r="H1269" i="6" l="1"/>
  <c r="F1269" i="1" s="1"/>
  <c r="C1269" i="6"/>
  <c r="G1269" i="6"/>
  <c r="F1270" i="6"/>
  <c r="F1271" i="6" l="1"/>
  <c r="G1270" i="6"/>
  <c r="H1270" i="6"/>
  <c r="F1270" i="1" s="1"/>
  <c r="C1270" i="6"/>
  <c r="G1271" i="6" l="1"/>
  <c r="F1272" i="6"/>
  <c r="C1271" i="6"/>
  <c r="H1271" i="6"/>
  <c r="F1271" i="1" s="1"/>
  <c r="G1272" i="6" l="1"/>
  <c r="C1272" i="6"/>
  <c r="H1272" i="6"/>
  <c r="F1272" i="1" s="1"/>
  <c r="F1273" i="6"/>
  <c r="H1273" i="6" l="1"/>
  <c r="F1273" i="1" s="1"/>
  <c r="G1273" i="6"/>
  <c r="C1273" i="6"/>
  <c r="F1274" i="6"/>
  <c r="C1274" i="6" l="1"/>
  <c r="G1274" i="6"/>
  <c r="H1274" i="6"/>
  <c r="F1274" i="1" s="1"/>
  <c r="F1275" i="6"/>
  <c r="F1276" i="6" l="1"/>
  <c r="C1275" i="6"/>
  <c r="H1275" i="6"/>
  <c r="F1275" i="1" s="1"/>
  <c r="G1275" i="6"/>
  <c r="F1277" i="6" l="1"/>
  <c r="C1276" i="6"/>
  <c r="H1276" i="6"/>
  <c r="F1276" i="1" s="1"/>
  <c r="G1276" i="6"/>
  <c r="C1277" i="6" l="1"/>
  <c r="F1278" i="6"/>
  <c r="G1277" i="6"/>
  <c r="H1277" i="6"/>
  <c r="F1277" i="1" s="1"/>
  <c r="F1279" i="6" l="1"/>
  <c r="H1278" i="6"/>
  <c r="F1278" i="1" s="1"/>
  <c r="C1278" i="6"/>
  <c r="G1278" i="6"/>
  <c r="C1279" i="6" l="1"/>
  <c r="G1279" i="6"/>
  <c r="F1280" i="6"/>
  <c r="H1279" i="6"/>
  <c r="F1279" i="1" s="1"/>
  <c r="G1280" i="6" l="1"/>
  <c r="F1281" i="6"/>
  <c r="C1280" i="6"/>
  <c r="H1280" i="6"/>
  <c r="F1280" i="1" s="1"/>
  <c r="G1281" i="6" l="1"/>
  <c r="H1281" i="6"/>
  <c r="F1281" i="1" s="1"/>
  <c r="C1281" i="6"/>
  <c r="F1282" i="6"/>
  <c r="F1283" i="6" l="1"/>
  <c r="G1282" i="6"/>
  <c r="C1282" i="6"/>
  <c r="H1282" i="6"/>
  <c r="F1282" i="1" s="1"/>
  <c r="C1283" i="6" l="1"/>
  <c r="G1283" i="6"/>
  <c r="H1283" i="6"/>
  <c r="F1283" i="1" s="1"/>
  <c r="F1284" i="6"/>
  <c r="H1284" i="6" l="1"/>
  <c r="F1284" i="1" s="1"/>
  <c r="F1285" i="6"/>
  <c r="G1284" i="6"/>
  <c r="C1284" i="6"/>
  <c r="F1286" i="6" l="1"/>
  <c r="C1285" i="6"/>
  <c r="G1285" i="6"/>
  <c r="H1285" i="6"/>
  <c r="F1285" i="1" s="1"/>
  <c r="G1286" i="6" l="1"/>
  <c r="H1286" i="6"/>
  <c r="F1286" i="1" s="1"/>
  <c r="F1287" i="6"/>
  <c r="C1286" i="6"/>
  <c r="H1287" i="6" l="1"/>
  <c r="F1287" i="1" s="1"/>
  <c r="C1287" i="6"/>
  <c r="F1288" i="6"/>
  <c r="G1287" i="6"/>
  <c r="C1288" i="6" l="1"/>
  <c r="H1288" i="6"/>
  <c r="F1288" i="1" s="1"/>
  <c r="F1289" i="6"/>
  <c r="G1288" i="6"/>
  <c r="G1289" i="6" l="1"/>
  <c r="C1289" i="6"/>
  <c r="F1290" i="6"/>
  <c r="H1289" i="6"/>
  <c r="F1289" i="1" s="1"/>
  <c r="G1290" i="6" l="1"/>
  <c r="C1290" i="6"/>
  <c r="H1290" i="6"/>
  <c r="F1290" i="1" s="1"/>
  <c r="F1291" i="6"/>
  <c r="F1292" i="6" l="1"/>
  <c r="H1291" i="6"/>
  <c r="F1291" i="1" s="1"/>
  <c r="C1291" i="6"/>
  <c r="G1291" i="6"/>
  <c r="F1293" i="6" l="1"/>
  <c r="C1292" i="6"/>
  <c r="H1292" i="6"/>
  <c r="F1292" i="1" s="1"/>
  <c r="G1292" i="6"/>
  <c r="C1293" i="6" l="1"/>
  <c r="F1294" i="6"/>
  <c r="H1293" i="6"/>
  <c r="F1293" i="1" s="1"/>
  <c r="G1293" i="6"/>
  <c r="G1294" i="6" l="1"/>
  <c r="C1294" i="6"/>
  <c r="F1295" i="6"/>
  <c r="H1294" i="6"/>
  <c r="F1294" i="1" s="1"/>
  <c r="H1295" i="6" l="1"/>
  <c r="F1295" i="1" s="1"/>
  <c r="G1295" i="6"/>
  <c r="F1296" i="6"/>
  <c r="C1295" i="6"/>
  <c r="F1297" i="6" l="1"/>
  <c r="C1296" i="6"/>
  <c r="H1296" i="6"/>
  <c r="F1296" i="1" s="1"/>
  <c r="G1296" i="6"/>
  <c r="H1297" i="6" l="1"/>
  <c r="F1297" i="1" s="1"/>
  <c r="C1297" i="6"/>
  <c r="F1298" i="6"/>
  <c r="G1297" i="6"/>
  <c r="C1298" i="6" l="1"/>
  <c r="F1299" i="6"/>
  <c r="G1298" i="6"/>
  <c r="H1298" i="6"/>
  <c r="F1298" i="1" s="1"/>
  <c r="G1299" i="6" l="1"/>
  <c r="H1299" i="6"/>
  <c r="F1299" i="1" s="1"/>
  <c r="C1299" i="6"/>
  <c r="F1300" i="6"/>
  <c r="H1300" i="6" l="1"/>
  <c r="F1300" i="1" s="1"/>
  <c r="C1300" i="6"/>
  <c r="F1301" i="6"/>
  <c r="G1300" i="6"/>
  <c r="G1301" i="6" l="1"/>
  <c r="C1301" i="6"/>
  <c r="F1302" i="6"/>
  <c r="H1301" i="6"/>
  <c r="F1301" i="1" s="1"/>
  <c r="H1302" i="6" l="1"/>
  <c r="F1302" i="1" s="1"/>
  <c r="G1302" i="6"/>
  <c r="F1303" i="6"/>
  <c r="C1302" i="6"/>
  <c r="F1304" i="6" l="1"/>
  <c r="C1303" i="6"/>
  <c r="H1303" i="6"/>
  <c r="F1303" i="1" s="1"/>
  <c r="G1303" i="6"/>
  <c r="C1304" i="6" l="1"/>
  <c r="G1304" i="6"/>
  <c r="H1304" i="6"/>
  <c r="F1304" i="1" s="1"/>
  <c r="F1305" i="6"/>
  <c r="C1305" i="6" l="1"/>
  <c r="F1306" i="6"/>
  <c r="H1305" i="6"/>
  <c r="F1305" i="1" s="1"/>
  <c r="G1305" i="6"/>
  <c r="F1307" i="6" l="1"/>
  <c r="G1306" i="6"/>
  <c r="C1306" i="6"/>
  <c r="H1306" i="6"/>
  <c r="F1306" i="1" s="1"/>
  <c r="G1307" i="6" l="1"/>
  <c r="F1308" i="6"/>
  <c r="C1307" i="6"/>
  <c r="H1307" i="6"/>
  <c r="F1307" i="1" s="1"/>
  <c r="H1308" i="6" l="1"/>
  <c r="F1308" i="1" s="1"/>
  <c r="F1309" i="6"/>
  <c r="C1308" i="6"/>
  <c r="G1308" i="6"/>
  <c r="H1309" i="6" l="1"/>
  <c r="F1309" i="1" s="1"/>
  <c r="F1310" i="6"/>
  <c r="G1309" i="6"/>
  <c r="C1309" i="6"/>
  <c r="F1311" i="6" l="1"/>
  <c r="C1310" i="6"/>
  <c r="H1310" i="6"/>
  <c r="F1310" i="1" s="1"/>
  <c r="G1310" i="6"/>
  <c r="G1311" i="6" l="1"/>
  <c r="H1311" i="6"/>
  <c r="F1311" i="1" s="1"/>
  <c r="F1312" i="6"/>
  <c r="C1311" i="6"/>
  <c r="F1313" i="6" l="1"/>
  <c r="C1312" i="6"/>
  <c r="G1312" i="6"/>
  <c r="H1312" i="6"/>
  <c r="F1312" i="1" s="1"/>
  <c r="F1314" i="6" l="1"/>
  <c r="G1313" i="6"/>
  <c r="H1313" i="6"/>
  <c r="F1313" i="1" s="1"/>
  <c r="C1313" i="6"/>
  <c r="G1314" i="6" l="1"/>
  <c r="H1314" i="6"/>
  <c r="F1314" i="1" s="1"/>
  <c r="F1315" i="6"/>
  <c r="C1314" i="6"/>
  <c r="C1315" i="6" l="1"/>
  <c r="G1315" i="6"/>
  <c r="H1315" i="6"/>
  <c r="F1315" i="1" s="1"/>
  <c r="F1316" i="6"/>
  <c r="C1316" i="6" l="1"/>
  <c r="F1317" i="6"/>
  <c r="G1316" i="6"/>
  <c r="H1316" i="6"/>
  <c r="F1316" i="1" s="1"/>
  <c r="G1317" i="6" l="1"/>
  <c r="F1318" i="6"/>
  <c r="H1317" i="6"/>
  <c r="F1317" i="1" s="1"/>
  <c r="C1317" i="6"/>
  <c r="H1318" i="6" l="1"/>
  <c r="F1318" i="1" s="1"/>
  <c r="F1319" i="6"/>
  <c r="G1318" i="6"/>
  <c r="C1318" i="6"/>
  <c r="C1319" i="6" l="1"/>
  <c r="G1319" i="6"/>
  <c r="F1320" i="6"/>
  <c r="H1319" i="6"/>
  <c r="F1319" i="1" s="1"/>
  <c r="F1321" i="6" l="1"/>
  <c r="C1320" i="6"/>
  <c r="G1320" i="6"/>
  <c r="H1320" i="6"/>
  <c r="F1320" i="1" s="1"/>
  <c r="H1321" i="6" l="1"/>
  <c r="F1321" i="1" s="1"/>
  <c r="F1322" i="6"/>
  <c r="C1321" i="6"/>
  <c r="G1321" i="6"/>
  <c r="H1322" i="6" l="1"/>
  <c r="F1322" i="1" s="1"/>
  <c r="G1322" i="6"/>
  <c r="F1323" i="6"/>
  <c r="C1322" i="6"/>
  <c r="F1324" i="6" l="1"/>
  <c r="C1323" i="6"/>
  <c r="H1323" i="6"/>
  <c r="F1323" i="1" s="1"/>
  <c r="G1323" i="6"/>
  <c r="F1325" i="6" l="1"/>
  <c r="H1324" i="6"/>
  <c r="F1324" i="1" s="1"/>
  <c r="G1324" i="6"/>
  <c r="C1324" i="6"/>
  <c r="F1326" i="6" l="1"/>
  <c r="C1325" i="6"/>
  <c r="H1325" i="6"/>
  <c r="F1325" i="1" s="1"/>
  <c r="G1325" i="6"/>
  <c r="C1326" i="6" l="1"/>
  <c r="H1326" i="6"/>
  <c r="F1326" i="1" s="1"/>
  <c r="F1327" i="6"/>
  <c r="G1326" i="6"/>
  <c r="G1327" i="6" l="1"/>
  <c r="F1328" i="6"/>
  <c r="C1327" i="6"/>
  <c r="H1327" i="6"/>
  <c r="F1327" i="1" s="1"/>
  <c r="C1328" i="6" l="1"/>
  <c r="G1328" i="6"/>
  <c r="H1328" i="6"/>
  <c r="F1328" i="1" s="1"/>
  <c r="F1329" i="6"/>
  <c r="C1329" i="6" l="1"/>
  <c r="G1329" i="6"/>
  <c r="F1330" i="6"/>
  <c r="H1329" i="6"/>
  <c r="F1329" i="1" s="1"/>
  <c r="H1330" i="6" l="1"/>
  <c r="F1330" i="1" s="1"/>
  <c r="C1330" i="6"/>
  <c r="F1331" i="6"/>
  <c r="G1330" i="6"/>
  <c r="C1331" i="6" l="1"/>
  <c r="H1331" i="6"/>
  <c r="F1331" i="1" s="1"/>
  <c r="F1332" i="6"/>
  <c r="G1331" i="6"/>
  <c r="F1333" i="6" l="1"/>
  <c r="C1332" i="6"/>
  <c r="H1332" i="6"/>
  <c r="F1332" i="1" s="1"/>
  <c r="G1332" i="6"/>
  <c r="F1334" i="6" l="1"/>
  <c r="C1333" i="6"/>
  <c r="H1333" i="6"/>
  <c r="F1333" i="1" s="1"/>
  <c r="G1333" i="6"/>
  <c r="H1334" i="6" l="1"/>
  <c r="F1334" i="1" s="1"/>
  <c r="C1334" i="6"/>
  <c r="F1335" i="6"/>
  <c r="G1334" i="6"/>
  <c r="H1335" i="6" l="1"/>
  <c r="F1335" i="1" s="1"/>
  <c r="C1335" i="6"/>
  <c r="F1336" i="6"/>
  <c r="G1335" i="6"/>
  <c r="H1336" i="6" l="1"/>
  <c r="F1336" i="1" s="1"/>
  <c r="F1337" i="6"/>
  <c r="C1336" i="6"/>
  <c r="G1336" i="6"/>
  <c r="H1337" i="6" l="1"/>
  <c r="F1337" i="1" s="1"/>
  <c r="F1338" i="6"/>
  <c r="G1337" i="6"/>
  <c r="C1337" i="6"/>
  <c r="G1338" i="6" l="1"/>
  <c r="F1339" i="6"/>
  <c r="C1338" i="6"/>
  <c r="H1338" i="6"/>
  <c r="F1338" i="1" s="1"/>
  <c r="H1339" i="6" l="1"/>
  <c r="F1339" i="1" s="1"/>
  <c r="F1340" i="6"/>
  <c r="G1339" i="6"/>
  <c r="C1339" i="6"/>
  <c r="F1341" i="6" l="1"/>
  <c r="C1340" i="6"/>
  <c r="H1340" i="6"/>
  <c r="F1340" i="1" s="1"/>
  <c r="G1340" i="6"/>
  <c r="G1341" i="6" l="1"/>
  <c r="C1341" i="6"/>
  <c r="H1341" i="6"/>
  <c r="F1341" i="1" s="1"/>
  <c r="F1342" i="6"/>
  <c r="H1342" i="6" l="1"/>
  <c r="F1342" i="1" s="1"/>
  <c r="F1343" i="6"/>
  <c r="C1342" i="6"/>
  <c r="G1342" i="6"/>
  <c r="H1343" i="6" l="1"/>
  <c r="F1343" i="1" s="1"/>
  <c r="F1344" i="6"/>
  <c r="C1343" i="6"/>
  <c r="G1343" i="6"/>
  <c r="H1344" i="6" l="1"/>
  <c r="F1344" i="1" s="1"/>
  <c r="F1345" i="6"/>
  <c r="C1344" i="6"/>
  <c r="G1344" i="6"/>
  <c r="F1346" i="6" l="1"/>
  <c r="H1345" i="6"/>
  <c r="F1345" i="1" s="1"/>
  <c r="C1345" i="6"/>
  <c r="G1345" i="6"/>
  <c r="G1346" i="6" l="1"/>
  <c r="C1346" i="6"/>
  <c r="H1346" i="6"/>
  <c r="F1346" i="1" s="1"/>
  <c r="F1347" i="6"/>
  <c r="F1348" i="6" l="1"/>
  <c r="C1347" i="6"/>
  <c r="H1347" i="6"/>
  <c r="F1347" i="1" s="1"/>
  <c r="G1347" i="6"/>
  <c r="G1348" i="6" l="1"/>
  <c r="C1348" i="6"/>
  <c r="F1349" i="6"/>
  <c r="H1348" i="6"/>
  <c r="F1348" i="1" s="1"/>
  <c r="H1349" i="6" l="1"/>
  <c r="F1349" i="1" s="1"/>
  <c r="G1349" i="6"/>
  <c r="F1350" i="6"/>
  <c r="C1349" i="6"/>
  <c r="C1350" i="6" l="1"/>
  <c r="G1350" i="6"/>
  <c r="F1351" i="6"/>
  <c r="H1350" i="6"/>
  <c r="F1350" i="1" s="1"/>
  <c r="C1351" i="6" l="1"/>
  <c r="H1351" i="6"/>
  <c r="F1351" i="1" s="1"/>
  <c r="F1352" i="6"/>
  <c r="G1351" i="6"/>
  <c r="C1352" i="6" l="1"/>
  <c r="H1352" i="6"/>
  <c r="F1352" i="1" s="1"/>
  <c r="G1352" i="6"/>
  <c r="F1353" i="6"/>
  <c r="G1353" i="6" l="1"/>
  <c r="C1353" i="6"/>
  <c r="H1353" i="6"/>
  <c r="F1353" i="1" s="1"/>
  <c r="F1354" i="6"/>
  <c r="G1354" i="6" l="1"/>
  <c r="F1355" i="6"/>
  <c r="H1354" i="6"/>
  <c r="F1354" i="1" s="1"/>
  <c r="C1354" i="6"/>
  <c r="G1355" i="6" l="1"/>
  <c r="H1355" i="6"/>
  <c r="F1355" i="1" s="1"/>
  <c r="F1356" i="6"/>
  <c r="C1355" i="6"/>
  <c r="F1357" i="6" l="1"/>
  <c r="G1356" i="6"/>
  <c r="C1356" i="6"/>
  <c r="H1356" i="6"/>
  <c r="F1356" i="1" s="1"/>
  <c r="C1357" i="6" l="1"/>
  <c r="G1357" i="6"/>
  <c r="H1357" i="6"/>
  <c r="F1357" i="1" s="1"/>
  <c r="F1358" i="6"/>
  <c r="C1358" i="6" l="1"/>
  <c r="F1359" i="6"/>
  <c r="H1358" i="6"/>
  <c r="F1358" i="1" s="1"/>
  <c r="G1358" i="6"/>
  <c r="F1360" i="6" l="1"/>
  <c r="C1359" i="6"/>
  <c r="G1359" i="6"/>
  <c r="H1359" i="6"/>
  <c r="F1359" i="1" s="1"/>
  <c r="G1360" i="6" l="1"/>
  <c r="C1360" i="6"/>
  <c r="H1360" i="6"/>
  <c r="F1360" i="1" s="1"/>
  <c r="F1361" i="6"/>
  <c r="H1361" i="6" l="1"/>
  <c r="F1361" i="1" s="1"/>
  <c r="F1362" i="6"/>
  <c r="C1361" i="6"/>
  <c r="G1361" i="6"/>
  <c r="G1362" i="6" l="1"/>
  <c r="H1362" i="6"/>
  <c r="F1362" i="1" s="1"/>
  <c r="C1362" i="6"/>
  <c r="F1363" i="6"/>
  <c r="H1363" i="6" l="1"/>
  <c r="F1363" i="1" s="1"/>
  <c r="F1364" i="6"/>
  <c r="G1363" i="6"/>
  <c r="C1363" i="6"/>
  <c r="F1365" i="6" l="1"/>
  <c r="H1364" i="6"/>
  <c r="F1364" i="1" s="1"/>
  <c r="G1364" i="6"/>
  <c r="C1364" i="6"/>
  <c r="H1365" i="6" l="1"/>
  <c r="F1365" i="1" s="1"/>
  <c r="C1365" i="6"/>
  <c r="G1365" i="6"/>
  <c r="F1366" i="6"/>
  <c r="H1366" i="6" l="1"/>
  <c r="F1366" i="1" s="1"/>
  <c r="G1366" i="6"/>
  <c r="F1367" i="6"/>
  <c r="C1366" i="6"/>
  <c r="H1367" i="6" l="1"/>
  <c r="F1367" i="1" s="1"/>
  <c r="C1367" i="6"/>
  <c r="G1367" i="6"/>
  <c r="F1368" i="6"/>
  <c r="F1369" i="6" l="1"/>
  <c r="C1368" i="6"/>
  <c r="H1368" i="6"/>
  <c r="F1368" i="1" s="1"/>
  <c r="G1368" i="6"/>
  <c r="C1369" i="6" l="1"/>
  <c r="H1369" i="6"/>
  <c r="F1369" i="1" s="1"/>
  <c r="G1369" i="6"/>
  <c r="F1370" i="6"/>
  <c r="G1370" i="6" l="1"/>
  <c r="H1370" i="6"/>
  <c r="F1370" i="1" s="1"/>
  <c r="F1371" i="6"/>
  <c r="C1370" i="6"/>
  <c r="F1372" i="6" l="1"/>
  <c r="C1371" i="6"/>
  <c r="H1371" i="6"/>
  <c r="F1371" i="1" s="1"/>
  <c r="G1371" i="6"/>
  <c r="G1372" i="6" l="1"/>
  <c r="F1373" i="6"/>
  <c r="C1372" i="6"/>
  <c r="H1372" i="6"/>
  <c r="F1372" i="1" s="1"/>
  <c r="F1374" i="6" l="1"/>
  <c r="H1373" i="6"/>
  <c r="F1373" i="1" s="1"/>
  <c r="G1373" i="6"/>
  <c r="C1373" i="6"/>
  <c r="G1374" i="6" l="1"/>
  <c r="H1374" i="6"/>
  <c r="F1374" i="1" s="1"/>
  <c r="F1375" i="6"/>
  <c r="C1374" i="6"/>
  <c r="G1375" i="6" l="1"/>
  <c r="F1376" i="6"/>
  <c r="C1375" i="6"/>
  <c r="H1375" i="6"/>
  <c r="F1375" i="1" s="1"/>
  <c r="G1376" i="6" l="1"/>
  <c r="H1376" i="6"/>
  <c r="F1376" i="1" s="1"/>
  <c r="F1377" i="6"/>
  <c r="C1376" i="6"/>
  <c r="F1378" i="6" l="1"/>
  <c r="C1377" i="6"/>
  <c r="H1377" i="6"/>
  <c r="F1377" i="1" s="1"/>
  <c r="G1377" i="6"/>
  <c r="F1379" i="6" l="1"/>
  <c r="H1378" i="6"/>
  <c r="F1378" i="1" s="1"/>
  <c r="G1378" i="6"/>
  <c r="C1378" i="6"/>
  <c r="G1379" i="6" l="1"/>
  <c r="F1380" i="6"/>
  <c r="H1379" i="6"/>
  <c r="F1379" i="1" s="1"/>
  <c r="C1379" i="6"/>
  <c r="H1380" i="6" l="1"/>
  <c r="F1380" i="1" s="1"/>
  <c r="G1380" i="6"/>
  <c r="F1381" i="6"/>
  <c r="C1380" i="6"/>
  <c r="F1382" i="6" l="1"/>
  <c r="H1381" i="6"/>
  <c r="F1381" i="1" s="1"/>
  <c r="C1381" i="6"/>
  <c r="G1381" i="6"/>
  <c r="H1382" i="6" l="1"/>
  <c r="F1382" i="1" s="1"/>
  <c r="G1382" i="6"/>
  <c r="C1382" i="6"/>
  <c r="F1383" i="6"/>
  <c r="G1383" i="6" l="1"/>
  <c r="F1384" i="6"/>
  <c r="C1383" i="6"/>
  <c r="H1383" i="6"/>
  <c r="F1383" i="1" s="1"/>
  <c r="H1384" i="6" l="1"/>
  <c r="F1384" i="1" s="1"/>
  <c r="G1384" i="6"/>
  <c r="F1385" i="6"/>
  <c r="C1384" i="6"/>
  <c r="F1386" i="6" l="1"/>
  <c r="G1385" i="6"/>
  <c r="H1385" i="6"/>
  <c r="F1385" i="1" s="1"/>
  <c r="C1385" i="6"/>
  <c r="G1386" i="6" l="1"/>
  <c r="H1386" i="6"/>
  <c r="F1386" i="1" s="1"/>
  <c r="C1386" i="6"/>
  <c r="F1387" i="6"/>
  <c r="H1387" i="6" l="1"/>
  <c r="F1387" i="1" s="1"/>
  <c r="G1387" i="6"/>
  <c r="C1387" i="6"/>
  <c r="F1388" i="6"/>
  <c r="C1388" i="6" l="1"/>
  <c r="H1388" i="6"/>
  <c r="F1388" i="1" s="1"/>
  <c r="G1388" i="6"/>
  <c r="F1389" i="6"/>
  <c r="H1389" i="6" l="1"/>
  <c r="F1389" i="1" s="1"/>
  <c r="G1389" i="6"/>
  <c r="C1389" i="6"/>
  <c r="F1390" i="6"/>
  <c r="G1390" i="6" l="1"/>
  <c r="C1390" i="6"/>
  <c r="H1390" i="6"/>
  <c r="F1390" i="1" s="1"/>
  <c r="F1391" i="6"/>
  <c r="C1391" i="6" l="1"/>
  <c r="F1392" i="6"/>
  <c r="H1391" i="6"/>
  <c r="F1391" i="1" s="1"/>
  <c r="G1391" i="6"/>
  <c r="F1393" i="6" l="1"/>
  <c r="C1392" i="6"/>
  <c r="H1392" i="6"/>
  <c r="F1392" i="1" s="1"/>
  <c r="G1392" i="6"/>
  <c r="H1393" i="6" l="1"/>
  <c r="F1393" i="1" s="1"/>
  <c r="C1393" i="6"/>
  <c r="G1393" i="6"/>
  <c r="F1394" i="6"/>
  <c r="G1394" i="6" l="1"/>
  <c r="F1395" i="6"/>
  <c r="H1394" i="6"/>
  <c r="F1394" i="1" s="1"/>
  <c r="C1394" i="6"/>
  <c r="F1396" i="6" l="1"/>
  <c r="H1395" i="6"/>
  <c r="F1395" i="1" s="1"/>
  <c r="G1395" i="6"/>
  <c r="C1395" i="6"/>
  <c r="C1396" i="6" l="1"/>
  <c r="F1397" i="6"/>
  <c r="G1396" i="6"/>
  <c r="H1396" i="6"/>
  <c r="F1396" i="1" s="1"/>
  <c r="H1397" i="6" l="1"/>
  <c r="F1397" i="1" s="1"/>
  <c r="G1397" i="6"/>
  <c r="F1398" i="6"/>
  <c r="C1397" i="6"/>
  <c r="H1398" i="6" l="1"/>
  <c r="F1398" i="1" s="1"/>
  <c r="C1398" i="6"/>
  <c r="G1398" i="6"/>
  <c r="F1399" i="6"/>
  <c r="G1399" i="6" l="1"/>
  <c r="C1399" i="6"/>
  <c r="H1399" i="6"/>
  <c r="F1399" i="1" s="1"/>
  <c r="F1400" i="6"/>
  <c r="G1400" i="6" l="1"/>
  <c r="C1400" i="6"/>
  <c r="F1401" i="6"/>
  <c r="H1400" i="6"/>
  <c r="F1400" i="1" s="1"/>
  <c r="H1401" i="6" l="1"/>
  <c r="F1401" i="1" s="1"/>
  <c r="F1402" i="6"/>
  <c r="G1401" i="6"/>
  <c r="C1401" i="6"/>
  <c r="G1402" i="6" l="1"/>
  <c r="C1402" i="6"/>
  <c r="F1403" i="6"/>
  <c r="H1402" i="6"/>
  <c r="F1402" i="1" s="1"/>
  <c r="H1403" i="6" l="1"/>
  <c r="F1403" i="1" s="1"/>
  <c r="F1404" i="6"/>
  <c r="G1403" i="6"/>
  <c r="C1403" i="6"/>
  <c r="F1405" i="6" l="1"/>
  <c r="H1404" i="6"/>
  <c r="F1404" i="1" s="1"/>
  <c r="G1404" i="6"/>
  <c r="C1404" i="6"/>
  <c r="G1405" i="6" l="1"/>
  <c r="H1405" i="6"/>
  <c r="F1405" i="1" s="1"/>
  <c r="C1405" i="6"/>
  <c r="F1406" i="6"/>
  <c r="G1406" i="6" l="1"/>
  <c r="C1406" i="6"/>
  <c r="H1406" i="6"/>
  <c r="F1406" i="1" s="1"/>
  <c r="F1407" i="6"/>
  <c r="H1407" i="6" l="1"/>
  <c r="F1407" i="1" s="1"/>
  <c r="C1407" i="6"/>
  <c r="G1407" i="6"/>
  <c r="F1408" i="6"/>
  <c r="H1408" i="6" l="1"/>
  <c r="F1408" i="1" s="1"/>
  <c r="G1408" i="6"/>
  <c r="C1408" i="6"/>
  <c r="F1409" i="6"/>
  <c r="C1409" i="6" l="1"/>
  <c r="G1409" i="6"/>
  <c r="H1409" i="6"/>
  <c r="F1409" i="1" s="1"/>
  <c r="F1410" i="6"/>
  <c r="C1410" i="6" l="1"/>
  <c r="F1411" i="6"/>
  <c r="G1410" i="6"/>
  <c r="H1410" i="6"/>
  <c r="F1410" i="1" s="1"/>
  <c r="G1411" i="6" l="1"/>
  <c r="F1412" i="6"/>
  <c r="C1411" i="6"/>
  <c r="H1411" i="6"/>
  <c r="F1411" i="1" s="1"/>
  <c r="G1412" i="6" l="1"/>
  <c r="F1413" i="6"/>
  <c r="H1412" i="6"/>
  <c r="F1412" i="1" s="1"/>
  <c r="C1412" i="6"/>
  <c r="C1413" i="6" l="1"/>
  <c r="G1413" i="6"/>
  <c r="H1413" i="6"/>
  <c r="F1413" i="1" s="1"/>
  <c r="F1414" i="6"/>
  <c r="H1414" i="6" l="1"/>
  <c r="F1414" i="1" s="1"/>
  <c r="C1414" i="6"/>
  <c r="F1415" i="6"/>
  <c r="G1414" i="6"/>
  <c r="H1415" i="6" l="1"/>
  <c r="F1415" i="1" s="1"/>
  <c r="C1415" i="6"/>
  <c r="G1415" i="6"/>
  <c r="F1416" i="6"/>
  <c r="F1417" i="6" l="1"/>
  <c r="C1416" i="6"/>
  <c r="H1416" i="6"/>
  <c r="F1416" i="1" s="1"/>
  <c r="G1416" i="6"/>
  <c r="C1417" i="6" l="1"/>
  <c r="F1418" i="6"/>
  <c r="G1417" i="6"/>
  <c r="H1417" i="6"/>
  <c r="F1417" i="1" s="1"/>
  <c r="G1418" i="6" l="1"/>
  <c r="C1418" i="6"/>
  <c r="H1418" i="6"/>
  <c r="F1418" i="1" s="1"/>
  <c r="F1419" i="6"/>
  <c r="H1419" i="6" l="1"/>
  <c r="F1419" i="1" s="1"/>
  <c r="C1419" i="6"/>
  <c r="G1419" i="6"/>
  <c r="F1420" i="6"/>
  <c r="G1420" i="6" l="1"/>
  <c r="F1421" i="6"/>
  <c r="C1420" i="6"/>
  <c r="H1420" i="6"/>
  <c r="F1420" i="1" s="1"/>
  <c r="H1421" i="6" l="1"/>
  <c r="F1421" i="1" s="1"/>
  <c r="F1422" i="6"/>
  <c r="C1421" i="6"/>
  <c r="G1421" i="6"/>
  <c r="G1422" i="6" l="1"/>
  <c r="F1423" i="6"/>
  <c r="H1422" i="6"/>
  <c r="F1422" i="1" s="1"/>
  <c r="C1422" i="6"/>
  <c r="F1424" i="6" l="1"/>
  <c r="H1423" i="6"/>
  <c r="F1423" i="1" s="1"/>
  <c r="C1423" i="6"/>
  <c r="G1423" i="6"/>
  <c r="H1424" i="6" l="1"/>
  <c r="F1424" i="1" s="1"/>
  <c r="C1424" i="6"/>
  <c r="G1424" i="6"/>
  <c r="F1425" i="6"/>
  <c r="C1425" i="6" l="1"/>
  <c r="F1426" i="6"/>
  <c r="G1425" i="6"/>
  <c r="H1425" i="6"/>
  <c r="F1425" i="1" s="1"/>
  <c r="F1427" i="6" l="1"/>
  <c r="H1426" i="6"/>
  <c r="F1426" i="1" s="1"/>
  <c r="C1426" i="6"/>
  <c r="G1426" i="6"/>
  <c r="C1427" i="6" l="1"/>
  <c r="G1427" i="6"/>
  <c r="H1427" i="6"/>
  <c r="F1427" i="1" s="1"/>
  <c r="F1428" i="6"/>
  <c r="G1428" i="6" l="1"/>
  <c r="H1428" i="6"/>
  <c r="F1428" i="1" s="1"/>
  <c r="F1429" i="6"/>
  <c r="C1428" i="6"/>
  <c r="H1429" i="6" l="1"/>
  <c r="F1429" i="1" s="1"/>
  <c r="F1430" i="6"/>
  <c r="G1429" i="6"/>
  <c r="C1429" i="6"/>
  <c r="H1430" i="6" l="1"/>
  <c r="F1430" i="1" s="1"/>
  <c r="F1431" i="6"/>
  <c r="G1430" i="6"/>
  <c r="C1430" i="6"/>
  <c r="C1431" i="6" l="1"/>
  <c r="G1431" i="6"/>
  <c r="H1431" i="6"/>
  <c r="F1431" i="1" s="1"/>
  <c r="F1432" i="6"/>
  <c r="F1433" i="6" l="1"/>
  <c r="C1432" i="6"/>
  <c r="G1432" i="6"/>
  <c r="H1432" i="6"/>
  <c r="F1432" i="1" s="1"/>
  <c r="C1433" i="6" l="1"/>
  <c r="G1433" i="6"/>
  <c r="H1433" i="6"/>
  <c r="F1433" i="1" s="1"/>
  <c r="F1434" i="6"/>
  <c r="G1434" i="6" l="1"/>
  <c r="H1434" i="6"/>
  <c r="F1434" i="1" s="1"/>
  <c r="C1434" i="6"/>
  <c r="F1435" i="6"/>
  <c r="H1435" i="6" l="1"/>
  <c r="F1435" i="1" s="1"/>
  <c r="G1435" i="6"/>
  <c r="C1435" i="6"/>
  <c r="F1436" i="6"/>
  <c r="G1436" i="6" l="1"/>
  <c r="C1436" i="6"/>
  <c r="H1436" i="6"/>
  <c r="F1436" i="1" s="1"/>
  <c r="F1437" i="6"/>
  <c r="H1437" i="6" l="1"/>
  <c r="F1437" i="1" s="1"/>
  <c r="C1437" i="6"/>
  <c r="G1437" i="6"/>
  <c r="F1438" i="6"/>
  <c r="G1438" i="6" l="1"/>
  <c r="F1439" i="6"/>
  <c r="C1438" i="6"/>
  <c r="H1438" i="6"/>
  <c r="F1438" i="1" s="1"/>
  <c r="C1439" i="6" l="1"/>
  <c r="H1439" i="6"/>
  <c r="F1439" i="1" s="1"/>
  <c r="G1439" i="6"/>
  <c r="F1440" i="6"/>
  <c r="H1440" i="6" l="1"/>
  <c r="F1440" i="1" s="1"/>
  <c r="G1440" i="6"/>
  <c r="C1440" i="6"/>
  <c r="F1441" i="6"/>
  <c r="C1441" i="6" l="1"/>
  <c r="F1442" i="6"/>
  <c r="H1441" i="6"/>
  <c r="F1441" i="1" s="1"/>
  <c r="G1441" i="6"/>
  <c r="H1442" i="6" l="1"/>
  <c r="F1442" i="1" s="1"/>
  <c r="G1442" i="6"/>
  <c r="F1443" i="6"/>
  <c r="C1442" i="6"/>
  <c r="C1443" i="6" l="1"/>
  <c r="H1443" i="6"/>
  <c r="F1443" i="1" s="1"/>
  <c r="G1443" i="6"/>
  <c r="F1444" i="6"/>
  <c r="G1444" i="6" l="1"/>
  <c r="F1445" i="6"/>
  <c r="H1444" i="6"/>
  <c r="F1444" i="1" s="1"/>
  <c r="C1444" i="6"/>
  <c r="H1445" i="6" l="1"/>
  <c r="F1445" i="1" s="1"/>
  <c r="G1445" i="6"/>
  <c r="C1445" i="6"/>
  <c r="F1446" i="6"/>
  <c r="G1446" i="6" l="1"/>
  <c r="C1446" i="6"/>
  <c r="F1447" i="6"/>
  <c r="H1446" i="6"/>
  <c r="F1446" i="1" s="1"/>
  <c r="C1447" i="6" l="1"/>
  <c r="F1448" i="6"/>
  <c r="H1447" i="6"/>
  <c r="F1447" i="1" s="1"/>
  <c r="G1447" i="6"/>
  <c r="H1448" i="6" l="1"/>
  <c r="F1448" i="1" s="1"/>
  <c r="C1448" i="6"/>
  <c r="F1449" i="6"/>
  <c r="G1448" i="6"/>
  <c r="C1449" i="6" l="1"/>
  <c r="F1450" i="6"/>
  <c r="H1449" i="6"/>
  <c r="F1449" i="1" s="1"/>
  <c r="G1449" i="6"/>
  <c r="F1451" i="6" l="1"/>
  <c r="H1450" i="6"/>
  <c r="F1450" i="1" s="1"/>
  <c r="G1450" i="6"/>
  <c r="C1450" i="6"/>
  <c r="C1451" i="6" l="1"/>
  <c r="H1451" i="6"/>
  <c r="F1451" i="1" s="1"/>
  <c r="G1451" i="6"/>
  <c r="F1452" i="6"/>
  <c r="H1452" i="6" l="1"/>
  <c r="F1452" i="1" s="1"/>
  <c r="G1452" i="6"/>
  <c r="F1453" i="6"/>
  <c r="C1452" i="6"/>
  <c r="F1454" i="6" l="1"/>
  <c r="C1453" i="6"/>
  <c r="H1453" i="6"/>
  <c r="F1453" i="1" s="1"/>
  <c r="G1453" i="6"/>
  <c r="F1455" i="6" l="1"/>
  <c r="C1454" i="6"/>
  <c r="H1454" i="6"/>
  <c r="F1454" i="1" s="1"/>
  <c r="G1454" i="6"/>
  <c r="G1455" i="6" l="1"/>
  <c r="H1455" i="6"/>
  <c r="F1455" i="1" s="1"/>
  <c r="C1455" i="6"/>
  <c r="F1456" i="6"/>
  <c r="H1456" i="6" l="1"/>
  <c r="F1456" i="1" s="1"/>
  <c r="G1456" i="6"/>
  <c r="F1457" i="6"/>
  <c r="C1456" i="6"/>
  <c r="F1458" i="6" l="1"/>
  <c r="H1457" i="6"/>
  <c r="F1457" i="1" s="1"/>
  <c r="G1457" i="6"/>
  <c r="C1457" i="6"/>
  <c r="H1458" i="6" l="1"/>
  <c r="F1458" i="1" s="1"/>
  <c r="C1458" i="6"/>
  <c r="F1459" i="6"/>
  <c r="G1458" i="6"/>
  <c r="C1459" i="6" l="1"/>
  <c r="G1459" i="6"/>
  <c r="F1460" i="6"/>
  <c r="H1459" i="6"/>
  <c r="F1459" i="1" s="1"/>
  <c r="G1460" i="6" l="1"/>
  <c r="F1461" i="6"/>
  <c r="H1460" i="6"/>
  <c r="F1460" i="1" s="1"/>
  <c r="C1460" i="6"/>
  <c r="F1462" i="6" l="1"/>
  <c r="H1461" i="6"/>
  <c r="F1461" i="1" s="1"/>
  <c r="C1461" i="6"/>
  <c r="G1461" i="6"/>
  <c r="G1462" i="6" l="1"/>
  <c r="F1463" i="6"/>
  <c r="H1462" i="6"/>
  <c r="F1462" i="1" s="1"/>
  <c r="C1462" i="6"/>
  <c r="F1464" i="6" l="1"/>
  <c r="G1463" i="6"/>
  <c r="C1463" i="6"/>
  <c r="H1463" i="6"/>
  <c r="F1463" i="1" s="1"/>
  <c r="H1464" i="6" l="1"/>
  <c r="F1464" i="1" s="1"/>
  <c r="F1465" i="6"/>
  <c r="C1464" i="6"/>
  <c r="G1464" i="6"/>
  <c r="F1466" i="6" l="1"/>
  <c r="C1465" i="6"/>
  <c r="G1465" i="6"/>
  <c r="H1465" i="6"/>
  <c r="F1465" i="1" s="1"/>
  <c r="F1467" i="6" l="1"/>
  <c r="C1466" i="6"/>
  <c r="H1466" i="6"/>
  <c r="F1466" i="1" s="1"/>
  <c r="G1466" i="6"/>
  <c r="F1468" i="6" l="1"/>
  <c r="C1467" i="6"/>
  <c r="H1467" i="6"/>
  <c r="F1467" i="1" s="1"/>
  <c r="G1467" i="6"/>
  <c r="C1468" i="6" l="1"/>
  <c r="F1469" i="6"/>
  <c r="H1468" i="6"/>
  <c r="F1468" i="1" s="1"/>
  <c r="G1468" i="6"/>
  <c r="C1469" i="6" l="1"/>
  <c r="H1469" i="6"/>
  <c r="F1469" i="1" s="1"/>
  <c r="F1470" i="6"/>
  <c r="G1469" i="6"/>
  <c r="C1470" i="6" l="1"/>
  <c r="H1470" i="6"/>
  <c r="F1470" i="1" s="1"/>
  <c r="F1471" i="6"/>
  <c r="G1470" i="6"/>
  <c r="H1471" i="6" l="1"/>
  <c r="F1471" i="1" s="1"/>
  <c r="F1472" i="6"/>
  <c r="G1471" i="6"/>
  <c r="C1471" i="6"/>
  <c r="H1472" i="6" l="1"/>
  <c r="F1472" i="1" s="1"/>
  <c r="F1473" i="6"/>
  <c r="C1472" i="6"/>
  <c r="G1472" i="6"/>
  <c r="G1473" i="6" l="1"/>
  <c r="H1473" i="6"/>
  <c r="F1473" i="1" s="1"/>
  <c r="C1473" i="6"/>
  <c r="F1474" i="6"/>
  <c r="F1475" i="6" l="1"/>
  <c r="C1474" i="6"/>
  <c r="G1474" i="6"/>
  <c r="H1474" i="6"/>
  <c r="F1474" i="1" s="1"/>
  <c r="H1475" i="6" l="1"/>
  <c r="F1475" i="1" s="1"/>
  <c r="F1476" i="6"/>
  <c r="G1475" i="6"/>
  <c r="C1475" i="6"/>
  <c r="G1476" i="6" l="1"/>
  <c r="F1477" i="6"/>
  <c r="H1476" i="6"/>
  <c r="F1476" i="1" s="1"/>
  <c r="C1476" i="6"/>
  <c r="F1478" i="6" l="1"/>
  <c r="H1477" i="6"/>
  <c r="F1477" i="1" s="1"/>
  <c r="C1477" i="6"/>
  <c r="G1477" i="6"/>
  <c r="H1478" i="6" l="1"/>
  <c r="F1478" i="1" s="1"/>
  <c r="F1479" i="6"/>
  <c r="C1478" i="6"/>
  <c r="G1478" i="6"/>
  <c r="F1480" i="6" l="1"/>
  <c r="G1479" i="6"/>
  <c r="C1479" i="6"/>
  <c r="H1479" i="6"/>
  <c r="F1479" i="1" s="1"/>
  <c r="G1480" i="6" l="1"/>
  <c r="C1480" i="6"/>
  <c r="F1481" i="6"/>
  <c r="H1480" i="6"/>
  <c r="F1480" i="1" s="1"/>
  <c r="C1481" i="6" l="1"/>
  <c r="F1482" i="6"/>
  <c r="G1481" i="6"/>
  <c r="H1481" i="6"/>
  <c r="F1481" i="1" s="1"/>
  <c r="C1482" i="6" l="1"/>
  <c r="H1482" i="6"/>
  <c r="F1482" i="1" s="1"/>
  <c r="G1482" i="6"/>
  <c r="F1483" i="6"/>
  <c r="H1483" i="6" l="1"/>
  <c r="F1483" i="1" s="1"/>
  <c r="F1484" i="6"/>
  <c r="G1483" i="6"/>
  <c r="C1483" i="6"/>
  <c r="H1484" i="6" l="1"/>
  <c r="F1484" i="1" s="1"/>
  <c r="F1485" i="6"/>
  <c r="G1484" i="6"/>
  <c r="C1484" i="6"/>
  <c r="G1485" i="6" l="1"/>
  <c r="C1485" i="6"/>
  <c r="H1485" i="6"/>
  <c r="F1485" i="1" s="1"/>
  <c r="F1486" i="6"/>
  <c r="F1487" i="6" l="1"/>
  <c r="C1486" i="6"/>
  <c r="G1486" i="6"/>
  <c r="H1486" i="6"/>
  <c r="F1486" i="1" s="1"/>
  <c r="G1487" i="6" l="1"/>
  <c r="C1487" i="6"/>
  <c r="F1488" i="6"/>
  <c r="H1487" i="6"/>
  <c r="F1487" i="1" s="1"/>
  <c r="G1488" i="6" l="1"/>
  <c r="C1488" i="6"/>
  <c r="F1489" i="6"/>
  <c r="H1488" i="6"/>
  <c r="F1488" i="1" s="1"/>
  <c r="F1490" i="6" l="1"/>
  <c r="G1489" i="6"/>
  <c r="C1489" i="6"/>
  <c r="H1489" i="6"/>
  <c r="F1489" i="1" s="1"/>
  <c r="C1490" i="6" l="1"/>
  <c r="H1490" i="6"/>
  <c r="F1490" i="1" s="1"/>
  <c r="G1490" i="6"/>
  <c r="F1491" i="6"/>
  <c r="G1491" i="6" l="1"/>
  <c r="C1491" i="6"/>
  <c r="H1491" i="6"/>
  <c r="F1491" i="1" s="1"/>
  <c r="F1492" i="6"/>
  <c r="G1492" i="6" l="1"/>
  <c r="C1492" i="6"/>
  <c r="F1493" i="6"/>
  <c r="H1492" i="6"/>
  <c r="F1492" i="1" s="1"/>
  <c r="C1493" i="6" l="1"/>
  <c r="F1494" i="6"/>
  <c r="H1493" i="6"/>
  <c r="F1493" i="1" s="1"/>
  <c r="G1493" i="6"/>
  <c r="G1494" i="6" l="1"/>
  <c r="C1494" i="6"/>
  <c r="F1495" i="6"/>
  <c r="H1494" i="6"/>
  <c r="F1494" i="1" s="1"/>
  <c r="G1495" i="6" l="1"/>
  <c r="C1495" i="6"/>
  <c r="H1495" i="6"/>
  <c r="F1495" i="1" s="1"/>
  <c r="F1496" i="6"/>
  <c r="C1496" i="6" l="1"/>
  <c r="G1496" i="6"/>
  <c r="H1496" i="6"/>
  <c r="F1496" i="1" s="1"/>
  <c r="F1497" i="6"/>
  <c r="C1497" i="6" l="1"/>
  <c r="G1497" i="6"/>
  <c r="F1498" i="6"/>
  <c r="H1497" i="6"/>
  <c r="F1497" i="1" s="1"/>
  <c r="G1498" i="6" l="1"/>
  <c r="F1499" i="6"/>
  <c r="H1498" i="6"/>
  <c r="F1498" i="1" s="1"/>
  <c r="C1498" i="6"/>
  <c r="H1499" i="6" l="1"/>
  <c r="F1499" i="1" s="1"/>
  <c r="G1499" i="6"/>
  <c r="F1500" i="6"/>
  <c r="C1499" i="6"/>
  <c r="G1500" i="6" l="1"/>
  <c r="F1501" i="6"/>
  <c r="C1500" i="6"/>
  <c r="H1500" i="6"/>
  <c r="F1500" i="1" s="1"/>
  <c r="H1501" i="6" l="1"/>
  <c r="F1501" i="1" s="1"/>
  <c r="G1501" i="6"/>
  <c r="F1502" i="6"/>
  <c r="C1501" i="6"/>
  <c r="H1502" i="6" l="1"/>
  <c r="F1502" i="1" s="1"/>
  <c r="G1502" i="6"/>
  <c r="C1502" i="6"/>
  <c r="F1503" i="6"/>
  <c r="H1503" i="6" l="1"/>
  <c r="F1503" i="1" s="1"/>
  <c r="F1504" i="6"/>
  <c r="C1503" i="6"/>
  <c r="G1503" i="6"/>
  <c r="G1504" i="6" l="1"/>
  <c r="H1504" i="6"/>
  <c r="F1504" i="1" s="1"/>
  <c r="C1504" i="6"/>
  <c r="F1505" i="6"/>
  <c r="F1506" i="6" l="1"/>
  <c r="H1505" i="6"/>
  <c r="F1505" i="1" s="1"/>
  <c r="C1505" i="6"/>
  <c r="G1505" i="6"/>
  <c r="G1506" i="6" l="1"/>
  <c r="F1507" i="6"/>
  <c r="C1506" i="6"/>
  <c r="H1506" i="6"/>
  <c r="F1506" i="1" s="1"/>
  <c r="C1507" i="6" l="1"/>
  <c r="G1507" i="6"/>
  <c r="F1508" i="6"/>
  <c r="H1507" i="6"/>
  <c r="F1507" i="1" s="1"/>
  <c r="G1508" i="6" l="1"/>
  <c r="F1509" i="6"/>
  <c r="H1508" i="6"/>
  <c r="F1508" i="1" s="1"/>
  <c r="C1508" i="6"/>
  <c r="F1510" i="6" l="1"/>
  <c r="H1509" i="6"/>
  <c r="F1509" i="1" s="1"/>
  <c r="G1509" i="6"/>
  <c r="C1509" i="6"/>
  <c r="H1510" i="6" l="1"/>
  <c r="F1510" i="1" s="1"/>
  <c r="G1510" i="6"/>
  <c r="C1510" i="6"/>
  <c r="F1511" i="6"/>
  <c r="C1511" i="6" l="1"/>
  <c r="H1511" i="6"/>
  <c r="F1511" i="1" s="1"/>
  <c r="F1512" i="6"/>
  <c r="G1511" i="6"/>
  <c r="H1512" i="6" l="1"/>
  <c r="F1512" i="1" s="1"/>
  <c r="F1513" i="6"/>
  <c r="C1512" i="6"/>
  <c r="G1512" i="6"/>
  <c r="G1513" i="6" l="1"/>
  <c r="H1513" i="6"/>
  <c r="F1513" i="1" s="1"/>
  <c r="F1514" i="6"/>
  <c r="C1513" i="6"/>
  <c r="F1515" i="6" l="1"/>
  <c r="C1514" i="6"/>
  <c r="G1514" i="6"/>
  <c r="H1514" i="6"/>
  <c r="F1514" i="1" s="1"/>
  <c r="G1515" i="6" l="1"/>
  <c r="C1515" i="6"/>
  <c r="H1515" i="6"/>
  <c r="F1515" i="1" s="1"/>
  <c r="F1516" i="6"/>
  <c r="G1516" i="6" l="1"/>
  <c r="H1516" i="6"/>
  <c r="F1516" i="1" s="1"/>
  <c r="C1516" i="6"/>
  <c r="F1517" i="6"/>
  <c r="H1517" i="6" l="1"/>
  <c r="F1517" i="1" s="1"/>
  <c r="G1517" i="6"/>
  <c r="F1518" i="6"/>
  <c r="C1517" i="6"/>
  <c r="F1519" i="6" l="1"/>
  <c r="H1518" i="6"/>
  <c r="F1518" i="1" s="1"/>
  <c r="G1518" i="6"/>
  <c r="C1518" i="6"/>
  <c r="F1520" i="6" l="1"/>
  <c r="C1519" i="6"/>
  <c r="H1519" i="6"/>
  <c r="F1519" i="1" s="1"/>
  <c r="G1519" i="6"/>
  <c r="H1520" i="6" l="1"/>
  <c r="F1520" i="1" s="1"/>
  <c r="C1520" i="6"/>
  <c r="F1521" i="6"/>
  <c r="G1520" i="6"/>
  <c r="F1522" i="6" l="1"/>
  <c r="C1521" i="6"/>
  <c r="G1521" i="6"/>
  <c r="H1521" i="6"/>
  <c r="F1521" i="1" s="1"/>
  <c r="H1522" i="6" l="1"/>
  <c r="F1522" i="1" s="1"/>
  <c r="F1523" i="6"/>
  <c r="C1522" i="6"/>
  <c r="G1522" i="6"/>
  <c r="G1523" i="6" l="1"/>
  <c r="F1524" i="6"/>
  <c r="C1523" i="6"/>
  <c r="H1523" i="6"/>
  <c r="F1523" i="1" s="1"/>
  <c r="F1525" i="6" l="1"/>
  <c r="C1524" i="6"/>
  <c r="H1524" i="6"/>
  <c r="F1524" i="1" s="1"/>
  <c r="G1524" i="6"/>
  <c r="G1525" i="6" l="1"/>
  <c r="H1525" i="6"/>
  <c r="F1525" i="1" s="1"/>
  <c r="C1525" i="6"/>
  <c r="F1526" i="6"/>
  <c r="H1526" i="6" l="1"/>
  <c r="F1526" i="1" s="1"/>
  <c r="C1526" i="6"/>
  <c r="F1527" i="6"/>
  <c r="G1526" i="6"/>
  <c r="C1527" i="6" l="1"/>
  <c r="G1527" i="6"/>
  <c r="H1527" i="6"/>
  <c r="F1527" i="1" s="1"/>
  <c r="F1528" i="6"/>
  <c r="F1529" i="6" l="1"/>
  <c r="C1528" i="6"/>
  <c r="G1528" i="6"/>
  <c r="H1528" i="6"/>
  <c r="F1528" i="1" s="1"/>
  <c r="G1529" i="6" l="1"/>
  <c r="C1529" i="6"/>
  <c r="H1529" i="6"/>
  <c r="F1529" i="1" s="1"/>
  <c r="F1530" i="6"/>
  <c r="H1530" i="6" l="1"/>
  <c r="F1530" i="1" s="1"/>
  <c r="G1530" i="6"/>
  <c r="C1530" i="6"/>
  <c r="F1531" i="6"/>
  <c r="G1531" i="6" l="1"/>
  <c r="C1531" i="6"/>
  <c r="H1531" i="6"/>
  <c r="F1531" i="1" s="1"/>
  <c r="F1532" i="6"/>
  <c r="F1533" i="6" l="1"/>
  <c r="C1532" i="6"/>
  <c r="G1532" i="6"/>
  <c r="H1532" i="6"/>
  <c r="F1532" i="1" s="1"/>
  <c r="H1533" i="6" l="1"/>
  <c r="F1533" i="1" s="1"/>
  <c r="F1534" i="6"/>
  <c r="G1533" i="6"/>
  <c r="C1533" i="6"/>
  <c r="G1534" i="6" l="1"/>
  <c r="H1534" i="6"/>
  <c r="F1534" i="1" s="1"/>
  <c r="F1535" i="6"/>
  <c r="C1534" i="6"/>
  <c r="F1536" i="6" l="1"/>
  <c r="H1535" i="6"/>
  <c r="F1535" i="1" s="1"/>
  <c r="C1535" i="6"/>
  <c r="G1535" i="6"/>
  <c r="G1536" i="6" l="1"/>
  <c r="F1537" i="6"/>
  <c r="H1536" i="6"/>
  <c r="F1536" i="1" s="1"/>
  <c r="C1536" i="6"/>
  <c r="C1537" i="6" l="1"/>
  <c r="F1538" i="6"/>
  <c r="G1537" i="6"/>
  <c r="H1537" i="6"/>
  <c r="F1537" i="1" s="1"/>
  <c r="H1538" i="6" l="1"/>
  <c r="F1538" i="1" s="1"/>
  <c r="C1538" i="6"/>
  <c r="G1538" i="6"/>
  <c r="F1539" i="6"/>
  <c r="C1539" i="6" l="1"/>
  <c r="G1539" i="6"/>
  <c r="H1539" i="6"/>
  <c r="F1539" i="1" s="1"/>
  <c r="F1540" i="6"/>
  <c r="G1540" i="6" l="1"/>
  <c r="H1540" i="6"/>
  <c r="F1540" i="1" s="1"/>
  <c r="C1540" i="6"/>
  <c r="F1541" i="6"/>
  <c r="C1541" i="6" l="1"/>
  <c r="F1542" i="6"/>
  <c r="H1541" i="6"/>
  <c r="F1541" i="1" s="1"/>
  <c r="G1541" i="6"/>
  <c r="F1543" i="6" l="1"/>
  <c r="C1542" i="6"/>
  <c r="G1542" i="6"/>
  <c r="H1542" i="6"/>
  <c r="F1542" i="1" s="1"/>
  <c r="G1543" i="6" l="1"/>
  <c r="C1543" i="6"/>
  <c r="H1543" i="6"/>
  <c r="F1543" i="1" s="1"/>
  <c r="F1544" i="6"/>
  <c r="G1544" i="6" l="1"/>
  <c r="C1544" i="6"/>
  <c r="H1544" i="6"/>
  <c r="F1544" i="1" s="1"/>
  <c r="F1545" i="6"/>
  <c r="C1545" i="6" l="1"/>
  <c r="H1545" i="6"/>
  <c r="F1545" i="1" s="1"/>
  <c r="F1546" i="6"/>
  <c r="G1545" i="6"/>
  <c r="H1546" i="6" l="1"/>
  <c r="F1546" i="1" s="1"/>
  <c r="G1546" i="6"/>
  <c r="F1547" i="6"/>
  <c r="C1546" i="6"/>
  <c r="F1548" i="6" l="1"/>
  <c r="H1547" i="6"/>
  <c r="F1547" i="1" s="1"/>
  <c r="C1547" i="6"/>
  <c r="G1547" i="6"/>
  <c r="H1548" i="6" l="1"/>
  <c r="F1548" i="1" s="1"/>
  <c r="C1548" i="6"/>
  <c r="G1548" i="6"/>
  <c r="F1549" i="6"/>
  <c r="F1550" i="6" l="1"/>
  <c r="C1549" i="6"/>
  <c r="G1549" i="6"/>
  <c r="H1549" i="6"/>
  <c r="F1549" i="1" s="1"/>
  <c r="H1550" i="6" l="1"/>
  <c r="F1550" i="1" s="1"/>
  <c r="F1551" i="6"/>
  <c r="G1550" i="6"/>
  <c r="C1550" i="6"/>
  <c r="F1552" i="6" l="1"/>
  <c r="C1551" i="6"/>
  <c r="H1551" i="6"/>
  <c r="F1551" i="1" s="1"/>
  <c r="G1551" i="6"/>
  <c r="F1553" i="6" l="1"/>
  <c r="C1552" i="6"/>
  <c r="H1552" i="6"/>
  <c r="F1552" i="1" s="1"/>
  <c r="G1552" i="6"/>
  <c r="H1553" i="6" l="1"/>
  <c r="F1553" i="1" s="1"/>
  <c r="G1553" i="6"/>
  <c r="C1553" i="6"/>
  <c r="F1554" i="6"/>
  <c r="C1554" i="6" l="1"/>
  <c r="F1555" i="6"/>
  <c r="H1554" i="6"/>
  <c r="F1554" i="1" s="1"/>
  <c r="G1554" i="6"/>
  <c r="C1555" i="6" l="1"/>
  <c r="G1555" i="6"/>
  <c r="H1555" i="6"/>
  <c r="F1555" i="1" s="1"/>
  <c r="F1556" i="6"/>
  <c r="H1556" i="6" l="1"/>
  <c r="F1556" i="1" s="1"/>
  <c r="C1556" i="6"/>
  <c r="G1556" i="6"/>
  <c r="F1557" i="6"/>
  <c r="G1557" i="6" l="1"/>
  <c r="H1557" i="6"/>
  <c r="F1557" i="1" s="1"/>
  <c r="F1558" i="6"/>
  <c r="C1557" i="6"/>
  <c r="G1558" i="6" l="1"/>
  <c r="H1558" i="6"/>
  <c r="F1558" i="1" s="1"/>
  <c r="F1559" i="6"/>
  <c r="C1558" i="6"/>
  <c r="G1559" i="6" l="1"/>
  <c r="F1560" i="6"/>
  <c r="H1559" i="6"/>
  <c r="F1559" i="1" s="1"/>
  <c r="C1559" i="6"/>
  <c r="C1560" i="6" l="1"/>
  <c r="H1560" i="6"/>
  <c r="F1560" i="1" s="1"/>
  <c r="F1561" i="6"/>
  <c r="G1560" i="6"/>
  <c r="F1562" i="6" l="1"/>
  <c r="C1561" i="6"/>
  <c r="H1561" i="6"/>
  <c r="F1561" i="1" s="1"/>
  <c r="G1561" i="6"/>
  <c r="F1563" i="6" l="1"/>
  <c r="G1562" i="6"/>
  <c r="H1562" i="6"/>
  <c r="F1562" i="1" s="1"/>
  <c r="C1562" i="6"/>
  <c r="C1563" i="6" l="1"/>
  <c r="F1564" i="6"/>
  <c r="H1563" i="6"/>
  <c r="F1563" i="1" s="1"/>
  <c r="G1563" i="6"/>
  <c r="H1564" i="6" l="1"/>
  <c r="F1564" i="1" s="1"/>
  <c r="G1564" i="6"/>
  <c r="C1564" i="6"/>
  <c r="F1565" i="6"/>
  <c r="G1565" i="6" l="1"/>
  <c r="C1565" i="6"/>
  <c r="H1565" i="6"/>
  <c r="F1565" i="1" s="1"/>
  <c r="F1566" i="6"/>
  <c r="C1566" i="6" l="1"/>
  <c r="H1566" i="6"/>
  <c r="F1566" i="1" s="1"/>
  <c r="F1567" i="6"/>
  <c r="G1566" i="6"/>
  <c r="C1567" i="6" l="1"/>
  <c r="G1567" i="6"/>
  <c r="F1568" i="6"/>
  <c r="H1567" i="6"/>
  <c r="F1567" i="1" s="1"/>
  <c r="F1569" i="6" l="1"/>
  <c r="H1568" i="6"/>
  <c r="F1568" i="1" s="1"/>
  <c r="C1568" i="6"/>
  <c r="G1568" i="6"/>
  <c r="F1570" i="6" l="1"/>
  <c r="C1569" i="6"/>
  <c r="G1569" i="6"/>
  <c r="H1569" i="6"/>
  <c r="F1569" i="1" s="1"/>
  <c r="F1571" i="6" l="1"/>
  <c r="G1570" i="6"/>
  <c r="C1570" i="6"/>
  <c r="H1570" i="6"/>
  <c r="F1570" i="1" s="1"/>
  <c r="H1571" i="6" l="1"/>
  <c r="F1571" i="1" s="1"/>
  <c r="C1571" i="6"/>
  <c r="F1572" i="6"/>
  <c r="G1571" i="6"/>
  <c r="H1572" i="6" l="1"/>
  <c r="F1572" i="1" s="1"/>
  <c r="F1573" i="6"/>
  <c r="G1572" i="6"/>
  <c r="C1572" i="6"/>
  <c r="F1574" i="6" l="1"/>
  <c r="C1573" i="6"/>
  <c r="G1573" i="6"/>
  <c r="H1573" i="6"/>
  <c r="F1573" i="1" s="1"/>
  <c r="G1574" i="6" l="1"/>
  <c r="C1574" i="6"/>
  <c r="F1575" i="6"/>
  <c r="H1574" i="6"/>
  <c r="F1574" i="1" s="1"/>
  <c r="C1575" i="6" l="1"/>
  <c r="H1575" i="6"/>
  <c r="F1575" i="1" s="1"/>
  <c r="G1575" i="6"/>
  <c r="F1576" i="6"/>
  <c r="G1576" i="6" l="1"/>
  <c r="C1576" i="6"/>
  <c r="H1576" i="6"/>
  <c r="F1576" i="1" s="1"/>
  <c r="F1577" i="6"/>
  <c r="F1578" i="6" l="1"/>
  <c r="H1577" i="6"/>
  <c r="F1577" i="1" s="1"/>
  <c r="G1577" i="6"/>
  <c r="C1577" i="6"/>
  <c r="G1578" i="6" l="1"/>
  <c r="C1578" i="6"/>
  <c r="H1578" i="6"/>
  <c r="F1578" i="1" s="1"/>
  <c r="F1579" i="6"/>
  <c r="C1579" i="6" l="1"/>
  <c r="H1579" i="6"/>
  <c r="F1579" i="1" s="1"/>
  <c r="F1580" i="6"/>
  <c r="G1579" i="6"/>
  <c r="C1580" i="6" l="1"/>
  <c r="F1581" i="6"/>
  <c r="G1580" i="6"/>
  <c r="H1580" i="6"/>
  <c r="F1580" i="1" s="1"/>
  <c r="H1581" i="6" l="1"/>
  <c r="F1581" i="1" s="1"/>
  <c r="G1581" i="6"/>
  <c r="F1582" i="6"/>
  <c r="C1581" i="6"/>
  <c r="H1582" i="6" l="1"/>
  <c r="F1582" i="1" s="1"/>
  <c r="F1583" i="6"/>
  <c r="G1582" i="6"/>
  <c r="C1582" i="6"/>
  <c r="C1583" i="6" l="1"/>
  <c r="F1584" i="6"/>
  <c r="G1583" i="6"/>
  <c r="H1583" i="6"/>
  <c r="F1583" i="1" s="1"/>
  <c r="C1584" i="6" l="1"/>
  <c r="F1585" i="6"/>
  <c r="H1584" i="6"/>
  <c r="F1584" i="1" s="1"/>
  <c r="G1584" i="6"/>
  <c r="G1585" i="6" l="1"/>
  <c r="F1586" i="6"/>
  <c r="C1585" i="6"/>
  <c r="H1585" i="6"/>
  <c r="F1585" i="1" s="1"/>
  <c r="H1586" i="6" l="1"/>
  <c r="F1586" i="1" s="1"/>
  <c r="F1587" i="6"/>
  <c r="C1586" i="6"/>
  <c r="G1586" i="6"/>
  <c r="C1587" i="6" l="1"/>
  <c r="G1587" i="6"/>
  <c r="H1587" i="6"/>
  <c r="F1587" i="1" s="1"/>
  <c r="F1588" i="6"/>
  <c r="F1589" i="6" l="1"/>
  <c r="G1588" i="6"/>
  <c r="C1588" i="6"/>
  <c r="H1588" i="6"/>
  <c r="F1588" i="1" s="1"/>
  <c r="F1590" i="6" l="1"/>
  <c r="H1589" i="6"/>
  <c r="F1589" i="1" s="1"/>
  <c r="G1589" i="6"/>
  <c r="C1589" i="6"/>
  <c r="C1590" i="6" l="1"/>
  <c r="F1591" i="6"/>
  <c r="H1590" i="6"/>
  <c r="F1590" i="1" s="1"/>
  <c r="G1590" i="6"/>
  <c r="G1591" i="6" l="1"/>
  <c r="F1592" i="6"/>
  <c r="H1591" i="6"/>
  <c r="F1591" i="1" s="1"/>
  <c r="C1591" i="6"/>
  <c r="F1593" i="6" l="1"/>
  <c r="C1592" i="6"/>
  <c r="H1592" i="6"/>
  <c r="F1592" i="1" s="1"/>
  <c r="G1592" i="6"/>
  <c r="G1593" i="6" l="1"/>
  <c r="F1594" i="6"/>
  <c r="H1593" i="6"/>
  <c r="F1593" i="1" s="1"/>
  <c r="C1593" i="6"/>
  <c r="C1594" i="6" l="1"/>
  <c r="H1594" i="6"/>
  <c r="F1594" i="1" s="1"/>
  <c r="F1595" i="6"/>
  <c r="G1594" i="6"/>
  <c r="H1595" i="6" l="1"/>
  <c r="F1595" i="1" s="1"/>
  <c r="F1596" i="6"/>
  <c r="G1595" i="6"/>
  <c r="C1595" i="6"/>
  <c r="F1597" i="6" l="1"/>
  <c r="H1596" i="6"/>
  <c r="F1596" i="1" s="1"/>
  <c r="C1596" i="6"/>
  <c r="G1596" i="6"/>
  <c r="H1597" i="6" l="1"/>
  <c r="F1597" i="1" s="1"/>
  <c r="F1598" i="6"/>
  <c r="C1597" i="6"/>
  <c r="G1597" i="6"/>
  <c r="F1599" i="6" l="1"/>
  <c r="H1598" i="6"/>
  <c r="F1598" i="1" s="1"/>
  <c r="G1598" i="6"/>
  <c r="C1598" i="6"/>
  <c r="H1599" i="6" l="1"/>
  <c r="F1599" i="1" s="1"/>
  <c r="F1600" i="6"/>
  <c r="G1599" i="6"/>
  <c r="C1599" i="6"/>
  <c r="C1600" i="6" l="1"/>
  <c r="F1601" i="6"/>
  <c r="G1600" i="6"/>
  <c r="H1600" i="6"/>
  <c r="F1600" i="1" s="1"/>
  <c r="G1601" i="6" l="1"/>
  <c r="F1602" i="6"/>
  <c r="C1601" i="6"/>
  <c r="H1601" i="6"/>
  <c r="F1601" i="1" s="1"/>
  <c r="H1602" i="6" l="1"/>
  <c r="F1602" i="1" s="1"/>
  <c r="G1602" i="6"/>
  <c r="F1603" i="6"/>
  <c r="C1602" i="6"/>
  <c r="C1603" i="6" l="1"/>
  <c r="F1604" i="6"/>
  <c r="G1603" i="6"/>
  <c r="H1603" i="6"/>
  <c r="F1603" i="1" s="1"/>
  <c r="F1605" i="6" l="1"/>
  <c r="C1604" i="6"/>
  <c r="H1604" i="6"/>
  <c r="F1604" i="1" s="1"/>
  <c r="G1604" i="6"/>
  <c r="G1605" i="6" l="1"/>
  <c r="C1605" i="6"/>
  <c r="H1605" i="6"/>
  <c r="F1605" i="1" s="1"/>
  <c r="F1606" i="6"/>
  <c r="G1606" i="6" l="1"/>
  <c r="F1607" i="6"/>
  <c r="C1606" i="6"/>
  <c r="H1606" i="6"/>
  <c r="F1606" i="1" s="1"/>
  <c r="F1608" i="6" l="1"/>
  <c r="H1607" i="6"/>
  <c r="F1607" i="1" s="1"/>
  <c r="G1607" i="6"/>
  <c r="C1607" i="6"/>
  <c r="H1608" i="6" l="1"/>
  <c r="F1608" i="1" s="1"/>
  <c r="F1609" i="6"/>
  <c r="G1608" i="6"/>
  <c r="C1608" i="6"/>
  <c r="F1610" i="6" l="1"/>
  <c r="C1609" i="6"/>
  <c r="H1609" i="6"/>
  <c r="F1609" i="1" s="1"/>
  <c r="G1609" i="6"/>
  <c r="G1610" i="6" l="1"/>
  <c r="H1610" i="6"/>
  <c r="F1610" i="1" s="1"/>
  <c r="F1611" i="6"/>
  <c r="C1610" i="6"/>
  <c r="C1611" i="6" l="1"/>
  <c r="F1612" i="6"/>
  <c r="G1611" i="6"/>
  <c r="H1611" i="6"/>
  <c r="F1611" i="1" s="1"/>
  <c r="G1612" i="6" l="1"/>
  <c r="C1612" i="6"/>
  <c r="F1613" i="6"/>
  <c r="H1612" i="6"/>
  <c r="F1612" i="1" s="1"/>
  <c r="G1613" i="6" l="1"/>
  <c r="H1613" i="6"/>
  <c r="F1613" i="1" s="1"/>
  <c r="F1614" i="6"/>
  <c r="C1613" i="6"/>
  <c r="H1614" i="6" l="1"/>
  <c r="F1614" i="1" s="1"/>
  <c r="G1614" i="6"/>
  <c r="F1615" i="6"/>
  <c r="C1614" i="6"/>
  <c r="G1615" i="6" l="1"/>
  <c r="C1615" i="6"/>
  <c r="H1615" i="6"/>
  <c r="F1615" i="1" s="1"/>
  <c r="F1616" i="6"/>
  <c r="C1616" i="6" l="1"/>
  <c r="H1616" i="6"/>
  <c r="F1616" i="1" s="1"/>
  <c r="F1617" i="6"/>
  <c r="G1616" i="6"/>
  <c r="C1617" i="6" l="1"/>
  <c r="F1618" i="6"/>
  <c r="H1617" i="6"/>
  <c r="F1617" i="1" s="1"/>
  <c r="G1617" i="6"/>
  <c r="C1618" i="6" l="1"/>
  <c r="F1619" i="6"/>
  <c r="G1618" i="6"/>
  <c r="H1618" i="6"/>
  <c r="F1618" i="1" s="1"/>
  <c r="G1619" i="6" l="1"/>
  <c r="F1620" i="6"/>
  <c r="H1619" i="6"/>
  <c r="F1619" i="1" s="1"/>
  <c r="C1619" i="6"/>
  <c r="H1620" i="6" l="1"/>
  <c r="F1620" i="1" s="1"/>
  <c r="C1620" i="6"/>
  <c r="G1620" i="6"/>
  <c r="F1621" i="6"/>
  <c r="H1621" i="6" l="1"/>
  <c r="F1621" i="1" s="1"/>
  <c r="C1621" i="6"/>
  <c r="F1622" i="6"/>
  <c r="G1621" i="6"/>
  <c r="C1622" i="6" l="1"/>
  <c r="F1623" i="6"/>
  <c r="G1622" i="6"/>
  <c r="H1622" i="6"/>
  <c r="F1622" i="1" s="1"/>
  <c r="G1623" i="6" l="1"/>
  <c r="H1623" i="6"/>
  <c r="F1623" i="1" s="1"/>
  <c r="C1623" i="6"/>
  <c r="F1624" i="6"/>
  <c r="G1624" i="6" l="1"/>
  <c r="F1625" i="6"/>
  <c r="H1624" i="6"/>
  <c r="F1624" i="1" s="1"/>
  <c r="C1624" i="6"/>
  <c r="G1625" i="6" l="1"/>
  <c r="F1626" i="6"/>
  <c r="H1625" i="6"/>
  <c r="F1625" i="1" s="1"/>
  <c r="C1625" i="6"/>
  <c r="H1626" i="6" l="1"/>
  <c r="F1626" i="1" s="1"/>
  <c r="G1626" i="6"/>
  <c r="C1626" i="6"/>
  <c r="F1627" i="6"/>
  <c r="G1627" i="6" l="1"/>
  <c r="F1628" i="6"/>
  <c r="C1627" i="6"/>
  <c r="H1627" i="6"/>
  <c r="F1627" i="1" s="1"/>
  <c r="C1628" i="6" l="1"/>
  <c r="H1628" i="6"/>
  <c r="F1628" i="1" s="1"/>
  <c r="F1629" i="6"/>
  <c r="G1628" i="6"/>
  <c r="F1630" i="6" l="1"/>
  <c r="G1629" i="6"/>
  <c r="H1629" i="6"/>
  <c r="F1629" i="1" s="1"/>
  <c r="C1629" i="6"/>
  <c r="F1631" i="6" l="1"/>
  <c r="C1630" i="6"/>
  <c r="H1630" i="6"/>
  <c r="F1630" i="1" s="1"/>
  <c r="G1630" i="6"/>
  <c r="H1631" i="6" l="1"/>
  <c r="F1631" i="1" s="1"/>
  <c r="C1631" i="6"/>
  <c r="G1631" i="6"/>
  <c r="F1632" i="6"/>
  <c r="G1632" i="6" l="1"/>
  <c r="F1633" i="6"/>
  <c r="C1632" i="6"/>
  <c r="H1632" i="6"/>
  <c r="F1632" i="1" s="1"/>
  <c r="C1633" i="6" l="1"/>
  <c r="G1633" i="6"/>
  <c r="H1633" i="6"/>
  <c r="F1633" i="1" s="1"/>
  <c r="F1634" i="6"/>
  <c r="H1634" i="6" l="1"/>
  <c r="F1634" i="1" s="1"/>
  <c r="F1635" i="6"/>
  <c r="G1634" i="6"/>
  <c r="C1634" i="6"/>
  <c r="F1636" i="6" l="1"/>
  <c r="C1635" i="6"/>
  <c r="G1635" i="6"/>
  <c r="H1635" i="6"/>
  <c r="F1635" i="1" s="1"/>
  <c r="F1637" i="6" l="1"/>
  <c r="G1636" i="6"/>
  <c r="H1636" i="6"/>
  <c r="F1636" i="1" s="1"/>
  <c r="C1636" i="6"/>
  <c r="G1637" i="6" l="1"/>
  <c r="H1637" i="6"/>
  <c r="F1637" i="1" s="1"/>
  <c r="C1637" i="6"/>
  <c r="F1638" i="6"/>
  <c r="H1638" i="6" l="1"/>
  <c r="F1638" i="1" s="1"/>
  <c r="C1638" i="6"/>
  <c r="G1638" i="6"/>
  <c r="F1639" i="6"/>
  <c r="H1639" i="6" l="1"/>
  <c r="F1639" i="1" s="1"/>
  <c r="G1639" i="6"/>
  <c r="C1639" i="6"/>
  <c r="F1640" i="6"/>
  <c r="G1640" i="6" l="1"/>
  <c r="F1641" i="6"/>
  <c r="H1640" i="6"/>
  <c r="F1640" i="1" s="1"/>
  <c r="C1640" i="6"/>
  <c r="G1641" i="6" l="1"/>
  <c r="C1641" i="6"/>
  <c r="H1641" i="6"/>
  <c r="F1641" i="1" s="1"/>
  <c r="F1642" i="6"/>
  <c r="F1643" i="6" l="1"/>
  <c r="C1642" i="6"/>
  <c r="H1642" i="6"/>
  <c r="F1642" i="1" s="1"/>
  <c r="G1642" i="6"/>
  <c r="H1643" i="6" l="1"/>
  <c r="F1643" i="1" s="1"/>
  <c r="C1643" i="6"/>
  <c r="F1644" i="6"/>
  <c r="G1643" i="6"/>
  <c r="C1644" i="6" l="1"/>
  <c r="F1645" i="6"/>
  <c r="G1644" i="6"/>
  <c r="H1644" i="6"/>
  <c r="F1644" i="1" s="1"/>
  <c r="C1645" i="6" l="1"/>
  <c r="F1646" i="6"/>
  <c r="H1645" i="6"/>
  <c r="F1645" i="1" s="1"/>
  <c r="G1645" i="6"/>
  <c r="H1646" i="6" l="1"/>
  <c r="F1646" i="1" s="1"/>
  <c r="G1646" i="6"/>
  <c r="C1646" i="6"/>
  <c r="F1647" i="6"/>
  <c r="H1647" i="6" l="1"/>
  <c r="F1647" i="1" s="1"/>
  <c r="C1647" i="6"/>
  <c r="G1647" i="6"/>
  <c r="F1648" i="6"/>
  <c r="G1648" i="6" l="1"/>
  <c r="H1648" i="6"/>
  <c r="F1648" i="1" s="1"/>
  <c r="F1649" i="6"/>
  <c r="C1648" i="6"/>
  <c r="H1649" i="6" l="1"/>
  <c r="F1649" i="1" s="1"/>
  <c r="F1650" i="6"/>
  <c r="C1649" i="6"/>
  <c r="G1649" i="6"/>
  <c r="H1650" i="6" l="1"/>
  <c r="F1650" i="1" s="1"/>
  <c r="C1650" i="6"/>
  <c r="F1651" i="6"/>
  <c r="G1650" i="6"/>
  <c r="G1651" i="6" l="1"/>
  <c r="F1652" i="6"/>
  <c r="C1651" i="6"/>
  <c r="H1651" i="6"/>
  <c r="F1651" i="1" s="1"/>
  <c r="H1652" i="6" l="1"/>
  <c r="F1652" i="1" s="1"/>
  <c r="C1652" i="6"/>
  <c r="F1653" i="6"/>
  <c r="G1652" i="6"/>
  <c r="F1654" i="6" l="1"/>
  <c r="H1653" i="6"/>
  <c r="F1653" i="1" s="1"/>
  <c r="G1653" i="6"/>
  <c r="C1653" i="6"/>
  <c r="C1654" i="6" l="1"/>
  <c r="F1655" i="6"/>
  <c r="H1654" i="6"/>
  <c r="F1654" i="1" s="1"/>
  <c r="G1654" i="6"/>
  <c r="G1655" i="6" l="1"/>
  <c r="H1655" i="6"/>
  <c r="F1655" i="1" s="1"/>
  <c r="F1656" i="6"/>
  <c r="C1655" i="6"/>
  <c r="G1656" i="6" l="1"/>
  <c r="F1657" i="6"/>
  <c r="H1656" i="6"/>
  <c r="F1656" i="1" s="1"/>
  <c r="C1656" i="6"/>
  <c r="F1658" i="6" l="1"/>
  <c r="G1657" i="6"/>
  <c r="H1657" i="6"/>
  <c r="F1657" i="1" s="1"/>
  <c r="C1657" i="6"/>
  <c r="C1658" i="6" l="1"/>
  <c r="H1658" i="6"/>
  <c r="F1658" i="1" s="1"/>
  <c r="F1659" i="6"/>
  <c r="G1658" i="6"/>
  <c r="C1659" i="6" l="1"/>
  <c r="G1659" i="6"/>
  <c r="H1659" i="6"/>
  <c r="F1659" i="1" s="1"/>
  <c r="F1660" i="6"/>
  <c r="G1660" i="6" l="1"/>
  <c r="H1660" i="6"/>
  <c r="F1660" i="1" s="1"/>
  <c r="F1661" i="6"/>
  <c r="C1660" i="6"/>
  <c r="C1661" i="6" l="1"/>
  <c r="H1661" i="6"/>
  <c r="F1661" i="1" s="1"/>
  <c r="F1662" i="6"/>
  <c r="G1661" i="6"/>
  <c r="F1663" i="6" l="1"/>
  <c r="C1662" i="6"/>
  <c r="H1662" i="6"/>
  <c r="F1662" i="1" s="1"/>
  <c r="G1662" i="6"/>
  <c r="G1663" i="6" l="1"/>
  <c r="F1664" i="6"/>
  <c r="H1663" i="6"/>
  <c r="F1663" i="1" s="1"/>
  <c r="C1663" i="6"/>
  <c r="H1664" i="6" l="1"/>
  <c r="F1664" i="1" s="1"/>
  <c r="C1664" i="6"/>
  <c r="G1664" i="6"/>
  <c r="F1665" i="6"/>
  <c r="F1666" i="6" l="1"/>
  <c r="G1665" i="6"/>
  <c r="H1665" i="6"/>
  <c r="F1665" i="1" s="1"/>
  <c r="C1665" i="6"/>
  <c r="H1666" i="6" l="1"/>
  <c r="F1666" i="1" s="1"/>
  <c r="G1666" i="6"/>
  <c r="F1667" i="6"/>
  <c r="C1666" i="6"/>
  <c r="H1667" i="6" l="1"/>
  <c r="F1667" i="1" s="1"/>
  <c r="F1668" i="6"/>
  <c r="G1667" i="6"/>
  <c r="C1667" i="6"/>
  <c r="H1668" i="6" l="1"/>
  <c r="F1668" i="1" s="1"/>
  <c r="G1668" i="6"/>
  <c r="F1669" i="6"/>
  <c r="C1668" i="6"/>
  <c r="F1670" i="6" l="1"/>
  <c r="H1669" i="6"/>
  <c r="F1669" i="1" s="1"/>
  <c r="C1669" i="6"/>
  <c r="G1669" i="6"/>
  <c r="H1670" i="6" l="1"/>
  <c r="F1670" i="1" s="1"/>
  <c r="C1670" i="6"/>
  <c r="G1670" i="6"/>
  <c r="F1671" i="6"/>
  <c r="F1672" i="6" l="1"/>
  <c r="H1671" i="6"/>
  <c r="F1671" i="1" s="1"/>
  <c r="G1671" i="6"/>
  <c r="C1671" i="6"/>
  <c r="H1672" i="6" l="1"/>
  <c r="F1672" i="1" s="1"/>
  <c r="F1673" i="6"/>
  <c r="C1672" i="6"/>
  <c r="G1672" i="6"/>
  <c r="H1673" i="6" l="1"/>
  <c r="F1673" i="1" s="1"/>
  <c r="C1673" i="6"/>
  <c r="F1674" i="6"/>
  <c r="G1673" i="6"/>
  <c r="G1674" i="6" l="1"/>
  <c r="F1675" i="6"/>
  <c r="C1674" i="6"/>
  <c r="H1674" i="6"/>
  <c r="F1674" i="1" s="1"/>
  <c r="C1675" i="6" l="1"/>
  <c r="H1675" i="6"/>
  <c r="F1675" i="1" s="1"/>
  <c r="F1676" i="6"/>
  <c r="G1675" i="6"/>
  <c r="G1676" i="6" l="1"/>
  <c r="H1676" i="6"/>
  <c r="F1676" i="1" s="1"/>
  <c r="F1677" i="6"/>
  <c r="C1676" i="6"/>
  <c r="F1678" i="6" l="1"/>
  <c r="H1677" i="6"/>
  <c r="F1677" i="1" s="1"/>
  <c r="C1677" i="6"/>
  <c r="G1677" i="6"/>
  <c r="H1678" i="6" l="1"/>
  <c r="F1678" i="1" s="1"/>
  <c r="F1679" i="6"/>
  <c r="C1678" i="6"/>
  <c r="G1678" i="6"/>
  <c r="G1679" i="6" l="1"/>
  <c r="F1680" i="6"/>
  <c r="H1679" i="6"/>
  <c r="F1679" i="1" s="1"/>
  <c r="C1679" i="6"/>
  <c r="G1680" i="6" l="1"/>
  <c r="F1681" i="6"/>
  <c r="C1680" i="6"/>
  <c r="H1680" i="6"/>
  <c r="F1680" i="1" s="1"/>
  <c r="G1681" i="6" l="1"/>
  <c r="H1681" i="6"/>
  <c r="F1681" i="1" s="1"/>
  <c r="F1682" i="6"/>
  <c r="C1681" i="6"/>
  <c r="F1683" i="6" l="1"/>
  <c r="C1682" i="6"/>
  <c r="G1682" i="6"/>
  <c r="H1682" i="6"/>
  <c r="F1682" i="1" s="1"/>
  <c r="H1683" i="6" l="1"/>
  <c r="F1683" i="1" s="1"/>
  <c r="G1683" i="6"/>
  <c r="F1684" i="6"/>
  <c r="C1683" i="6"/>
  <c r="G1684" i="6" l="1"/>
  <c r="H1684" i="6"/>
  <c r="F1684" i="1" s="1"/>
  <c r="F1685" i="6"/>
  <c r="C1684" i="6"/>
  <c r="G1685" i="6" l="1"/>
  <c r="C1685" i="6"/>
  <c r="F1686" i="6"/>
  <c r="H1685" i="6"/>
  <c r="F1685" i="1" s="1"/>
  <c r="H1686" i="6" l="1"/>
  <c r="F1686" i="1" s="1"/>
  <c r="G1686" i="6"/>
  <c r="F1687" i="6"/>
  <c r="C1686" i="6"/>
  <c r="H1687" i="6" l="1"/>
  <c r="F1687" i="1" s="1"/>
  <c r="G1687" i="6"/>
  <c r="C1687" i="6"/>
  <c r="F1688" i="6"/>
  <c r="G1688" i="6" l="1"/>
  <c r="H1688" i="6"/>
  <c r="F1688" i="1" s="1"/>
  <c r="F1689" i="6"/>
  <c r="C1688" i="6"/>
  <c r="H1689" i="6" l="1"/>
  <c r="F1689" i="1" s="1"/>
  <c r="G1689" i="6"/>
  <c r="F1690" i="6"/>
  <c r="C1689" i="6"/>
  <c r="C1690" i="6" l="1"/>
  <c r="G1690" i="6"/>
  <c r="F1691" i="6"/>
  <c r="H1690" i="6"/>
  <c r="F1690" i="1" s="1"/>
  <c r="F1692" i="6" l="1"/>
  <c r="G1691" i="6"/>
  <c r="H1691" i="6"/>
  <c r="F1691" i="1" s="1"/>
  <c r="C1691" i="6"/>
  <c r="H1692" i="6" l="1"/>
  <c r="F1692" i="1" s="1"/>
  <c r="C1692" i="6"/>
  <c r="G1692" i="6"/>
  <c r="F1693" i="6"/>
  <c r="C1693" i="6" l="1"/>
  <c r="F1694" i="6"/>
  <c r="H1693" i="6"/>
  <c r="F1693" i="1" s="1"/>
  <c r="G1693" i="6"/>
  <c r="F1695" i="6" l="1"/>
  <c r="G1694" i="6"/>
  <c r="H1694" i="6"/>
  <c r="F1694" i="1" s="1"/>
  <c r="C1694" i="6"/>
  <c r="G1695" i="6" l="1"/>
  <c r="H1695" i="6"/>
  <c r="F1695" i="1" s="1"/>
  <c r="C1695" i="6"/>
  <c r="F1696" i="6"/>
  <c r="G1696" i="6" l="1"/>
  <c r="F1697" i="6"/>
  <c r="H1696" i="6"/>
  <c r="F1696" i="1" s="1"/>
  <c r="C1696" i="6"/>
  <c r="C1697" i="6" l="1"/>
  <c r="F1698" i="6"/>
  <c r="G1697" i="6"/>
  <c r="H1697" i="6"/>
  <c r="F1697" i="1" s="1"/>
  <c r="F1699" i="6" l="1"/>
  <c r="C1698" i="6"/>
  <c r="G1698" i="6"/>
  <c r="H1698" i="6"/>
  <c r="F1698" i="1" s="1"/>
  <c r="G1699" i="6" l="1"/>
  <c r="H1699" i="6"/>
  <c r="F1699" i="1" s="1"/>
  <c r="F1700" i="6"/>
  <c r="C1699" i="6"/>
  <c r="G1700" i="6" l="1"/>
  <c r="H1700" i="6"/>
  <c r="F1700" i="1" s="1"/>
  <c r="C1700" i="6"/>
  <c r="F1701" i="6"/>
  <c r="G1701" i="6" l="1"/>
  <c r="C1701" i="6"/>
  <c r="H1701" i="6"/>
  <c r="F1701" i="1" s="1"/>
  <c r="F1702" i="6"/>
  <c r="F1703" i="6" l="1"/>
  <c r="C1702" i="6"/>
  <c r="H1702" i="6"/>
  <c r="F1702" i="1" s="1"/>
  <c r="G1702" i="6"/>
  <c r="C1703" i="6" l="1"/>
  <c r="G1703" i="6"/>
  <c r="H1703" i="6"/>
  <c r="F1703" i="1" s="1"/>
  <c r="F1704" i="6"/>
  <c r="G1704" i="6" l="1"/>
  <c r="C1704" i="6"/>
  <c r="H1704" i="6"/>
  <c r="F1704" i="1" s="1"/>
  <c r="F1705" i="6"/>
  <c r="G1705" i="6" l="1"/>
  <c r="C1705" i="6"/>
  <c r="H1705" i="6"/>
  <c r="F1705" i="1" s="1"/>
  <c r="F1706" i="6"/>
  <c r="G1706" i="6" l="1"/>
  <c r="F1707" i="6"/>
  <c r="C1706" i="6"/>
  <c r="H1706" i="6"/>
  <c r="F1706" i="1" s="1"/>
  <c r="H1707" i="6" l="1"/>
  <c r="F1707" i="1" s="1"/>
  <c r="G1707" i="6"/>
  <c r="C1707" i="6"/>
  <c r="F1708" i="6"/>
  <c r="G1708" i="6" l="1"/>
  <c r="H1708" i="6"/>
  <c r="F1708" i="1" s="1"/>
  <c r="F1709" i="6"/>
  <c r="C1708" i="6"/>
  <c r="F1710" i="6" l="1"/>
  <c r="C1709" i="6"/>
  <c r="H1709" i="6"/>
  <c r="F1709" i="1" s="1"/>
  <c r="G1709" i="6"/>
  <c r="G1710" i="6" l="1"/>
  <c r="C1710" i="6"/>
  <c r="H1710" i="6"/>
  <c r="F1710" i="1" s="1"/>
  <c r="F1711" i="6"/>
  <c r="H1711" i="6" l="1"/>
  <c r="F1711" i="1" s="1"/>
  <c r="C1711" i="6"/>
  <c r="G1711" i="6"/>
  <c r="F1712" i="6"/>
  <c r="H1712" i="6" l="1"/>
  <c r="F1712" i="1" s="1"/>
  <c r="G1712" i="6"/>
  <c r="F1713" i="6"/>
  <c r="C1712" i="6"/>
  <c r="G1713" i="6" l="1"/>
  <c r="F1714" i="6"/>
  <c r="H1713" i="6"/>
  <c r="F1713" i="1" s="1"/>
  <c r="C1713" i="6"/>
  <c r="H1714" i="6" l="1"/>
  <c r="F1714" i="1" s="1"/>
  <c r="G1714" i="6"/>
  <c r="C1714" i="6"/>
  <c r="F1715" i="6"/>
  <c r="G1715" i="6" l="1"/>
  <c r="F1716" i="6"/>
  <c r="H1715" i="6"/>
  <c r="F1715" i="1" s="1"/>
  <c r="C1715" i="6"/>
  <c r="G1716" i="6" l="1"/>
  <c r="F1717" i="6"/>
  <c r="C1716" i="6"/>
  <c r="H1716" i="6"/>
  <c r="F1716" i="1" s="1"/>
  <c r="G1717" i="6" l="1"/>
  <c r="F1718" i="6"/>
  <c r="C1717" i="6"/>
  <c r="H1717" i="6"/>
  <c r="F1717" i="1" s="1"/>
  <c r="G1718" i="6" l="1"/>
  <c r="F1719" i="6"/>
  <c r="C1718" i="6"/>
  <c r="H1718" i="6"/>
  <c r="F1718" i="1" s="1"/>
  <c r="H1719" i="6" l="1"/>
  <c r="F1719" i="1" s="1"/>
  <c r="G1719" i="6"/>
  <c r="C1719" i="6"/>
  <c r="F1720" i="6"/>
  <c r="C1720" i="6" l="1"/>
  <c r="G1720" i="6"/>
  <c r="H1720" i="6"/>
  <c r="F1720" i="1" s="1"/>
  <c r="F1721" i="6"/>
  <c r="F1722" i="6" l="1"/>
  <c r="C1721" i="6"/>
  <c r="H1721" i="6"/>
  <c r="F1721" i="1" s="1"/>
  <c r="G1721" i="6"/>
  <c r="F1723" i="6" l="1"/>
  <c r="H1722" i="6"/>
  <c r="F1722" i="1" s="1"/>
  <c r="G1722" i="6"/>
  <c r="C1722" i="6"/>
  <c r="H1723" i="6" l="1"/>
  <c r="F1723" i="1" s="1"/>
  <c r="C1723" i="6"/>
  <c r="G1723" i="6"/>
  <c r="F1724" i="6"/>
  <c r="F1725" i="6" l="1"/>
  <c r="G1724" i="6"/>
  <c r="H1724" i="6"/>
  <c r="F1724" i="1" s="1"/>
  <c r="C1724" i="6"/>
  <c r="C1725" i="6" l="1"/>
  <c r="F1726" i="6"/>
  <c r="H1725" i="6"/>
  <c r="F1725" i="1" s="1"/>
  <c r="G1725" i="6"/>
  <c r="H1726" i="6" l="1"/>
  <c r="F1726" i="1" s="1"/>
  <c r="C1726" i="6"/>
  <c r="G1726" i="6"/>
  <c r="F1727" i="6"/>
  <c r="H1727" i="6" l="1"/>
  <c r="F1727" i="1" s="1"/>
  <c r="F1728" i="6"/>
  <c r="C1727" i="6"/>
  <c r="G1727" i="6"/>
  <c r="F1729" i="6" l="1"/>
  <c r="C1728" i="6"/>
  <c r="H1728" i="6"/>
  <c r="F1728" i="1" s="1"/>
  <c r="G1728" i="6"/>
  <c r="C1729" i="6" l="1"/>
  <c r="F1730" i="6"/>
  <c r="H1729" i="6"/>
  <c r="F1729" i="1" s="1"/>
  <c r="G1729" i="6"/>
  <c r="H1730" i="6" l="1"/>
  <c r="F1730" i="1" s="1"/>
  <c r="C1730" i="6"/>
  <c r="F1731" i="6"/>
  <c r="G1730" i="6"/>
  <c r="G1731" i="6" l="1"/>
  <c r="C1731" i="6"/>
  <c r="H1731" i="6"/>
  <c r="F1731" i="1" s="1"/>
  <c r="F1732" i="6"/>
  <c r="G1732" i="6" l="1"/>
  <c r="F1733" i="6"/>
  <c r="H1732" i="6"/>
  <c r="F1732" i="1" s="1"/>
  <c r="C1732" i="6"/>
  <c r="G1733" i="6" l="1"/>
  <c r="H1733" i="6"/>
  <c r="F1733" i="1" s="1"/>
  <c r="F1734" i="6"/>
  <c r="C1733" i="6"/>
  <c r="F1735" i="6" l="1"/>
  <c r="H1734" i="6"/>
  <c r="F1734" i="1" s="1"/>
  <c r="G1734" i="6"/>
  <c r="C1734" i="6"/>
  <c r="G1735" i="6" l="1"/>
  <c r="F1736" i="6"/>
  <c r="H1735" i="6"/>
  <c r="F1735" i="1" s="1"/>
  <c r="C1735" i="6"/>
  <c r="C1736" i="6" l="1"/>
  <c r="G1736" i="6"/>
  <c r="F1737" i="6"/>
  <c r="H1736" i="6"/>
  <c r="F1736" i="1" s="1"/>
  <c r="F1738" i="6" l="1"/>
  <c r="C1737" i="6"/>
  <c r="G1737" i="6"/>
  <c r="H1737" i="6"/>
  <c r="F1737" i="1" s="1"/>
  <c r="F1739" i="6" l="1"/>
  <c r="C1738" i="6"/>
  <c r="G1738" i="6"/>
  <c r="H1738" i="6"/>
  <c r="F1738" i="1" s="1"/>
  <c r="F1740" i="6" l="1"/>
  <c r="H1739" i="6"/>
  <c r="F1739" i="1" s="1"/>
  <c r="G1739" i="6"/>
  <c r="C1739" i="6"/>
  <c r="H1740" i="6" l="1"/>
  <c r="F1740" i="1" s="1"/>
  <c r="C1740" i="6"/>
  <c r="G1740" i="6"/>
  <c r="F1741" i="6"/>
  <c r="G1741" i="6" l="1"/>
  <c r="C1741" i="6"/>
  <c r="H1741" i="6"/>
  <c r="F1741" i="1" s="1"/>
  <c r="F1742" i="6"/>
  <c r="H1742" i="6" l="1"/>
  <c r="F1742" i="1" s="1"/>
  <c r="G1742" i="6"/>
  <c r="F1743" i="6"/>
  <c r="C1742" i="6"/>
  <c r="F1744" i="6" l="1"/>
  <c r="C1743" i="6"/>
  <c r="H1743" i="6"/>
  <c r="F1743" i="1" s="1"/>
  <c r="G1743" i="6"/>
  <c r="C1744" i="6" l="1"/>
  <c r="G1744" i="6"/>
  <c r="H1744" i="6"/>
  <c r="F1744" i="1" s="1"/>
  <c r="F1745" i="6"/>
  <c r="F1746" i="6" l="1"/>
  <c r="H1745" i="6"/>
  <c r="F1745" i="1" s="1"/>
  <c r="C1745" i="6"/>
  <c r="G1745" i="6"/>
  <c r="G1746" i="6" l="1"/>
  <c r="C1746" i="6"/>
  <c r="H1746" i="6"/>
  <c r="F1746" i="1" s="1"/>
  <c r="F1747" i="6"/>
  <c r="C1747" i="6" l="1"/>
  <c r="F1748" i="6"/>
  <c r="G1747" i="6"/>
  <c r="H1747" i="6"/>
  <c r="F1747" i="1" s="1"/>
  <c r="F1749" i="6" l="1"/>
  <c r="H1748" i="6"/>
  <c r="F1748" i="1" s="1"/>
  <c r="G1748" i="6"/>
  <c r="C1748" i="6"/>
  <c r="H1749" i="6" l="1"/>
  <c r="F1749" i="1" s="1"/>
  <c r="F1750" i="6"/>
  <c r="G1749" i="6"/>
  <c r="C1749" i="6"/>
  <c r="C1750" i="6" l="1"/>
  <c r="F1751" i="6"/>
  <c r="G1750" i="6"/>
  <c r="H1750" i="6"/>
  <c r="F1750" i="1" s="1"/>
  <c r="G1751" i="6" l="1"/>
  <c r="C1751" i="6"/>
  <c r="H1751" i="6"/>
  <c r="F1751" i="1" s="1"/>
  <c r="F1752" i="6"/>
  <c r="H1752" i="6" l="1"/>
  <c r="F1752" i="1" s="1"/>
  <c r="F1753" i="6"/>
  <c r="G1752" i="6"/>
  <c r="C1752" i="6"/>
  <c r="H1753" i="6" l="1"/>
  <c r="F1753" i="1" s="1"/>
  <c r="F1754" i="6"/>
  <c r="C1753" i="6"/>
  <c r="G1753" i="6"/>
  <c r="F1755" i="6" l="1"/>
  <c r="G1754" i="6"/>
  <c r="C1754" i="6"/>
  <c r="H1754" i="6"/>
  <c r="F1754" i="1" s="1"/>
  <c r="H1755" i="6" l="1"/>
  <c r="F1755" i="1" s="1"/>
  <c r="G1755" i="6"/>
  <c r="F1756" i="6"/>
  <c r="C1755" i="6"/>
  <c r="F1757" i="6" l="1"/>
  <c r="H1756" i="6"/>
  <c r="F1756" i="1" s="1"/>
  <c r="G1756" i="6"/>
  <c r="C1756" i="6"/>
  <c r="F1758" i="6" l="1"/>
  <c r="H1757" i="6"/>
  <c r="F1757" i="1" s="1"/>
  <c r="G1757" i="6"/>
  <c r="C1757" i="6"/>
  <c r="H1758" i="6" l="1"/>
  <c r="F1758" i="1" s="1"/>
  <c r="C1758" i="6"/>
  <c r="G1758" i="6"/>
  <c r="F1759" i="6"/>
  <c r="C1759" i="6" l="1"/>
  <c r="F1760" i="6"/>
  <c r="H1759" i="6"/>
  <c r="F1759" i="1" s="1"/>
  <c r="G1759" i="6"/>
  <c r="G1760" i="6" l="1"/>
  <c r="H1760" i="6"/>
  <c r="F1760" i="1" s="1"/>
  <c r="C1760" i="6"/>
  <c r="F1761" i="6"/>
  <c r="H1761" i="6" l="1"/>
  <c r="F1761" i="1" s="1"/>
  <c r="F1762" i="6"/>
  <c r="C1761" i="6"/>
  <c r="G1761" i="6"/>
  <c r="H1762" i="6" l="1"/>
  <c r="F1762" i="1" s="1"/>
  <c r="C1762" i="6"/>
  <c r="F1763" i="6"/>
  <c r="G1762" i="6"/>
  <c r="C1763" i="6" l="1"/>
  <c r="G1763" i="6"/>
  <c r="H1763" i="6"/>
  <c r="F1763" i="1" s="1"/>
  <c r="F1764" i="6"/>
  <c r="H1764" i="6" l="1"/>
  <c r="F1764" i="1" s="1"/>
  <c r="G1764" i="6"/>
  <c r="C1764" i="6"/>
  <c r="F1765" i="6"/>
  <c r="C1765" i="6" l="1"/>
  <c r="G1765" i="6"/>
  <c r="F1766" i="6"/>
  <c r="H1765" i="6"/>
  <c r="F1765" i="1" s="1"/>
  <c r="G1766" i="6" l="1"/>
  <c r="C1766" i="6"/>
  <c r="H1766" i="6"/>
  <c r="F1766" i="1" s="1"/>
  <c r="F1767" i="6"/>
  <c r="G1767" i="6" l="1"/>
  <c r="H1767" i="6"/>
  <c r="F1767" i="1" s="1"/>
  <c r="F1768" i="6"/>
  <c r="C1767" i="6"/>
  <c r="F1769" i="6" l="1"/>
  <c r="C1768" i="6"/>
  <c r="G1768" i="6"/>
  <c r="H1768" i="6"/>
  <c r="F1768" i="1" s="1"/>
  <c r="H1769" i="6" l="1"/>
  <c r="F1769" i="1" s="1"/>
  <c r="G1769" i="6"/>
  <c r="F1770" i="6"/>
  <c r="C1769" i="6"/>
  <c r="F1771" i="6" l="1"/>
  <c r="G1770" i="6"/>
  <c r="H1770" i="6"/>
  <c r="F1770" i="1" s="1"/>
  <c r="C1770" i="6"/>
  <c r="F1772" i="6" l="1"/>
  <c r="C1771" i="6"/>
  <c r="G1771" i="6"/>
  <c r="H1771" i="6"/>
  <c r="F1771" i="1" s="1"/>
  <c r="C1772" i="6" l="1"/>
  <c r="G1772" i="6"/>
  <c r="H1772" i="6"/>
  <c r="F1772" i="1" s="1"/>
  <c r="F1773" i="6"/>
  <c r="C1773" i="6" l="1"/>
  <c r="G1773" i="6"/>
  <c r="H1773" i="6"/>
  <c r="F1773" i="1" s="1"/>
  <c r="F1774" i="6"/>
  <c r="H1774" i="6" l="1"/>
  <c r="F1774" i="1" s="1"/>
  <c r="C1774" i="6"/>
  <c r="G1774" i="6"/>
  <c r="F1775" i="6"/>
  <c r="H1775" i="6" l="1"/>
  <c r="F1775" i="1" s="1"/>
  <c r="C1775" i="6"/>
  <c r="F1776" i="6"/>
  <c r="G1775" i="6"/>
  <c r="C1776" i="6" l="1"/>
  <c r="F1777" i="6"/>
  <c r="G1776" i="6"/>
  <c r="H1776" i="6"/>
  <c r="F1776" i="1" s="1"/>
  <c r="H1777" i="6" l="1"/>
  <c r="F1777" i="1" s="1"/>
  <c r="F1778" i="6"/>
  <c r="G1777" i="6"/>
  <c r="C1777" i="6"/>
  <c r="C1778" i="6" l="1"/>
  <c r="G1778" i="6"/>
  <c r="H1778" i="6"/>
  <c r="F1778" i="1" s="1"/>
  <c r="F1779" i="6"/>
  <c r="H1779" i="6" l="1"/>
  <c r="F1779" i="1" s="1"/>
  <c r="F1780" i="6"/>
  <c r="G1779" i="6"/>
  <c r="C1779" i="6"/>
  <c r="H1780" i="6" l="1"/>
  <c r="F1780" i="1" s="1"/>
  <c r="C1780" i="6"/>
  <c r="G1780" i="6"/>
  <c r="F1781" i="6"/>
  <c r="F1782" i="6" l="1"/>
  <c r="G1781" i="6"/>
  <c r="C1781" i="6"/>
  <c r="H1781" i="6"/>
  <c r="F1781" i="1" s="1"/>
  <c r="H1782" i="6" l="1"/>
  <c r="F1782" i="1" s="1"/>
  <c r="F1783" i="6"/>
  <c r="C1782" i="6"/>
  <c r="G1782" i="6"/>
  <c r="F1784" i="6" l="1"/>
  <c r="C1783" i="6"/>
  <c r="G1783" i="6"/>
  <c r="H1783" i="6"/>
  <c r="F1783" i="1" s="1"/>
  <c r="G1784" i="6" l="1"/>
  <c r="F1785" i="6"/>
  <c r="H1784" i="6"/>
  <c r="F1784" i="1" s="1"/>
  <c r="C1784" i="6"/>
  <c r="C1785" i="6" l="1"/>
  <c r="F1786" i="6"/>
  <c r="G1785" i="6"/>
  <c r="H1785" i="6"/>
  <c r="F1785" i="1" s="1"/>
  <c r="G1786" i="6" l="1"/>
  <c r="H1786" i="6"/>
  <c r="F1786" i="1" s="1"/>
  <c r="F1787" i="6"/>
  <c r="C1786" i="6"/>
  <c r="G1787" i="6" l="1"/>
  <c r="H1787" i="6"/>
  <c r="F1787" i="1" s="1"/>
  <c r="F1788" i="6"/>
  <c r="C1787" i="6"/>
  <c r="H1788" i="6" l="1"/>
  <c r="F1788" i="1" s="1"/>
  <c r="C1788" i="6"/>
  <c r="G1788" i="6"/>
  <c r="F1789" i="6"/>
  <c r="H1789" i="6" l="1"/>
  <c r="F1789" i="1" s="1"/>
  <c r="F1790" i="6"/>
  <c r="G1789" i="6"/>
  <c r="C1789" i="6"/>
  <c r="C1790" i="6" l="1"/>
  <c r="G1790" i="6"/>
  <c r="H1790" i="6"/>
  <c r="F1790" i="1" s="1"/>
  <c r="F1791" i="6"/>
  <c r="H1791" i="6" l="1"/>
  <c r="F1791" i="1" s="1"/>
  <c r="F1792" i="6"/>
  <c r="G1791" i="6"/>
  <c r="C1791" i="6"/>
  <c r="H1792" i="6" l="1"/>
  <c r="F1792" i="1" s="1"/>
  <c r="F1793" i="6"/>
  <c r="G1792" i="6"/>
  <c r="C1792" i="6"/>
  <c r="H1793" i="6" l="1"/>
  <c r="F1793" i="1" s="1"/>
  <c r="G1793" i="6"/>
  <c r="F1794" i="6"/>
  <c r="C1793" i="6"/>
  <c r="G1794" i="6" l="1"/>
  <c r="F1795" i="6"/>
  <c r="C1794" i="6"/>
  <c r="H1794" i="6"/>
  <c r="F1794" i="1" s="1"/>
  <c r="H1795" i="6" l="1"/>
  <c r="F1795" i="1" s="1"/>
  <c r="G1795" i="6"/>
  <c r="F1796" i="6"/>
  <c r="C1795" i="6"/>
  <c r="G1796" i="6" l="1"/>
  <c r="F1797" i="6"/>
  <c r="H1796" i="6"/>
  <c r="F1796" i="1" s="1"/>
  <c r="C1796" i="6"/>
  <c r="F1798" i="6" l="1"/>
  <c r="C1797" i="6"/>
  <c r="G1797" i="6"/>
  <c r="H1797" i="6"/>
  <c r="F1797" i="1" s="1"/>
  <c r="H1798" i="6" l="1"/>
  <c r="F1798" i="1" s="1"/>
  <c r="C1798" i="6"/>
  <c r="G1798" i="6"/>
  <c r="F1799" i="6"/>
  <c r="H1799" i="6" l="1"/>
  <c r="F1799" i="1" s="1"/>
  <c r="F1800" i="6"/>
  <c r="G1799" i="6"/>
  <c r="C1799" i="6"/>
  <c r="G1800" i="6" l="1"/>
  <c r="H1800" i="6"/>
  <c r="F1800" i="1" s="1"/>
  <c r="C1800" i="6"/>
  <c r="F1801" i="6"/>
  <c r="G1801" i="6" l="1"/>
  <c r="F1802" i="6"/>
  <c r="H1801" i="6"/>
  <c r="F1801" i="1" s="1"/>
  <c r="C1801" i="6"/>
  <c r="H1802" i="6" l="1"/>
  <c r="F1802" i="1" s="1"/>
  <c r="F1803" i="6"/>
  <c r="G1802" i="6"/>
  <c r="C1802" i="6"/>
  <c r="H1803" i="6" l="1"/>
  <c r="F1803" i="1" s="1"/>
  <c r="G1803" i="6"/>
  <c r="C1803" i="6"/>
  <c r="F1804" i="6"/>
  <c r="C1804" i="6" l="1"/>
  <c r="F1805" i="6"/>
  <c r="H1804" i="6"/>
  <c r="F1804" i="1" s="1"/>
  <c r="G1804" i="6"/>
  <c r="F1806" i="6" l="1"/>
  <c r="C1805" i="6"/>
  <c r="H1805" i="6"/>
  <c r="F1805" i="1" s="1"/>
  <c r="G1805" i="6"/>
  <c r="F1807" i="6" l="1"/>
  <c r="C1806" i="6"/>
  <c r="G1806" i="6"/>
  <c r="H1806" i="6"/>
  <c r="F1806" i="1" s="1"/>
  <c r="G1807" i="6" l="1"/>
  <c r="H1807" i="6"/>
  <c r="F1807" i="1" s="1"/>
  <c r="F1808" i="6"/>
  <c r="C1807" i="6"/>
  <c r="F1809" i="6" l="1"/>
  <c r="C1808" i="6"/>
  <c r="H1808" i="6"/>
  <c r="F1808" i="1" s="1"/>
  <c r="G1808" i="6"/>
  <c r="C1809" i="6" l="1"/>
  <c r="G1809" i="6"/>
  <c r="H1809" i="6"/>
  <c r="F1809" i="1" s="1"/>
  <c r="F1810" i="6"/>
  <c r="H1810" i="6" l="1"/>
  <c r="F1810" i="1" s="1"/>
  <c r="F1811" i="6"/>
  <c r="G1810" i="6"/>
  <c r="C1810" i="6"/>
  <c r="H1811" i="6" l="1"/>
  <c r="F1811" i="1" s="1"/>
  <c r="G1811" i="6"/>
  <c r="C1811" i="6"/>
  <c r="F1812" i="6"/>
  <c r="F1813" i="6" l="1"/>
  <c r="G1812" i="6"/>
  <c r="H1812" i="6"/>
  <c r="F1812" i="1" s="1"/>
  <c r="C1812" i="6"/>
  <c r="H1813" i="6" l="1"/>
  <c r="F1813" i="1" s="1"/>
  <c r="G1813" i="6"/>
  <c r="F1814" i="6"/>
  <c r="C1813" i="6"/>
  <c r="H1814" i="6" l="1"/>
  <c r="F1814" i="1" s="1"/>
  <c r="F1815" i="6"/>
  <c r="G1814" i="6"/>
  <c r="C1814" i="6"/>
  <c r="C1815" i="6" l="1"/>
  <c r="F1816" i="6"/>
  <c r="G1815" i="6"/>
  <c r="H1815" i="6"/>
  <c r="F1815" i="1" s="1"/>
  <c r="C1816" i="6" l="1"/>
  <c r="F1817" i="6"/>
  <c r="G1816" i="6"/>
  <c r="H1816" i="6"/>
  <c r="F1816" i="1" s="1"/>
  <c r="H1817" i="6" l="1"/>
  <c r="F1817" i="1" s="1"/>
  <c r="C1817" i="6"/>
  <c r="F1818" i="6"/>
  <c r="G1817" i="6"/>
  <c r="C1818" i="6" l="1"/>
  <c r="G1818" i="6"/>
  <c r="H1818" i="6"/>
  <c r="F1818" i="1" s="1"/>
  <c r="F1819" i="6"/>
  <c r="G1819" i="6" l="1"/>
  <c r="F1820" i="6"/>
  <c r="H1819" i="6"/>
  <c r="F1819" i="1" s="1"/>
  <c r="C1819" i="6"/>
  <c r="F1821" i="6" l="1"/>
  <c r="H1820" i="6"/>
  <c r="F1820" i="1" s="1"/>
  <c r="G1820" i="6"/>
  <c r="C1820" i="6"/>
  <c r="F1822" i="6" l="1"/>
  <c r="H1821" i="6"/>
  <c r="F1821" i="1" s="1"/>
  <c r="C1821" i="6"/>
  <c r="G1821" i="6"/>
  <c r="F1823" i="6" l="1"/>
  <c r="H1822" i="6"/>
  <c r="F1822" i="1" s="1"/>
  <c r="G1822" i="6"/>
  <c r="C1822" i="6"/>
  <c r="F1824" i="6" l="1"/>
  <c r="C1823" i="6"/>
  <c r="H1823" i="6"/>
  <c r="F1823" i="1" s="1"/>
  <c r="G1823" i="6"/>
  <c r="C1824" i="6" l="1"/>
  <c r="F1825" i="6"/>
  <c r="H1824" i="6"/>
  <c r="F1824" i="1" s="1"/>
  <c r="G1824" i="6"/>
  <c r="C1825" i="6" l="1"/>
  <c r="G1825" i="6"/>
  <c r="H1825" i="6"/>
  <c r="F1825" i="1" s="1"/>
  <c r="F1826" i="6"/>
  <c r="F1827" i="6" l="1"/>
  <c r="C1826" i="6"/>
  <c r="H1826" i="6"/>
  <c r="F1826" i="1" s="1"/>
  <c r="G1826" i="6"/>
  <c r="F1828" i="6" l="1"/>
  <c r="G1827" i="6"/>
  <c r="C1827" i="6"/>
  <c r="H1827" i="6"/>
  <c r="F1827" i="1" s="1"/>
  <c r="H1828" i="6" l="1"/>
  <c r="F1828" i="1" s="1"/>
  <c r="C1828" i="6"/>
  <c r="G1828" i="6"/>
  <c r="F1829" i="6"/>
  <c r="H1829" i="6" l="1"/>
  <c r="F1829" i="1" s="1"/>
  <c r="G1829" i="6"/>
  <c r="F1830" i="6"/>
  <c r="C1829" i="6"/>
  <c r="H1830" i="6" l="1"/>
  <c r="F1830" i="1" s="1"/>
  <c r="F1831" i="6"/>
  <c r="G1830" i="6"/>
  <c r="C1830" i="6"/>
  <c r="H1831" i="6" l="1"/>
  <c r="F1831" i="1" s="1"/>
  <c r="G1831" i="6"/>
  <c r="C1831" i="6"/>
  <c r="F1832" i="6"/>
  <c r="C1832" i="6" l="1"/>
  <c r="F1833" i="6"/>
  <c r="G1832" i="6"/>
  <c r="H1832" i="6"/>
  <c r="F1832" i="1" s="1"/>
  <c r="C1833" i="6" l="1"/>
  <c r="F1834" i="6"/>
  <c r="H1833" i="6"/>
  <c r="F1833" i="1" s="1"/>
  <c r="G1833" i="6"/>
  <c r="F1835" i="6" l="1"/>
  <c r="H1834" i="6"/>
  <c r="F1834" i="1" s="1"/>
  <c r="G1834" i="6"/>
  <c r="C1834" i="6"/>
  <c r="H1835" i="6" l="1"/>
  <c r="F1835" i="1" s="1"/>
  <c r="C1835" i="6"/>
  <c r="G1835" i="6"/>
  <c r="F1836" i="6"/>
  <c r="F1837" i="6" l="1"/>
  <c r="C1836" i="6"/>
  <c r="G1836" i="6"/>
  <c r="H1836" i="6"/>
  <c r="F1836" i="1" s="1"/>
  <c r="F1838" i="6" l="1"/>
  <c r="C1837" i="6"/>
  <c r="G1837" i="6"/>
  <c r="H1837" i="6"/>
  <c r="F1837" i="1" s="1"/>
  <c r="H1838" i="6" l="1"/>
  <c r="F1838" i="1" s="1"/>
  <c r="F1839" i="6"/>
  <c r="C1838" i="6"/>
  <c r="G1838" i="6"/>
  <c r="G1839" i="6" l="1"/>
  <c r="H1839" i="6"/>
  <c r="F1839" i="1" s="1"/>
  <c r="C1839" i="6"/>
  <c r="F1840" i="6"/>
  <c r="C1840" i="6" l="1"/>
  <c r="G1840" i="6"/>
  <c r="F1841" i="6"/>
  <c r="H1840" i="6"/>
  <c r="F1840" i="1" s="1"/>
  <c r="H1841" i="6" l="1"/>
  <c r="F1841" i="1" s="1"/>
  <c r="F1842" i="6"/>
  <c r="G1841" i="6"/>
  <c r="C1841" i="6"/>
  <c r="G1842" i="6" l="1"/>
  <c r="H1842" i="6"/>
  <c r="F1842" i="1" s="1"/>
  <c r="C1842" i="6"/>
  <c r="F1843" i="6"/>
  <c r="C1843" i="6" l="1"/>
  <c r="F1844" i="6"/>
  <c r="G1843" i="6"/>
  <c r="H1843" i="6"/>
  <c r="F1843" i="1" s="1"/>
  <c r="G1844" i="6" l="1"/>
  <c r="C1844" i="6"/>
  <c r="H1844" i="6"/>
  <c r="F1844" i="1" s="1"/>
  <c r="F1845" i="6"/>
  <c r="H1845" i="6" l="1"/>
  <c r="F1845" i="1" s="1"/>
  <c r="F1846" i="6"/>
  <c r="C1845" i="6"/>
  <c r="G1845" i="6"/>
  <c r="H1846" i="6" l="1"/>
  <c r="F1846" i="1" s="1"/>
  <c r="G1846" i="6"/>
  <c r="C1846" i="6"/>
  <c r="F1847" i="6"/>
  <c r="C1847" i="6" l="1"/>
  <c r="F1848" i="6"/>
  <c r="G1847" i="6"/>
  <c r="H1847" i="6"/>
  <c r="F1847" i="1" s="1"/>
  <c r="G1848" i="6" l="1"/>
  <c r="F1849" i="6"/>
  <c r="H1848" i="6"/>
  <c r="F1848" i="1" s="1"/>
  <c r="C1848" i="6"/>
  <c r="G1849" i="6" l="1"/>
  <c r="H1849" i="6"/>
  <c r="F1849" i="1" s="1"/>
  <c r="C1849" i="6"/>
  <c r="F1850" i="6"/>
  <c r="C1850" i="6" l="1"/>
  <c r="G1850" i="6"/>
  <c r="F1851" i="6"/>
  <c r="H1850" i="6"/>
  <c r="F1850" i="1" s="1"/>
  <c r="F1852" i="6" l="1"/>
  <c r="C1851" i="6"/>
  <c r="G1851" i="6"/>
  <c r="H1851" i="6"/>
  <c r="F1851" i="1" s="1"/>
  <c r="F1853" i="6" l="1"/>
  <c r="G1852" i="6"/>
  <c r="H1852" i="6"/>
  <c r="F1852" i="1" s="1"/>
  <c r="C1852" i="6"/>
  <c r="F1854" i="6" l="1"/>
  <c r="C1853" i="6"/>
  <c r="G1853" i="6"/>
  <c r="H1853" i="6"/>
  <c r="F1853" i="1" s="1"/>
  <c r="C1854" i="6" l="1"/>
  <c r="H1854" i="6"/>
  <c r="F1854" i="1" s="1"/>
  <c r="G1854" i="6"/>
  <c r="F1855" i="6"/>
  <c r="H1855" i="6" l="1"/>
  <c r="F1855" i="1" s="1"/>
  <c r="C1855" i="6"/>
  <c r="F1856" i="6"/>
  <c r="G1855" i="6"/>
  <c r="F1857" i="6" l="1"/>
  <c r="H1856" i="6"/>
  <c r="F1856" i="1" s="1"/>
  <c r="C1856" i="6"/>
  <c r="G1856" i="6"/>
  <c r="H1857" i="6" l="1"/>
  <c r="F1857" i="1" s="1"/>
  <c r="C1857" i="6"/>
  <c r="G1857" i="6"/>
  <c r="F1858" i="6"/>
  <c r="F1859" i="6" l="1"/>
  <c r="G1858" i="6"/>
  <c r="C1858" i="6"/>
  <c r="H1858" i="6"/>
  <c r="F1858" i="1" s="1"/>
  <c r="F1860" i="6" l="1"/>
  <c r="H1859" i="6"/>
  <c r="F1859" i="1" s="1"/>
  <c r="G1859" i="6"/>
  <c r="C1859" i="6"/>
  <c r="C1860" i="6" l="1"/>
  <c r="F1861" i="6"/>
  <c r="H1860" i="6"/>
  <c r="F1860" i="1" s="1"/>
  <c r="G1860" i="6"/>
  <c r="F1862" i="6" l="1"/>
  <c r="G1861" i="6"/>
  <c r="C1861" i="6"/>
  <c r="H1861" i="6"/>
  <c r="F1861" i="1" s="1"/>
  <c r="C1862" i="6" l="1"/>
  <c r="F1863" i="6"/>
  <c r="H1862" i="6"/>
  <c r="F1862" i="1" s="1"/>
  <c r="G1862" i="6"/>
  <c r="C1863" i="6" l="1"/>
  <c r="H1863" i="6"/>
  <c r="F1863" i="1" s="1"/>
  <c r="G1863" i="6"/>
  <c r="F1864" i="6"/>
  <c r="C1864" i="6" l="1"/>
  <c r="G1864" i="6"/>
  <c r="F1865" i="6"/>
  <c r="H1864" i="6"/>
  <c r="F1864" i="1" s="1"/>
  <c r="H1865" i="6" l="1"/>
  <c r="F1865" i="1" s="1"/>
  <c r="F1866" i="6"/>
  <c r="G1865" i="6"/>
  <c r="C1865" i="6"/>
  <c r="F1867" i="6" l="1"/>
  <c r="G1866" i="6"/>
  <c r="C1866" i="6"/>
  <c r="H1866" i="6"/>
  <c r="F1866" i="1" s="1"/>
  <c r="C1867" i="6" l="1"/>
  <c r="G1867" i="6"/>
  <c r="H1867" i="6"/>
  <c r="F1867" i="1" s="1"/>
  <c r="F1868" i="6"/>
  <c r="G1868" i="6" l="1"/>
  <c r="H1868" i="6"/>
  <c r="F1868" i="1" s="1"/>
  <c r="F1869" i="6"/>
  <c r="C1868" i="6"/>
  <c r="G1869" i="6" l="1"/>
  <c r="F1870" i="6"/>
  <c r="C1869" i="6"/>
  <c r="H1869" i="6"/>
  <c r="F1869" i="1" s="1"/>
  <c r="H1870" i="6" l="1"/>
  <c r="F1870" i="1" s="1"/>
  <c r="C1870" i="6"/>
  <c r="G1870" i="6"/>
  <c r="F1871" i="6"/>
  <c r="G1871" i="6" l="1"/>
  <c r="F1872" i="6"/>
  <c r="C1871" i="6"/>
  <c r="H1871" i="6"/>
  <c r="F1871" i="1" s="1"/>
  <c r="H1872" i="6" l="1"/>
  <c r="F1872" i="1" s="1"/>
  <c r="G1872" i="6"/>
  <c r="C1872" i="6"/>
  <c r="F1873" i="6"/>
  <c r="G1873" i="6" l="1"/>
  <c r="F1874" i="6"/>
  <c r="C1873" i="6"/>
  <c r="H1873" i="6"/>
  <c r="F1873" i="1" s="1"/>
  <c r="H1874" i="6" l="1"/>
  <c r="F1874" i="1" s="1"/>
  <c r="F1875" i="6"/>
  <c r="C1874" i="6"/>
  <c r="G1874" i="6"/>
  <c r="H1875" i="6" l="1"/>
  <c r="F1875" i="1" s="1"/>
  <c r="G1875" i="6"/>
  <c r="C1875" i="6"/>
  <c r="F1876" i="6"/>
  <c r="F1877" i="6" l="1"/>
  <c r="G1876" i="6"/>
  <c r="C1876" i="6"/>
  <c r="H1876" i="6"/>
  <c r="F1876" i="1" s="1"/>
  <c r="H1877" i="6" l="1"/>
  <c r="F1877" i="1" s="1"/>
  <c r="F1878" i="6"/>
  <c r="C1877" i="6"/>
  <c r="G1877" i="6"/>
  <c r="C1878" i="6" l="1"/>
  <c r="H1878" i="6"/>
  <c r="F1878" i="1" s="1"/>
  <c r="G1878" i="6"/>
  <c r="F1879" i="6"/>
  <c r="H1879" i="6" l="1"/>
  <c r="F1879" i="1" s="1"/>
  <c r="C1879" i="6"/>
  <c r="F1880" i="6"/>
  <c r="G1879" i="6"/>
  <c r="C1880" i="6" l="1"/>
  <c r="G1880" i="6"/>
  <c r="H1880" i="6"/>
  <c r="F1880" i="1" s="1"/>
  <c r="F1881" i="6"/>
  <c r="C1881" i="6" l="1"/>
  <c r="F1882" i="6"/>
  <c r="H1881" i="6"/>
  <c r="F1881" i="1" s="1"/>
  <c r="G1881" i="6"/>
  <c r="G1882" i="6" l="1"/>
  <c r="C1882" i="6"/>
  <c r="F1883" i="6"/>
  <c r="H1882" i="6"/>
  <c r="F1882" i="1" s="1"/>
  <c r="H1883" i="6" l="1"/>
  <c r="F1883" i="1" s="1"/>
  <c r="F1884" i="6"/>
  <c r="G1883" i="6"/>
  <c r="C1883" i="6"/>
  <c r="C1884" i="6" l="1"/>
  <c r="F1885" i="6"/>
  <c r="H1884" i="6"/>
  <c r="F1884" i="1" s="1"/>
  <c r="G1884" i="6"/>
  <c r="H1885" i="6" l="1"/>
  <c r="F1885" i="1" s="1"/>
  <c r="G1885" i="6"/>
  <c r="F1886" i="6"/>
  <c r="C1885" i="6"/>
  <c r="H1886" i="6" l="1"/>
  <c r="F1886" i="1" s="1"/>
  <c r="C1886" i="6"/>
  <c r="G1886" i="6"/>
  <c r="F1887" i="6"/>
  <c r="F1888" i="6" l="1"/>
  <c r="C1887" i="6"/>
  <c r="H1887" i="6"/>
  <c r="F1887" i="1" s="1"/>
  <c r="G1887" i="6"/>
  <c r="G1888" i="6" l="1"/>
  <c r="H1888" i="6"/>
  <c r="F1888" i="1" s="1"/>
  <c r="F1889" i="6"/>
  <c r="C1888" i="6"/>
  <c r="H1889" i="6" l="1"/>
  <c r="F1889" i="1" s="1"/>
  <c r="C1889" i="6"/>
  <c r="F1890" i="6"/>
  <c r="G1889" i="6"/>
  <c r="H1890" i="6" l="1"/>
  <c r="F1890" i="1" s="1"/>
  <c r="C1890" i="6"/>
  <c r="G1890" i="6"/>
  <c r="F1891" i="6"/>
  <c r="F1892" i="6" l="1"/>
  <c r="H1891" i="6"/>
  <c r="F1891" i="1" s="1"/>
  <c r="G1891" i="6"/>
  <c r="C1891" i="6"/>
  <c r="F1893" i="6" l="1"/>
  <c r="H1892" i="6"/>
  <c r="F1892" i="1" s="1"/>
  <c r="G1892" i="6"/>
  <c r="C1892" i="6"/>
  <c r="H1893" i="6" l="1"/>
  <c r="F1893" i="1" s="1"/>
  <c r="F1894" i="6"/>
  <c r="G1893" i="6"/>
  <c r="C1893" i="6"/>
  <c r="F1895" i="6" l="1"/>
  <c r="H1894" i="6"/>
  <c r="F1894" i="1" s="1"/>
  <c r="C1894" i="6"/>
  <c r="G1894" i="6"/>
  <c r="F1896" i="6" l="1"/>
  <c r="G1895" i="6"/>
  <c r="H1895" i="6"/>
  <c r="F1895" i="1" s="1"/>
  <c r="C1895" i="6"/>
  <c r="H1896" i="6" l="1"/>
  <c r="F1896" i="1" s="1"/>
  <c r="C1896" i="6"/>
  <c r="G1896" i="6"/>
  <c r="F1897" i="6"/>
  <c r="G1897" i="6" l="1"/>
  <c r="C1897" i="6"/>
  <c r="F1898" i="6"/>
  <c r="H1897" i="6"/>
  <c r="F1897" i="1" s="1"/>
  <c r="G1898" i="6" l="1"/>
  <c r="H1898" i="6"/>
  <c r="F1898" i="1" s="1"/>
  <c r="F1899" i="6"/>
  <c r="C1898" i="6"/>
  <c r="G1899" i="6" l="1"/>
  <c r="C1899" i="6"/>
  <c r="H1899" i="6"/>
  <c r="F1899" i="1" s="1"/>
  <c r="F1900" i="6"/>
  <c r="G1900" i="6" l="1"/>
  <c r="F1901" i="6"/>
  <c r="H1900" i="6"/>
  <c r="F1900" i="1" s="1"/>
  <c r="C1900" i="6"/>
  <c r="G1901" i="6" l="1"/>
  <c r="C1901" i="6"/>
  <c r="F1902" i="6"/>
  <c r="H1901" i="6"/>
  <c r="F1901" i="1" s="1"/>
  <c r="H1902" i="6" l="1"/>
  <c r="F1902" i="1" s="1"/>
  <c r="F1903" i="6"/>
  <c r="G1902" i="6"/>
  <c r="C1902" i="6"/>
  <c r="C1903" i="6" l="1"/>
  <c r="G1903" i="6"/>
  <c r="H1903" i="6"/>
  <c r="F1903" i="1" s="1"/>
  <c r="F1904" i="6"/>
  <c r="F1905" i="6" l="1"/>
  <c r="C1904" i="6"/>
  <c r="G1904" i="6"/>
  <c r="H1904" i="6"/>
  <c r="F1904" i="1" s="1"/>
  <c r="G1905" i="6" l="1"/>
  <c r="F1906" i="6"/>
  <c r="C1905" i="6"/>
  <c r="H1905" i="6"/>
  <c r="F1905" i="1" s="1"/>
  <c r="F1907" i="6" l="1"/>
  <c r="G1906" i="6"/>
  <c r="H1906" i="6"/>
  <c r="F1906" i="1" s="1"/>
  <c r="C1906" i="6"/>
  <c r="H1907" i="6" l="1"/>
  <c r="F1907" i="1" s="1"/>
  <c r="C1907" i="6"/>
  <c r="G1907" i="6"/>
  <c r="F1908" i="6"/>
  <c r="F1909" i="6" l="1"/>
  <c r="H1908" i="6"/>
  <c r="F1908" i="1" s="1"/>
  <c r="G1908" i="6"/>
  <c r="C1908" i="6"/>
  <c r="F1910" i="6" l="1"/>
  <c r="H1909" i="6"/>
  <c r="F1909" i="1" s="1"/>
  <c r="C1909" i="6"/>
  <c r="G1909" i="6"/>
  <c r="C1910" i="6" l="1"/>
  <c r="H1910" i="6"/>
  <c r="F1910" i="1" s="1"/>
  <c r="F1911" i="6"/>
  <c r="G1910" i="6"/>
  <c r="H1911" i="6" l="1"/>
  <c r="F1911" i="1" s="1"/>
  <c r="C1911" i="6"/>
  <c r="F1912" i="6"/>
  <c r="G1911" i="6"/>
  <c r="G1912" i="6" l="1"/>
  <c r="C1912" i="6"/>
  <c r="H1912" i="6"/>
  <c r="F1912" i="1" s="1"/>
  <c r="F1913" i="6"/>
  <c r="C1913" i="6" l="1"/>
  <c r="F1914" i="6"/>
  <c r="G1913" i="6"/>
  <c r="H1913" i="6"/>
  <c r="F1913" i="1" s="1"/>
  <c r="F1915" i="6" l="1"/>
  <c r="H1914" i="6"/>
  <c r="F1914" i="1" s="1"/>
  <c r="C1914" i="6"/>
  <c r="G1914" i="6"/>
  <c r="G1915" i="6" l="1"/>
  <c r="F1916" i="6"/>
  <c r="H1915" i="6"/>
  <c r="F1915" i="1" s="1"/>
  <c r="C1915" i="6"/>
  <c r="C1916" i="6" l="1"/>
  <c r="H1916" i="6"/>
  <c r="F1916" i="1" s="1"/>
  <c r="G1916" i="6"/>
  <c r="F1917" i="6"/>
  <c r="F1918" i="6" l="1"/>
  <c r="H1917" i="6"/>
  <c r="F1917" i="1" s="1"/>
  <c r="G1917" i="6"/>
  <c r="C1917" i="6"/>
  <c r="G1918" i="6" l="1"/>
  <c r="F1919" i="6"/>
  <c r="H1918" i="6"/>
  <c r="F1918" i="1" s="1"/>
  <c r="C1918" i="6"/>
  <c r="H1919" i="6" l="1"/>
  <c r="F1919" i="1" s="1"/>
  <c r="G1919" i="6"/>
  <c r="C1919" i="6"/>
  <c r="F1920" i="6"/>
  <c r="H1920" i="6" l="1"/>
  <c r="F1920" i="1" s="1"/>
  <c r="C1920" i="6"/>
  <c r="F1921" i="6"/>
  <c r="G1920" i="6"/>
  <c r="F1922" i="6" l="1"/>
  <c r="C1921" i="6"/>
  <c r="H1921" i="6"/>
  <c r="F1921" i="1" s="1"/>
  <c r="G1921" i="6"/>
  <c r="H1922" i="6" l="1"/>
  <c r="F1922" i="1" s="1"/>
  <c r="C1922" i="6"/>
  <c r="F1923" i="6"/>
  <c r="G1922" i="6"/>
  <c r="C1923" i="6" l="1"/>
  <c r="G1923" i="6"/>
  <c r="H1923" i="6"/>
  <c r="F1923" i="1" s="1"/>
  <c r="F1924" i="6"/>
  <c r="C1924" i="6" l="1"/>
  <c r="H1924" i="6"/>
  <c r="F1924" i="1" s="1"/>
  <c r="G1924" i="6"/>
  <c r="F1925" i="6"/>
  <c r="F1926" i="6" l="1"/>
  <c r="G1925" i="6"/>
  <c r="C1925" i="6"/>
  <c r="H1925" i="6"/>
  <c r="F1925" i="1" s="1"/>
  <c r="F1927" i="6" l="1"/>
  <c r="H1926" i="6"/>
  <c r="F1926" i="1" s="1"/>
  <c r="G1926" i="6"/>
  <c r="C1926" i="6"/>
  <c r="F1928" i="6" l="1"/>
  <c r="C1927" i="6"/>
  <c r="G1927" i="6"/>
  <c r="H1927" i="6"/>
  <c r="F1927" i="1" s="1"/>
  <c r="C1928" i="6" l="1"/>
  <c r="G1928" i="6"/>
  <c r="F1929" i="6"/>
  <c r="H1928" i="6"/>
  <c r="F1928" i="1" s="1"/>
  <c r="H1929" i="6" l="1"/>
  <c r="F1929" i="1" s="1"/>
  <c r="F1930" i="6"/>
  <c r="C1929" i="6"/>
  <c r="G1929" i="6"/>
  <c r="C1930" i="6" l="1"/>
  <c r="G1930" i="6"/>
  <c r="H1930" i="6"/>
  <c r="F1930" i="1" s="1"/>
  <c r="F1931" i="6"/>
  <c r="C1931" i="6" l="1"/>
  <c r="G1931" i="6"/>
  <c r="H1931" i="6"/>
  <c r="F1931" i="1" s="1"/>
  <c r="F1932" i="6"/>
  <c r="H1932" i="6" l="1"/>
  <c r="F1932" i="1" s="1"/>
  <c r="F1933" i="6"/>
  <c r="G1932" i="6"/>
  <c r="C1932" i="6"/>
  <c r="H1933" i="6" l="1"/>
  <c r="F1933" i="1" s="1"/>
  <c r="G1933" i="6"/>
  <c r="F1934" i="6"/>
  <c r="C1933" i="6"/>
  <c r="G1934" i="6" l="1"/>
  <c r="H1934" i="6"/>
  <c r="F1934" i="1" s="1"/>
  <c r="C1934" i="6"/>
  <c r="F1935" i="6"/>
  <c r="C1935" i="6" l="1"/>
  <c r="G1935" i="6"/>
  <c r="H1935" i="6"/>
  <c r="F1935" i="1" s="1"/>
  <c r="F1936" i="6"/>
  <c r="H1936" i="6" l="1"/>
  <c r="F1936" i="1" s="1"/>
  <c r="C1936" i="6"/>
  <c r="F1937" i="6"/>
  <c r="G1936" i="6"/>
  <c r="H1937" i="6" l="1"/>
  <c r="F1937" i="1" s="1"/>
  <c r="G1937" i="6"/>
  <c r="F1938" i="6"/>
  <c r="C1937" i="6"/>
  <c r="G1938" i="6" l="1"/>
  <c r="C1938" i="6"/>
  <c r="F1939" i="6"/>
  <c r="H1938" i="6"/>
  <c r="F1938" i="1" s="1"/>
  <c r="C1939" i="6" l="1"/>
  <c r="F1940" i="6"/>
  <c r="G1939" i="6"/>
  <c r="H1939" i="6"/>
  <c r="F1939" i="1" s="1"/>
  <c r="F1941" i="6" l="1"/>
  <c r="C1940" i="6"/>
  <c r="G1940" i="6"/>
  <c r="H1940" i="6"/>
  <c r="F1940" i="1" s="1"/>
  <c r="C1941" i="6" l="1"/>
  <c r="H1941" i="6"/>
  <c r="F1941" i="1" s="1"/>
  <c r="G1941" i="6"/>
  <c r="F1942" i="6"/>
  <c r="F1943" i="6" l="1"/>
  <c r="C1942" i="6"/>
  <c r="H1942" i="6"/>
  <c r="F1942" i="1" s="1"/>
  <c r="G1942" i="6"/>
  <c r="G1943" i="6" l="1"/>
  <c r="F1944" i="6"/>
  <c r="C1943" i="6"/>
  <c r="H1943" i="6"/>
  <c r="F1943" i="1" s="1"/>
  <c r="G1944" i="6" l="1"/>
  <c r="H1944" i="6"/>
  <c r="F1944" i="1" s="1"/>
  <c r="C1944" i="6"/>
  <c r="F1945" i="6"/>
  <c r="H1945" i="6" l="1"/>
  <c r="F1945" i="1" s="1"/>
  <c r="F1946" i="6"/>
  <c r="G1945" i="6"/>
  <c r="C1945" i="6"/>
  <c r="G1946" i="6" l="1"/>
  <c r="F1947" i="6"/>
  <c r="H1946" i="6"/>
  <c r="F1946" i="1" s="1"/>
  <c r="C1946" i="6"/>
  <c r="F1948" i="6" l="1"/>
  <c r="C1947" i="6"/>
  <c r="G1947" i="6"/>
  <c r="H1947" i="6"/>
  <c r="F1947" i="1" s="1"/>
  <c r="G1948" i="6" l="1"/>
  <c r="C1948" i="6"/>
  <c r="H1948" i="6"/>
  <c r="F1948" i="1" s="1"/>
  <c r="F1949" i="6"/>
  <c r="C1949" i="6" l="1"/>
  <c r="G1949" i="6"/>
  <c r="F1950" i="6"/>
  <c r="H1949" i="6"/>
  <c r="F1949" i="1" s="1"/>
  <c r="H1950" i="6" l="1"/>
  <c r="F1950" i="1" s="1"/>
  <c r="C1950" i="6"/>
  <c r="G1950" i="6"/>
  <c r="F1951" i="6"/>
  <c r="H1951" i="6" l="1"/>
  <c r="F1951" i="1" s="1"/>
  <c r="C1951" i="6"/>
  <c r="G1951" i="6"/>
  <c r="F1952" i="6"/>
  <c r="C1952" i="6" l="1"/>
  <c r="G1952" i="6"/>
  <c r="H1952" i="6"/>
  <c r="F1952" i="1" s="1"/>
  <c r="F1953" i="6"/>
  <c r="C1953" i="6" l="1"/>
  <c r="G1953" i="6"/>
  <c r="F1954" i="6"/>
  <c r="H1953" i="6"/>
  <c r="F1953" i="1" s="1"/>
  <c r="F1955" i="6" l="1"/>
  <c r="C1954" i="6"/>
  <c r="G1954" i="6"/>
  <c r="H1954" i="6"/>
  <c r="F1954" i="1" s="1"/>
  <c r="C1955" i="6" l="1"/>
  <c r="F1956" i="6"/>
  <c r="H1955" i="6"/>
  <c r="F1955" i="1" s="1"/>
  <c r="G1955" i="6"/>
  <c r="C1956" i="6" l="1"/>
  <c r="F1957" i="6"/>
  <c r="G1956" i="6"/>
  <c r="H1956" i="6"/>
  <c r="F1956" i="1" s="1"/>
  <c r="H1957" i="6" l="1"/>
  <c r="F1957" i="1" s="1"/>
  <c r="G1957" i="6"/>
  <c r="C1957" i="6"/>
  <c r="F1958" i="6"/>
  <c r="C1958" i="6" l="1"/>
  <c r="F1959" i="6"/>
  <c r="H1958" i="6"/>
  <c r="F1958" i="1" s="1"/>
  <c r="G1958" i="6"/>
  <c r="F1960" i="6" l="1"/>
  <c r="G1959" i="6"/>
  <c r="H1959" i="6"/>
  <c r="F1959" i="1" s="1"/>
  <c r="C1959" i="6"/>
  <c r="H1960" i="6" l="1"/>
  <c r="F1960" i="1" s="1"/>
  <c r="G1960" i="6"/>
  <c r="F1961" i="6"/>
  <c r="C1960" i="6"/>
  <c r="H1961" i="6" l="1"/>
  <c r="F1961" i="1" s="1"/>
  <c r="C1961" i="6"/>
  <c r="F1962" i="6"/>
  <c r="G1961" i="6"/>
  <c r="F1963" i="6" l="1"/>
  <c r="C1962" i="6"/>
  <c r="G1962" i="6"/>
  <c r="H1962" i="6"/>
  <c r="F1962" i="1" s="1"/>
  <c r="F1964" i="6" l="1"/>
  <c r="G1963" i="6"/>
  <c r="H1963" i="6"/>
  <c r="F1963" i="1" s="1"/>
  <c r="C1963" i="6"/>
  <c r="C1964" i="6" l="1"/>
  <c r="H1964" i="6"/>
  <c r="F1964" i="1" s="1"/>
  <c r="G1964" i="6"/>
  <c r="F1965" i="6"/>
  <c r="F1966" i="6" l="1"/>
  <c r="C1965" i="6"/>
  <c r="G1965" i="6"/>
  <c r="H1965" i="6"/>
  <c r="F1965" i="1" s="1"/>
  <c r="C1966" i="6" l="1"/>
  <c r="F1967" i="6"/>
  <c r="H1966" i="6"/>
  <c r="F1966" i="1" s="1"/>
  <c r="G1966" i="6"/>
  <c r="C1967" i="6" l="1"/>
  <c r="G1967" i="6"/>
  <c r="H1967" i="6"/>
  <c r="F1967" i="1" s="1"/>
  <c r="F1968" i="6"/>
  <c r="H1968" i="6" l="1"/>
  <c r="F1968" i="1" s="1"/>
  <c r="C1968" i="6"/>
  <c r="F1969" i="6"/>
  <c r="G1968" i="6"/>
  <c r="H1969" i="6" l="1"/>
  <c r="F1969" i="1" s="1"/>
  <c r="C1969" i="6"/>
  <c r="F1970" i="6"/>
  <c r="G1969" i="6"/>
  <c r="G1970" i="6" l="1"/>
  <c r="H1970" i="6"/>
  <c r="F1970" i="1" s="1"/>
  <c r="C1970" i="6"/>
  <c r="F1971" i="6"/>
  <c r="C1971" i="6" l="1"/>
  <c r="G1971" i="6"/>
  <c r="F1972" i="6"/>
  <c r="H1971" i="6"/>
  <c r="F1971" i="1" s="1"/>
  <c r="G1972" i="6" l="1"/>
  <c r="H1972" i="6"/>
  <c r="F1972" i="1" s="1"/>
  <c r="F1973" i="6"/>
  <c r="C1972" i="6"/>
  <c r="F1974" i="6" l="1"/>
  <c r="H1973" i="6"/>
  <c r="F1973" i="1" s="1"/>
  <c r="G1973" i="6"/>
  <c r="C1973" i="6"/>
  <c r="C1974" i="6" l="1"/>
  <c r="F1975" i="6"/>
  <c r="H1974" i="6"/>
  <c r="F1974" i="1" s="1"/>
  <c r="G1974" i="6"/>
  <c r="C1975" i="6" l="1"/>
  <c r="G1975" i="6"/>
  <c r="F1976" i="6"/>
  <c r="H1975" i="6"/>
  <c r="F1975" i="1" s="1"/>
  <c r="H1976" i="6" l="1"/>
  <c r="F1976" i="1" s="1"/>
  <c r="F1977" i="6"/>
  <c r="G1976" i="6"/>
  <c r="C1976" i="6"/>
  <c r="C1977" i="6" l="1"/>
  <c r="G1977" i="6"/>
  <c r="H1977" i="6"/>
  <c r="F1977" i="1" s="1"/>
  <c r="F1978" i="6"/>
  <c r="C1978" i="6" l="1"/>
  <c r="G1978" i="6"/>
  <c r="F1979" i="6"/>
  <c r="H1978" i="6"/>
  <c r="F1978" i="1" s="1"/>
  <c r="H1979" i="6" l="1"/>
  <c r="F1979" i="1" s="1"/>
  <c r="G1979" i="6"/>
  <c r="F1980" i="6"/>
  <c r="C1979" i="6"/>
  <c r="C1980" i="6" l="1"/>
  <c r="G1980" i="6"/>
  <c r="F1981" i="6"/>
  <c r="H1980" i="6"/>
  <c r="F1980" i="1" s="1"/>
  <c r="C1981" i="6" l="1"/>
  <c r="H1981" i="6"/>
  <c r="F1981" i="1" s="1"/>
  <c r="F1982" i="6"/>
  <c r="G1981" i="6"/>
  <c r="F1983" i="6" l="1"/>
  <c r="C1982" i="6"/>
  <c r="G1982" i="6"/>
  <c r="H1982" i="6"/>
  <c r="F1982" i="1" s="1"/>
  <c r="H1983" i="6" l="1"/>
  <c r="F1983" i="1" s="1"/>
  <c r="G1983" i="6"/>
  <c r="F1984" i="6"/>
  <c r="C1983" i="6"/>
  <c r="C1984" i="6" l="1"/>
  <c r="H1984" i="6"/>
  <c r="F1984" i="1" s="1"/>
  <c r="F1985" i="6"/>
  <c r="G1984" i="6"/>
  <c r="F1986" i="6" l="1"/>
  <c r="C1985" i="6"/>
  <c r="H1985" i="6"/>
  <c r="F1985" i="1" s="1"/>
  <c r="G1985" i="6"/>
  <c r="F1987" i="6" l="1"/>
  <c r="C1986" i="6"/>
  <c r="G1986" i="6"/>
  <c r="H1986" i="6"/>
  <c r="F1986" i="1" s="1"/>
  <c r="F1988" i="6" l="1"/>
  <c r="H1987" i="6"/>
  <c r="F1987" i="1" s="1"/>
  <c r="C1987" i="6"/>
  <c r="G1987" i="6"/>
  <c r="C1988" i="6" l="1"/>
  <c r="G1988" i="6"/>
  <c r="H1988" i="6"/>
  <c r="F1988" i="1" s="1"/>
  <c r="F1989" i="6"/>
  <c r="G1989" i="6" l="1"/>
  <c r="H1989" i="6"/>
  <c r="F1989" i="1" s="1"/>
  <c r="C1989" i="6"/>
  <c r="F1990" i="6"/>
  <c r="H1990" i="6" l="1"/>
  <c r="F1990" i="1" s="1"/>
  <c r="F1991" i="6"/>
  <c r="C1990" i="6"/>
  <c r="G1990" i="6"/>
  <c r="F1992" i="6" l="1"/>
  <c r="G1991" i="6"/>
  <c r="H1991" i="6"/>
  <c r="F1991" i="1" s="1"/>
  <c r="C1991" i="6"/>
  <c r="F1993" i="6" l="1"/>
  <c r="G1992" i="6"/>
  <c r="H1992" i="6"/>
  <c r="F1992" i="1" s="1"/>
  <c r="C1992" i="6"/>
  <c r="F1994" i="6" l="1"/>
  <c r="C1993" i="6"/>
  <c r="G1993" i="6"/>
  <c r="H1993" i="6"/>
  <c r="F1993" i="1" s="1"/>
  <c r="C1994" i="6" l="1"/>
  <c r="F1995" i="6"/>
  <c r="H1994" i="6"/>
  <c r="F1994" i="1" s="1"/>
  <c r="G1994" i="6"/>
  <c r="G1995" i="6" l="1"/>
  <c r="F1996" i="6"/>
  <c r="H1995" i="6"/>
  <c r="F1995" i="1" s="1"/>
  <c r="C1995" i="6"/>
  <c r="G1996" i="6" l="1"/>
  <c r="H1996" i="6"/>
  <c r="F1996" i="1" s="1"/>
  <c r="F1997" i="6"/>
  <c r="C1996" i="6"/>
  <c r="G1997" i="6" l="1"/>
  <c r="C1997" i="6"/>
  <c r="F1998" i="6"/>
  <c r="H1997" i="6"/>
  <c r="F1997" i="1" s="1"/>
  <c r="G1998" i="6" l="1"/>
  <c r="C1998" i="6"/>
  <c r="F1999" i="6"/>
  <c r="H1998" i="6"/>
  <c r="F1998" i="1" s="1"/>
  <c r="C1999" i="6" l="1"/>
  <c r="G1999" i="6"/>
  <c r="H1999" i="6"/>
  <c r="F1999" i="1" s="1"/>
</calcChain>
</file>

<file path=xl/sharedStrings.xml><?xml version="1.0" encoding="utf-8"?>
<sst xmlns="http://schemas.openxmlformats.org/spreadsheetml/2006/main" count="640" uniqueCount="134">
  <si>
    <t>Industry</t>
  </si>
  <si>
    <t>Value</t>
  </si>
  <si>
    <t>Parameter</t>
  </si>
  <si>
    <t>Sample type</t>
  </si>
  <si>
    <t>Mon. point</t>
  </si>
  <si>
    <t>Sample date</t>
  </si>
  <si>
    <t>Copper</t>
  </si>
  <si>
    <t>Cadmium</t>
  </si>
  <si>
    <t>Chlorine</t>
  </si>
  <si>
    <t>Chromium (T)</t>
  </si>
  <si>
    <t>Chromium (VI)</t>
  </si>
  <si>
    <t>Cyanide (CATC)</t>
  </si>
  <si>
    <t>Cyanide (T)</t>
  </si>
  <si>
    <t>Lead</t>
  </si>
  <si>
    <t>Mercury</t>
  </si>
  <si>
    <t>Nickel</t>
  </si>
  <si>
    <t>pH</t>
  </si>
  <si>
    <t>Phenols</t>
  </si>
  <si>
    <t>Selenium</t>
  </si>
  <si>
    <t>Silver</t>
  </si>
  <si>
    <t>Sulfide</t>
  </si>
  <si>
    <t>TPH</t>
  </si>
  <si>
    <t>TTO</t>
  </si>
  <si>
    <t>Zinc</t>
  </si>
  <si>
    <t>BOD</t>
  </si>
  <si>
    <t>TSS</t>
  </si>
  <si>
    <t>Chapin</t>
  </si>
  <si>
    <t>US Chrome</t>
  </si>
  <si>
    <t>Oatka</t>
  </si>
  <si>
    <t>Seneca</t>
  </si>
  <si>
    <t>Angelica</t>
  </si>
  <si>
    <t>Georgia Pacific</t>
  </si>
  <si>
    <t>WTP</t>
  </si>
  <si>
    <t>Summit</t>
  </si>
  <si>
    <t>Hodgins</t>
  </si>
  <si>
    <t>FDC</t>
  </si>
  <si>
    <t>GCC</t>
  </si>
  <si>
    <t>Hood</t>
  </si>
  <si>
    <t>Tompkins</t>
  </si>
  <si>
    <t>SASS</t>
  </si>
  <si>
    <t>AS</t>
  </si>
  <si>
    <t>IU sample</t>
  </si>
  <si>
    <t>Auth sample</t>
  </si>
  <si>
    <t>TKN</t>
  </si>
  <si>
    <t>Oil &amp; grease</t>
  </si>
  <si>
    <t>Ammonia</t>
  </si>
  <si>
    <t>END</t>
  </si>
  <si>
    <t>Num of params</t>
  </si>
  <si>
    <t>Upstate</t>
  </si>
  <si>
    <t>To do</t>
  </si>
  <si>
    <t>Limitations and notes</t>
  </si>
  <si>
    <t>Temperature (ºC)</t>
  </si>
  <si>
    <t>Features</t>
  </si>
  <si>
    <t>Conditional formatting:</t>
  </si>
  <si>
    <t>Green highlight for next date cell to prevent overlap</t>
  </si>
  <si>
    <t>Data validation:</t>
  </si>
  <si>
    <t>Sample dates must be valid for this program year</t>
  </si>
  <si>
    <t>Col name</t>
  </si>
  <si>
    <t>Col location</t>
  </si>
  <si>
    <t>This is used to loop through the IU column.
IF C is blank, then decrement until 0. Else use E.</t>
  </si>
  <si>
    <t>Row num</t>
  </si>
  <si>
    <t>Col num</t>
  </si>
  <si>
    <t>Return col num of array (not col letter of sheet).
Col lookup is kinda redundant with D, but this avoids circular logic.</t>
  </si>
  <si>
    <t>Return param from array by using the sheet from C, row from F, and col from G.
Quote and ampersand weirdness is because it is difficult to concatenate sheet and row/col.</t>
  </si>
  <si>
    <t>Triennial SASS</t>
  </si>
  <si>
    <t>Arsenic</t>
  </si>
  <si>
    <t>Samples do not need to be in chronological order</t>
  </si>
  <si>
    <t>readme file? - better to have info here</t>
  </si>
  <si>
    <t>Must use .xlsm format to use macro buttons</t>
  </si>
  <si>
    <t>Violation resample</t>
  </si>
  <si>
    <t>Sheet name</t>
  </si>
  <si>
    <t>Fluoride</t>
  </si>
  <si>
    <t>Phosphorus</t>
  </si>
  <si>
    <t>Auto populate:</t>
  </si>
  <si>
    <t>Parameters for SASS, AS, and triennial samples</t>
  </si>
  <si>
    <t>Monitoring point when IU has only one</t>
  </si>
  <si>
    <t>Yellow highlight if auto populate formula for mon point or param is missing</t>
  </si>
  <si>
    <t>Named range</t>
  </si>
  <si>
    <t>1: Five stage, Delta</t>
  </si>
  <si>
    <t>1: Cedar St</t>
  </si>
  <si>
    <t>1: Discharge pit</t>
  </si>
  <si>
    <t>2: Weld tank</t>
  </si>
  <si>
    <t>2: RO, Ellicott St</t>
  </si>
  <si>
    <t>2: Cooling tower</t>
  </si>
  <si>
    <t>Chapin_1: Five stage, Delta</t>
  </si>
  <si>
    <t>Chapin_2: Weld tank</t>
  </si>
  <si>
    <t>US Chrome_1</t>
  </si>
  <si>
    <t>Oatka_1: Cedar St</t>
  </si>
  <si>
    <t>Oatka_2: RO, Ellicott St</t>
  </si>
  <si>
    <t>Seneca_1: Discharge pit</t>
  </si>
  <si>
    <t>Seneca_2: Cooling tower</t>
  </si>
  <si>
    <t>Angelica_1</t>
  </si>
  <si>
    <t>Tompkins_1</t>
  </si>
  <si>
    <t>Georgia Pacific_1</t>
  </si>
  <si>
    <t>WTP_1</t>
  </si>
  <si>
    <t>Summit_1</t>
  </si>
  <si>
    <t>Hodgins_1</t>
  </si>
  <si>
    <t>FDC_1</t>
  </si>
  <si>
    <t>GCC_1</t>
  </si>
  <si>
    <t>Hood_1</t>
  </si>
  <si>
    <t>Upstate_1</t>
  </si>
  <si>
    <t>IU, sample type, and param must be from lists on data_val sheet</t>
  </si>
  <si>
    <t>Named mon points available only when IU has more than one</t>
  </si>
  <si>
    <t>These cols are sorted in a way so that the first params listed on sample_log! are the same for both SASS and tri_SASS samples.</t>
  </si>
  <si>
    <t>This sheet auto populates the parameters for a given IU and sample type at sample_log!</t>
  </si>
  <si>
    <t>"Scroll to bottom" button to select next available sample date cell</t>
  </si>
  <si>
    <t>If a formula is deleted, then it can be restored by:</t>
  </si>
  <si>
    <t>All units in mg/L, except pH (S.U.) and temperature (ºC).</t>
  </si>
  <si>
    <t xml:space="preserve">    copy &amp; paste the formula from another cell in that column.</t>
  </si>
  <si>
    <t>Autopop only SASS, AS, or Tri-SASS samples.
Use sample_log! C and D to create col headers found in params! array.</t>
  </si>
  <si>
    <t>Don't try to optimise by appending an exclamation here. Won’t work with col H. I don't know why.</t>
  </si>
  <si>
    <t>Match B with the IU param array on params! or tri_params!.
The CHAR + 65 is used because MATCH returns the col number of the array, not the col letter of the sheet.
The CHAR + 65 can only be used on single character col letters. AA and beyond would need a new plan.</t>
  </si>
  <si>
    <t>This sheet is used to display the names of monitoring points when an IU has more than one.</t>
  </si>
  <si>
    <t>Count the number of non blank cells in IU col.
Use the col from D and start at row 3. End at row 24 (max number of params).</t>
  </si>
  <si>
    <t>This table is used only for data validation on sample_log!</t>
  </si>
  <si>
    <t>Autopop will not overwrite user-entered data</t>
  </si>
  <si>
    <t>Flashpoint (ºC)</t>
  </si>
  <si>
    <t>add flashpoint to tri</t>
  </si>
  <si>
    <t>add temp param to AS?</t>
  </si>
  <si>
    <t>Sort buttons will replace all autopop param formulas with text strings. Irreversible.</t>
  </si>
  <si>
    <t>Notes</t>
  </si>
  <si>
    <t>Col is formatted as text because there is no way to disable rounding when a number or custom format is used.
Values must be converted to float in vio checker code.
Data validation: must be a number or TOMP cert</t>
  </si>
  <si>
    <t>Skip a row between each sample.</t>
  </si>
  <si>
    <t>This table contains the named ranges used for the dependent list data validation at sample_log!D.
It defaults to "one" (a named range on data_val!), which evaluates to just the number 1.
chapin_mon, oatka_mon, and seneca_mon are named ranges for the mon points in this table.</t>
  </si>
  <si>
    <t>flow rates here?</t>
  </si>
  <si>
    <t>change buttons from activex to form to avoid trust issues -</t>
  </si>
  <si>
    <t>If entries overlap then Values will be lost.</t>
  </si>
  <si>
    <t>This array combines permit parameters and triennial parameters.
If more params are added then you must increase the lookup area on auto_pop! E and H.
These cols are sorted in a way so that the first params listed on sample_log! are the same for both SASS and tri_SASS samples.</t>
  </si>
  <si>
    <t>ex: lab flag, out of hold, improper sampling, missing triennial</t>
  </si>
  <si>
    <t>or "sampled by" to replace "sample type" - screws up auto pop and unn</t>
  </si>
  <si>
    <t>default to SASS and autopop?</t>
  </si>
  <si>
    <t>For ND lab flags, use the Reporting Limit.</t>
  </si>
  <si>
    <t>Angelica's new name?</t>
  </si>
  <si>
    <t>"CERT" can be used for TTO as a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</si>
</sst>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
    <numFmt numFmtId="165" formatCode="[$-409]d\-mmm\-yyyy;@"/>
  </numFmts>
  <fonts count="6" x14ac:knownFonts="1">
    <font>
      <sz val="11"/>
      <color theme="1"/>
      <name val="Calibri"/>
      <family val="2"/>
      <scheme val="minor"/>
    </font>
    <font>
      <b/>
      <sz val="12"/>
      <color theme="1"/>
      <name val="Arial"/>
      <family val="2"/>
    </font>
    <font>
      <sz val="12"/>
      <color theme="1"/>
      <name val="Arial"/>
      <family val="2"/>
    </font>
    <font>
      <sz val="11"/>
      <color theme="1"/>
      <name val="Arial"/>
      <family val="2"/>
    </font>
    <font>
      <b/>
      <u/>
      <sz val="12"/>
      <color theme="1"/>
      <name val="Arial"/>
      <family val="2"/>
    </font>
    <font>
      <sz val="12"/>
      <color rgb="FF000000"/>
      <name val="Arial"/>
      <family val="2"/>
    </font>
  </fonts>
  <fills count="3">
    <fill>
      <patternFill patternType="none"/>
    </fill>
    <fill>
      <patternFill patternType="gray125"/>
    </fill>
    <fill>
      <patternFill patternType="solid">
        <fgColor theme="0" tint="-0.14996795556505021"/>
        <bgColor indexed="64"/>
      </patternFill>
    </fill>
  </fills>
  <borders count="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s>
  <cellStyleXfs count="1">
    <xf numFmtId="0" fontId="0" fillId="0" borderId="0"/>
  </cellStyleXfs>
  <cellXfs count="34">
    <xf numFmtId="0" fontId="0" fillId="0" borderId="0" xfId="0"/>
    <xf numFmtId="0" fontId="1" fillId="2" borderId="1" xfId="0" applyFont="1" applyFill="1" applyBorder="1" applyAlignment="1">
      <alignment horizontal="center"/>
    </xf>
    <xf numFmtId="0" fontId="2" fillId="0" borderId="0" xfId="0" applyFont="1"/>
    <xf numFmtId="0" fontId="1" fillId="0" borderId="0" xfId="0" applyFont="1" applyAlignment="1">
      <alignment horizontal="center"/>
    </xf>
    <xf numFmtId="164" fontId="2" fillId="0" borderId="0" xfId="0" applyNumberFormat="1" applyFont="1" applyAlignment="1">
      <alignment wrapText="1"/>
    </xf>
    <xf numFmtId="0" fontId="2" fillId="0" borderId="0" xfId="0" applyFont="1" applyAlignment="1">
      <alignment horizontal="left"/>
    </xf>
    <xf numFmtId="0" fontId="2" fillId="0" borderId="0" xfId="0" applyFont="1" applyBorder="1" applyAlignment="1">
      <alignment horizontal="left" vertical="center" wrapText="1"/>
    </xf>
    <xf numFmtId="0" fontId="2" fillId="0" borderId="0" xfId="0" applyFont="1" applyFill="1" applyBorder="1" applyAlignment="1">
      <alignment horizontal="left" vertical="center" wrapText="1"/>
    </xf>
    <xf numFmtId="0" fontId="2" fillId="0" borderId="0" xfId="0" applyFont="1" applyBorder="1" applyAlignment="1">
      <alignment horizontal="left" vertical="center"/>
    </xf>
    <xf numFmtId="164" fontId="2" fillId="0" borderId="0" xfId="0" applyNumberFormat="1" applyFont="1"/>
    <xf numFmtId="0" fontId="3" fillId="0" borderId="0" xfId="0" applyFont="1"/>
    <xf numFmtId="0" fontId="2" fillId="0" borderId="0" xfId="0" applyFont="1" applyAlignment="1"/>
    <xf numFmtId="2" fontId="2" fillId="0" borderId="0" xfId="0" applyNumberFormat="1" applyFont="1"/>
    <xf numFmtId="49" fontId="2" fillId="0" borderId="0" xfId="0" applyNumberFormat="1" applyFont="1"/>
    <xf numFmtId="0" fontId="2" fillId="0" borderId="0" xfId="0" applyFont="1" applyAlignment="1">
      <alignment horizontal="center"/>
    </xf>
    <xf numFmtId="164" fontId="2" fillId="0" borderId="0" xfId="0" applyNumberFormat="1" applyFont="1" applyAlignment="1"/>
    <xf numFmtId="0" fontId="2" fillId="0" borderId="0" xfId="0" applyFont="1" applyFill="1" applyBorder="1" applyAlignment="1">
      <alignment horizontal="left" vertical="center"/>
    </xf>
    <xf numFmtId="0" fontId="0" fillId="0" borderId="0" xfId="0" applyAlignment="1"/>
    <xf numFmtId="49" fontId="1" fillId="2" borderId="1" xfId="0" applyNumberFormat="1" applyFont="1" applyFill="1" applyBorder="1" applyAlignment="1">
      <alignment horizontal="center"/>
    </xf>
    <xf numFmtId="164" fontId="2" fillId="0" borderId="0" xfId="0" applyNumberFormat="1" applyFont="1" applyAlignment="1">
      <alignment horizontal="left" indent="1"/>
    </xf>
    <xf numFmtId="164" fontId="2" fillId="0" borderId="0" xfId="0" applyNumberFormat="1" applyFont="1" applyAlignment="1">
      <alignment horizontal="left" wrapText="1" indent="1"/>
    </xf>
    <xf numFmtId="165" fontId="2" fillId="0" borderId="0" xfId="0" applyNumberFormat="1" applyFont="1" applyAlignment="1">
      <alignment horizontal="left" indent="1"/>
    </xf>
    <xf numFmtId="0" fontId="2" fillId="0" borderId="0" xfId="0" applyFont="1" applyAlignment="1">
      <alignment horizontal="left" indent="1"/>
    </xf>
    <xf numFmtId="0" fontId="2" fillId="0" borderId="0" xfId="0" applyFont="1" applyAlignment="1">
      <alignment horizontal="left" wrapText="1" indent="1"/>
    </xf>
    <xf numFmtId="0" fontId="1" fillId="0" borderId="0" xfId="0" applyFont="1"/>
    <xf numFmtId="0" fontId="4" fillId="0" borderId="0" xfId="0" applyFont="1"/>
    <xf numFmtId="49" fontId="1" fillId="2" borderId="2" xfId="0" applyNumberFormat="1" applyFont="1" applyFill="1" applyBorder="1" applyAlignment="1">
      <alignment horizontal="center"/>
    </xf>
    <xf numFmtId="0" fontId="1" fillId="2" borderId="3" xfId="0" applyFont="1" applyFill="1" applyBorder="1" applyAlignment="1">
      <alignment horizontal="center"/>
    </xf>
    <xf numFmtId="0" fontId="1" fillId="0" borderId="0" xfId="0" applyFont="1" applyBorder="1" applyAlignment="1">
      <alignment horizontal="center"/>
    </xf>
    <xf numFmtId="0" fontId="2" fillId="0" borderId="0" xfId="0" applyFont="1" applyAlignment="1">
      <alignment horizontal="left" indent="2"/>
    </xf>
    <xf numFmtId="0" fontId="1" fillId="2" borderId="1" xfId="0" applyFont="1" applyFill="1" applyBorder="1" applyAlignment="1">
      <alignment horizontal="center" wrapText="1"/>
    </xf>
    <xf numFmtId="49" fontId="2" fillId="0" borderId="0" xfId="0" applyNumberFormat="1" applyFont="1" applyAlignment="1">
      <alignment horizontal="center"/>
    </xf>
    <xf numFmtId="0" fontId="3" fillId="0" borderId="0" xfId="0" applyFont="1" applyAlignment="1">
      <alignment horizontal="center"/>
    </xf>
    <xf numFmtId="49" fontId="2" fillId="0" borderId="0" xfId="0" applyNumberFormat="1" applyFont="1" applyAlignment="1">
      <alignment horizontal="left" indent="1"/>
    </xf>
  </cellXfs>
  <cellStyles count="1">
    <cellStyle name="Normal" xfId="0" builtinId="0"/>
  </cellStyles>
  <dxfs count="5">
    <dxf>
      <fill>
        <patternFill>
          <bgColor theme="9"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ill>
        <patternFill>
          <bgColor theme="7" tint="0.79998168889431442"/>
        </patternFill>
      </fill>
    </dxf>
    <dxf>
      <fill>
        <patternFill>
          <bgColor theme="7" tint="0.79998168889431442"/>
        </patternFill>
      </fill>
    </dxf>
    <dxf>
      <fill>
        <patternFill>
          <bgColor theme="9" tint="0.79998168889431442"/>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3070860</xdr:colOff>
          <xdr:row>26</xdr:row>
          <xdr:rowOff>45720</xdr:rowOff>
        </xdr:from>
        <xdr:to>
          <xdr:col>9</xdr:col>
          <xdr:colOff>4442460</xdr:colOff>
          <xdr:row>28</xdr:row>
          <xdr:rowOff>121920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Scroll to bottom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4305300</xdr:colOff>
          <xdr:row>25</xdr:row>
          <xdr:rowOff>106680</xdr:rowOff>
        </xdr:from>
        <xdr:to>
          <xdr:col>11</xdr:col>
          <xdr:colOff>548640</xdr:colOff>
          <xdr:row>27</xdr:row>
          <xdr:rowOff>91440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Sort samples by industry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4297680</xdr:colOff>
          <xdr:row>22</xdr:row>
          <xdr:rowOff>83820</xdr:rowOff>
        </xdr:from>
        <xdr:to>
          <xdr:col>11</xdr:col>
          <xdr:colOff>541020</xdr:colOff>
          <xdr:row>24</xdr:row>
          <xdr:rowOff>68580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Sort samples by 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00"/>
  <sheetViews>
    <sheetView tabSelected="1" topLeftCell="A2" workbookViewId="0">
      <pane ySplit="1" topLeftCell="A3" activePane="bottomLeft" state="frozen"/>
      <selection activeCell="A2" sqref="A2"/>
      <selection pane="bottomLeft" activeCell="B4" sqref="B4"/>
    </sheetView>
  </sheetViews>
  <sheetFormatPr defaultColWidth="9.109375" defaultRowHeight="14.4" x14ac:dyDescent="0.3"/>
  <cols>
    <col min="1" max="1" width="3.44140625" customWidth="1"/>
    <col min="2" max="2" width="17.33203125" bestFit="1" customWidth="1"/>
    <col min="3" max="3" width="15.6640625" bestFit="1" customWidth="1"/>
    <col min="4" max="4" width="18.6640625" customWidth="1"/>
    <col min="5" max="5" width="17.5546875" customWidth="1"/>
    <col min="6" max="6" width="22.88671875" customWidth="1"/>
    <col min="7" max="7" width="15.6640625" customWidth="1"/>
    <col min="8" max="8" width="15.33203125" customWidth="1"/>
    <col min="9" max="9" width="9.6640625" customWidth="1"/>
    <col min="10" max="10" width="65.6640625" bestFit="1" customWidth="1"/>
    <col min="11" max="11" width="76.33203125" customWidth="1"/>
    <col min="12" max="12" width="23.6640625" customWidth="1"/>
  </cols>
  <sheetData>
    <row r="1" spans="1:11" s="9" customFormat="1" ht="15" x14ac:dyDescent="0.25">
      <c r="B1" s="19"/>
      <c r="C1" s="19"/>
      <c r="D1" s="19"/>
      <c r="E1" s="19"/>
      <c r="F1" s="19"/>
      <c r="G1" s="20" t="s">
        <v>121</v>
      </c>
      <c r="H1" s="9" t="s">
        <v>128</v>
      </c>
    </row>
    <row r="2" spans="1:11" s="28" customFormat="1" ht="15.6" x14ac:dyDescent="0.3">
      <c r="A2" s="3"/>
      <c r="B2" s="1" t="s">
        <v>5</v>
      </c>
      <c r="C2" s="1" t="s">
        <v>0</v>
      </c>
      <c r="D2" s="1" t="s">
        <v>4</v>
      </c>
      <c r="E2" s="1" t="s">
        <v>3</v>
      </c>
      <c r="F2" s="1" t="s">
        <v>2</v>
      </c>
      <c r="G2" s="18" t="s">
        <v>1</v>
      </c>
      <c r="H2" s="26" t="s">
        <v>120</v>
      </c>
    </row>
    <row r="3" spans="1:11" s="2" customFormat="1" ht="15.6" x14ac:dyDescent="0.3">
      <c r="A3" s="11"/>
      <c r="B3" s="21"/>
      <c r="C3" s="22"/>
      <c r="D3" s="29" t="str">
        <f t="shared" ref="D3:D67" si="0">IF(C3&lt;&gt;"", IF(OR(C3="Chapin", C3="Oatka", C3="Seneca"), "", 1), "")</f>
        <v/>
      </c>
      <c r="E3" s="22"/>
      <c r="F3" s="22" t="str">
        <f ca="1">auto_pop!H3</f>
        <v/>
      </c>
      <c r="G3" s="33"/>
      <c r="H3" s="33"/>
      <c r="I3" s="10"/>
      <c r="J3" s="27" t="s">
        <v>50</v>
      </c>
      <c r="K3" s="27" t="s">
        <v>52</v>
      </c>
    </row>
    <row r="4" spans="1:11" s="2" customFormat="1" ht="15" x14ac:dyDescent="0.25">
      <c r="A4" s="11"/>
      <c r="B4" s="21"/>
      <c r="C4" s="22"/>
      <c r="D4" s="29" t="str">
        <f t="shared" si="0"/>
        <v/>
      </c>
      <c r="E4" s="22"/>
      <c r="F4" s="22" t="str">
        <f ca="1">auto_pop!H4</f>
        <v/>
      </c>
      <c r="G4" s="33"/>
      <c r="H4" s="33"/>
      <c r="J4" s="2" t="s">
        <v>126</v>
      </c>
      <c r="K4" s="2" t="s">
        <v>73</v>
      </c>
    </row>
    <row r="5" spans="1:11" s="2" customFormat="1" ht="15" x14ac:dyDescent="0.25">
      <c r="A5" s="11"/>
      <c r="B5" s="21"/>
      <c r="C5" s="22"/>
      <c r="D5" s="29" t="str">
        <f t="shared" si="0"/>
        <v/>
      </c>
      <c r="E5" s="22"/>
      <c r="F5" s="22" t="str">
        <f ca="1">auto_pop!H5</f>
        <v/>
      </c>
      <c r="G5" s="33"/>
      <c r="H5" s="33"/>
      <c r="K5" s="2" t="s">
        <v>74</v>
      </c>
    </row>
    <row r="6" spans="1:11" s="2" customFormat="1" ht="15" x14ac:dyDescent="0.25">
      <c r="A6" s="11"/>
      <c r="B6" s="21"/>
      <c r="C6" s="22"/>
      <c r="D6" s="29" t="str">
        <f t="shared" si="0"/>
        <v/>
      </c>
      <c r="E6" s="22"/>
      <c r="F6" s="22" t="str">
        <f ca="1">auto_pop!H6</f>
        <v/>
      </c>
      <c r="G6" s="33"/>
      <c r="H6" s="33"/>
      <c r="J6" s="2" t="s">
        <v>133</v>
      </c>
      <c r="K6" s="2" t="s">
        <v>75</v>
      </c>
    </row>
    <row r="7" spans="1:11" s="2" customFormat="1" ht="15" x14ac:dyDescent="0.25">
      <c r="A7" s="11"/>
      <c r="B7" s="21"/>
      <c r="C7" s="22"/>
      <c r="D7" s="29" t="str">
        <f t="shared" si="0"/>
        <v/>
      </c>
      <c r="E7" s="22"/>
      <c r="F7" s="22" t="str">
        <f ca="1">auto_pop!H7</f>
        <v/>
      </c>
      <c r="G7" s="33"/>
      <c r="H7" s="33"/>
    </row>
    <row r="8" spans="1:11" s="2" customFormat="1" ht="15" x14ac:dyDescent="0.25">
      <c r="A8" s="11"/>
      <c r="B8" s="21"/>
      <c r="C8" s="22"/>
      <c r="D8" s="29" t="str">
        <f t="shared" si="0"/>
        <v/>
      </c>
      <c r="E8" s="22"/>
      <c r="F8" s="22" t="str">
        <f ca="1">auto_pop!H8</f>
        <v/>
      </c>
      <c r="G8" s="33"/>
      <c r="H8" s="33"/>
      <c r="J8" s="2" t="s">
        <v>106</v>
      </c>
      <c r="K8" s="2" t="s">
        <v>53</v>
      </c>
    </row>
    <row r="9" spans="1:11" s="2" customFormat="1" ht="15" x14ac:dyDescent="0.25">
      <c r="A9" s="11"/>
      <c r="B9" s="21"/>
      <c r="C9" s="22"/>
      <c r="D9" s="29" t="str">
        <f t="shared" si="0"/>
        <v/>
      </c>
      <c r="E9" s="22"/>
      <c r="F9" s="22" t="str">
        <f ca="1">auto_pop!H9</f>
        <v/>
      </c>
      <c r="G9" s="33"/>
      <c r="H9" s="33"/>
      <c r="J9" s="2" t="s">
        <v>108</v>
      </c>
      <c r="K9" s="2" t="s">
        <v>54</v>
      </c>
    </row>
    <row r="10" spans="1:11" s="2" customFormat="1" ht="15" x14ac:dyDescent="0.25">
      <c r="A10" s="11"/>
      <c r="B10" s="21"/>
      <c r="C10" s="22"/>
      <c r="D10" s="29" t="str">
        <f t="shared" si="0"/>
        <v/>
      </c>
      <c r="E10" s="22"/>
      <c r="F10" s="22" t="str">
        <f ca="1">auto_pop!H10</f>
        <v/>
      </c>
      <c r="G10" s="33"/>
      <c r="H10" s="33"/>
      <c r="K10" s="2" t="s">
        <v>76</v>
      </c>
    </row>
    <row r="11" spans="1:11" s="2" customFormat="1" ht="15" x14ac:dyDescent="0.25">
      <c r="A11" s="11"/>
      <c r="B11" s="21"/>
      <c r="C11" s="22"/>
      <c r="D11" s="29" t="str">
        <f t="shared" si="0"/>
        <v/>
      </c>
      <c r="E11" s="22"/>
      <c r="F11" s="22" t="str">
        <f ca="1">auto_pop!H11</f>
        <v/>
      </c>
      <c r="G11" s="33"/>
      <c r="H11" s="33"/>
      <c r="J11" s="2" t="s">
        <v>122</v>
      </c>
    </row>
    <row r="12" spans="1:11" s="2" customFormat="1" ht="15" x14ac:dyDescent="0.25">
      <c r="A12" s="11"/>
      <c r="B12" s="21"/>
      <c r="C12" s="22"/>
      <c r="D12" s="29" t="str">
        <f t="shared" si="0"/>
        <v/>
      </c>
      <c r="E12" s="22"/>
      <c r="F12" s="22" t="str">
        <f ca="1">auto_pop!H12</f>
        <v/>
      </c>
      <c r="G12" s="33"/>
      <c r="H12" s="33"/>
      <c r="K12" s="2" t="s">
        <v>55</v>
      </c>
    </row>
    <row r="13" spans="1:11" s="2" customFormat="1" ht="15" x14ac:dyDescent="0.25">
      <c r="A13" s="11"/>
      <c r="B13" s="21"/>
      <c r="C13" s="22"/>
      <c r="D13" s="29" t="str">
        <f t="shared" si="0"/>
        <v/>
      </c>
      <c r="E13" s="22"/>
      <c r="F13" s="22" t="str">
        <f ca="1">auto_pop!H13</f>
        <v/>
      </c>
      <c r="G13" s="33"/>
      <c r="H13" s="33"/>
      <c r="J13" s="2" t="s">
        <v>107</v>
      </c>
      <c r="K13" s="2" t="s">
        <v>56</v>
      </c>
    </row>
    <row r="14" spans="1:11" s="2" customFormat="1" ht="15" x14ac:dyDescent="0.25">
      <c r="A14" s="11"/>
      <c r="B14" s="21"/>
      <c r="C14" s="22"/>
      <c r="D14" s="29" t="str">
        <f t="shared" si="0"/>
        <v/>
      </c>
      <c r="E14" s="22"/>
      <c r="F14" s="22" t="str">
        <f ca="1">auto_pop!H14</f>
        <v/>
      </c>
      <c r="G14" s="33"/>
      <c r="H14" s="33"/>
      <c r="K14" s="2" t="s">
        <v>101</v>
      </c>
    </row>
    <row r="15" spans="1:11" s="2" customFormat="1" ht="15" x14ac:dyDescent="0.25">
      <c r="A15" s="11"/>
      <c r="B15" s="21"/>
      <c r="C15" s="22"/>
      <c r="D15" s="29" t="str">
        <f t="shared" si="0"/>
        <v/>
      </c>
      <c r="E15" s="22"/>
      <c r="F15" s="22" t="str">
        <f ca="1">auto_pop!H15</f>
        <v/>
      </c>
      <c r="G15" s="33"/>
      <c r="H15" s="33"/>
      <c r="J15" s="2" t="s">
        <v>131</v>
      </c>
      <c r="K15" s="2" t="s">
        <v>102</v>
      </c>
    </row>
    <row r="16" spans="1:11" s="2" customFormat="1" ht="15" x14ac:dyDescent="0.25">
      <c r="A16" s="11"/>
      <c r="B16" s="21"/>
      <c r="C16" s="22"/>
      <c r="D16" s="29" t="str">
        <f t="shared" si="0"/>
        <v/>
      </c>
      <c r="E16" s="22"/>
      <c r="F16" s="22" t="str">
        <f ca="1">auto_pop!H16</f>
        <v/>
      </c>
      <c r="G16" s="33"/>
      <c r="H16" s="33"/>
    </row>
    <row r="17" spans="1:11" s="2" customFormat="1" ht="15" x14ac:dyDescent="0.25">
      <c r="A17" s="11"/>
      <c r="B17" s="21"/>
      <c r="C17" s="22"/>
      <c r="D17" s="29" t="str">
        <f t="shared" si="0"/>
        <v/>
      </c>
      <c r="E17" s="22"/>
      <c r="F17" s="22" t="str">
        <f ca="1">auto_pop!H17</f>
        <v/>
      </c>
      <c r="G17" s="33"/>
      <c r="H17" s="33"/>
      <c r="K17" s="2" t="s">
        <v>66</v>
      </c>
    </row>
    <row r="18" spans="1:11" s="2" customFormat="1" ht="15" x14ac:dyDescent="0.25">
      <c r="A18" s="11"/>
      <c r="B18" s="21"/>
      <c r="C18" s="22"/>
      <c r="D18" s="29" t="str">
        <f t="shared" si="0"/>
        <v/>
      </c>
      <c r="E18" s="22"/>
      <c r="F18" s="22" t="str">
        <f ca="1">auto_pop!H18</f>
        <v/>
      </c>
      <c r="G18" s="33"/>
      <c r="H18" s="33"/>
      <c r="K18" s="2" t="s">
        <v>105</v>
      </c>
    </row>
    <row r="19" spans="1:11" s="2" customFormat="1" ht="15" x14ac:dyDescent="0.25">
      <c r="A19" s="11"/>
      <c r="B19" s="21"/>
      <c r="C19" s="22"/>
      <c r="D19" s="29" t="str">
        <f t="shared" si="0"/>
        <v/>
      </c>
      <c r="E19" s="22"/>
      <c r="F19" s="22" t="str">
        <f ca="1">auto_pop!H19</f>
        <v/>
      </c>
      <c r="G19" s="33"/>
      <c r="H19" s="33"/>
    </row>
    <row r="20" spans="1:11" s="2" customFormat="1" ht="15" x14ac:dyDescent="0.25">
      <c r="A20" s="11"/>
      <c r="B20" s="21"/>
      <c r="C20" s="22"/>
      <c r="D20" s="29" t="str">
        <f t="shared" si="0"/>
        <v/>
      </c>
      <c r="E20" s="22"/>
      <c r="F20" s="22" t="str">
        <f ca="1">auto_pop!H20</f>
        <v/>
      </c>
      <c r="G20" s="33"/>
      <c r="H20" s="33"/>
    </row>
    <row r="21" spans="1:11" s="2" customFormat="1" ht="15" x14ac:dyDescent="0.25">
      <c r="B21" s="21"/>
      <c r="C21" s="22"/>
      <c r="D21" s="29" t="str">
        <f t="shared" si="0"/>
        <v/>
      </c>
      <c r="E21" s="22"/>
      <c r="F21" s="22" t="str">
        <f ca="1">auto_pop!H21</f>
        <v/>
      </c>
      <c r="G21" s="33"/>
      <c r="H21" s="33"/>
    </row>
    <row r="22" spans="1:11" s="2" customFormat="1" ht="15" x14ac:dyDescent="0.25">
      <c r="B22" s="21"/>
      <c r="C22" s="22"/>
      <c r="D22" s="29" t="str">
        <f t="shared" si="0"/>
        <v/>
      </c>
      <c r="E22" s="22"/>
      <c r="F22" s="22" t="str">
        <f ca="1">auto_pop!H22</f>
        <v/>
      </c>
      <c r="G22" s="33"/>
      <c r="H22" s="33"/>
    </row>
    <row r="23" spans="1:11" s="2" customFormat="1" ht="15" x14ac:dyDescent="0.25">
      <c r="B23" s="21"/>
      <c r="C23" s="22"/>
      <c r="D23" s="29" t="str">
        <f t="shared" si="0"/>
        <v/>
      </c>
      <c r="E23" s="22"/>
      <c r="F23" s="22" t="str">
        <f ca="1">auto_pop!H23</f>
        <v/>
      </c>
      <c r="G23" s="33"/>
      <c r="H23" s="33"/>
    </row>
    <row r="24" spans="1:11" s="2" customFormat="1" ht="15" x14ac:dyDescent="0.25">
      <c r="B24" s="21"/>
      <c r="C24" s="22"/>
      <c r="D24" s="29" t="str">
        <f t="shared" si="0"/>
        <v/>
      </c>
      <c r="E24" s="22"/>
      <c r="F24" s="22" t="str">
        <f ca="1">auto_pop!H24</f>
        <v/>
      </c>
      <c r="G24" s="33"/>
      <c r="H24" s="33"/>
    </row>
    <row r="25" spans="1:11" s="2" customFormat="1" ht="15" x14ac:dyDescent="0.25">
      <c r="B25" s="21"/>
      <c r="C25" s="22"/>
      <c r="D25" s="29" t="str">
        <f t="shared" si="0"/>
        <v/>
      </c>
      <c r="E25" s="22"/>
      <c r="F25" s="22" t="str">
        <f ca="1">auto_pop!H25</f>
        <v/>
      </c>
      <c r="G25" s="33"/>
      <c r="H25" s="33"/>
    </row>
    <row r="26" spans="1:11" s="2" customFormat="1" ht="15" x14ac:dyDescent="0.25">
      <c r="B26" s="21"/>
      <c r="C26" s="22"/>
      <c r="D26" s="29" t="str">
        <f t="shared" si="0"/>
        <v/>
      </c>
      <c r="E26" s="22"/>
      <c r="F26" s="22" t="str">
        <f ca="1">auto_pop!H26</f>
        <v/>
      </c>
      <c r="G26" s="33"/>
      <c r="H26" s="33"/>
    </row>
    <row r="27" spans="1:11" s="2" customFormat="1" ht="15" x14ac:dyDescent="0.25">
      <c r="B27" s="21"/>
      <c r="C27" s="22"/>
      <c r="D27" s="29" t="str">
        <f t="shared" si="0"/>
        <v/>
      </c>
      <c r="E27" s="22"/>
      <c r="F27" s="22" t="str">
        <f ca="1">auto_pop!H27</f>
        <v/>
      </c>
      <c r="G27" s="33"/>
      <c r="H27" s="33"/>
    </row>
    <row r="28" spans="1:11" s="2" customFormat="1" ht="15" x14ac:dyDescent="0.25">
      <c r="B28" s="21"/>
      <c r="C28" s="22"/>
      <c r="D28" s="29" t="str">
        <f t="shared" si="0"/>
        <v/>
      </c>
      <c r="E28" s="22"/>
      <c r="F28" s="22" t="str">
        <f ca="1">auto_pop!H28</f>
        <v/>
      </c>
      <c r="G28" s="33"/>
      <c r="H28" s="33"/>
    </row>
    <row r="29" spans="1:11" s="2" customFormat="1" ht="15" x14ac:dyDescent="0.25">
      <c r="B29" s="21"/>
      <c r="C29" s="22"/>
      <c r="D29" s="29" t="str">
        <f t="shared" si="0"/>
        <v/>
      </c>
      <c r="E29" s="22"/>
      <c r="F29" s="22" t="str">
        <f ca="1">auto_pop!H29</f>
        <v/>
      </c>
      <c r="G29" s="33"/>
      <c r="H29" s="33"/>
    </row>
    <row r="30" spans="1:11" s="2" customFormat="1" ht="15" x14ac:dyDescent="0.25">
      <c r="B30" s="21"/>
      <c r="C30" s="22"/>
      <c r="D30" s="29" t="str">
        <f t="shared" si="0"/>
        <v/>
      </c>
      <c r="E30" s="22"/>
      <c r="F30" s="22" t="str">
        <f ca="1">auto_pop!H30</f>
        <v/>
      </c>
      <c r="G30" s="33"/>
      <c r="H30" s="33"/>
    </row>
    <row r="31" spans="1:11" s="2" customFormat="1" ht="15" x14ac:dyDescent="0.25">
      <c r="B31" s="21"/>
      <c r="C31" s="22"/>
      <c r="D31" s="29" t="str">
        <f t="shared" si="0"/>
        <v/>
      </c>
      <c r="E31" s="22"/>
      <c r="F31" s="22" t="str">
        <f ca="1">auto_pop!H31</f>
        <v/>
      </c>
      <c r="G31" s="33"/>
      <c r="H31" s="33"/>
    </row>
    <row r="32" spans="1:11" s="2" customFormat="1" ht="15" x14ac:dyDescent="0.25">
      <c r="B32" s="21"/>
      <c r="C32" s="22"/>
      <c r="D32" s="29" t="str">
        <f t="shared" si="0"/>
        <v/>
      </c>
      <c r="E32" s="22"/>
      <c r="F32" s="22" t="str">
        <f ca="1">auto_pop!H32</f>
        <v/>
      </c>
      <c r="G32" s="33"/>
      <c r="H32" s="33"/>
    </row>
    <row r="33" spans="2:8" s="2" customFormat="1" ht="15" x14ac:dyDescent="0.25">
      <c r="B33" s="21"/>
      <c r="C33" s="22"/>
      <c r="D33" s="29" t="str">
        <f t="shared" si="0"/>
        <v/>
      </c>
      <c r="E33" s="22"/>
      <c r="F33" s="22" t="str">
        <f ca="1">auto_pop!H33</f>
        <v/>
      </c>
      <c r="G33" s="33"/>
      <c r="H33" s="33"/>
    </row>
    <row r="34" spans="2:8" s="2" customFormat="1" ht="15" x14ac:dyDescent="0.25">
      <c r="B34" s="21"/>
      <c r="C34" s="22"/>
      <c r="D34" s="29" t="str">
        <f t="shared" si="0"/>
        <v/>
      </c>
      <c r="E34" s="22"/>
      <c r="F34" s="22" t="str">
        <f ca="1">auto_pop!H34</f>
        <v/>
      </c>
      <c r="G34" s="33"/>
      <c r="H34" s="33"/>
    </row>
    <row r="35" spans="2:8" s="2" customFormat="1" ht="15" x14ac:dyDescent="0.25">
      <c r="B35" s="21"/>
      <c r="C35" s="22"/>
      <c r="D35" s="29" t="str">
        <f t="shared" si="0"/>
        <v/>
      </c>
      <c r="E35" s="22"/>
      <c r="F35" s="22" t="str">
        <f ca="1">auto_pop!H35</f>
        <v/>
      </c>
      <c r="G35" s="33"/>
      <c r="H35" s="33"/>
    </row>
    <row r="36" spans="2:8" s="2" customFormat="1" ht="15" x14ac:dyDescent="0.25">
      <c r="B36" s="21"/>
      <c r="C36" s="22"/>
      <c r="D36" s="29" t="str">
        <f t="shared" si="0"/>
        <v/>
      </c>
      <c r="E36" s="22"/>
      <c r="F36" s="22" t="str">
        <f ca="1">auto_pop!H36</f>
        <v/>
      </c>
      <c r="G36" s="33"/>
      <c r="H36" s="33"/>
    </row>
    <row r="37" spans="2:8" s="2" customFormat="1" ht="15" x14ac:dyDescent="0.25">
      <c r="B37" s="21"/>
      <c r="C37" s="22"/>
      <c r="D37" s="29" t="str">
        <f t="shared" si="0"/>
        <v/>
      </c>
      <c r="E37" s="22"/>
      <c r="F37" s="22" t="str">
        <f ca="1">auto_pop!H37</f>
        <v/>
      </c>
      <c r="G37" s="33"/>
      <c r="H37" s="33"/>
    </row>
    <row r="38" spans="2:8" s="2" customFormat="1" ht="15" x14ac:dyDescent="0.25">
      <c r="B38" s="21"/>
      <c r="C38" s="22"/>
      <c r="D38" s="29" t="str">
        <f t="shared" si="0"/>
        <v/>
      </c>
      <c r="E38" s="22"/>
      <c r="F38" s="22" t="str">
        <f ca="1">auto_pop!H38</f>
        <v/>
      </c>
      <c r="G38" s="33"/>
      <c r="H38" s="33"/>
    </row>
    <row r="39" spans="2:8" s="2" customFormat="1" ht="15" x14ac:dyDescent="0.25">
      <c r="B39" s="21"/>
      <c r="C39" s="22"/>
      <c r="D39" s="29" t="str">
        <f t="shared" si="0"/>
        <v/>
      </c>
      <c r="E39" s="22"/>
      <c r="F39" s="22" t="str">
        <f ca="1">auto_pop!H39</f>
        <v/>
      </c>
      <c r="G39" s="33"/>
      <c r="H39" s="33"/>
    </row>
    <row r="40" spans="2:8" s="2" customFormat="1" ht="15" x14ac:dyDescent="0.25">
      <c r="B40" s="21"/>
      <c r="C40" s="22"/>
      <c r="D40" s="29" t="str">
        <f t="shared" si="0"/>
        <v/>
      </c>
      <c r="E40" s="22"/>
      <c r="F40" s="22" t="str">
        <f ca="1">auto_pop!H40</f>
        <v/>
      </c>
      <c r="G40" s="33"/>
      <c r="H40" s="33"/>
    </row>
    <row r="41" spans="2:8" s="2" customFormat="1" ht="15" x14ac:dyDescent="0.25">
      <c r="B41" s="21"/>
      <c r="C41" s="22"/>
      <c r="D41" s="29" t="str">
        <f t="shared" si="0"/>
        <v/>
      </c>
      <c r="E41" s="22"/>
      <c r="F41" s="22" t="str">
        <f ca="1">auto_pop!H41</f>
        <v/>
      </c>
      <c r="G41" s="33"/>
      <c r="H41" s="33"/>
    </row>
    <row r="42" spans="2:8" s="2" customFormat="1" ht="15" x14ac:dyDescent="0.25">
      <c r="B42" s="21"/>
      <c r="C42" s="22"/>
      <c r="D42" s="29" t="str">
        <f t="shared" si="0"/>
        <v/>
      </c>
      <c r="E42" s="22"/>
      <c r="F42" s="22" t="str">
        <f ca="1">auto_pop!H42</f>
        <v/>
      </c>
      <c r="G42" s="33"/>
      <c r="H42" s="33"/>
    </row>
    <row r="43" spans="2:8" s="2" customFormat="1" ht="15" x14ac:dyDescent="0.25">
      <c r="B43" s="21"/>
      <c r="C43" s="22"/>
      <c r="D43" s="29" t="str">
        <f t="shared" si="0"/>
        <v/>
      </c>
      <c r="E43" s="22"/>
      <c r="F43" s="22" t="str">
        <f ca="1">auto_pop!H43</f>
        <v/>
      </c>
      <c r="G43" s="33"/>
      <c r="H43" s="33"/>
    </row>
    <row r="44" spans="2:8" s="2" customFormat="1" ht="15" x14ac:dyDescent="0.25">
      <c r="B44" s="21"/>
      <c r="C44" s="22"/>
      <c r="D44" s="29" t="str">
        <f t="shared" si="0"/>
        <v/>
      </c>
      <c r="E44" s="22"/>
      <c r="F44" s="22" t="str">
        <f ca="1">auto_pop!H44</f>
        <v/>
      </c>
      <c r="G44" s="33"/>
      <c r="H44" s="33"/>
    </row>
    <row r="45" spans="2:8" s="2" customFormat="1" ht="15" x14ac:dyDescent="0.25">
      <c r="B45" s="21"/>
      <c r="C45" s="22"/>
      <c r="D45" s="29" t="str">
        <f t="shared" si="0"/>
        <v/>
      </c>
      <c r="E45" s="22"/>
      <c r="F45" s="22" t="str">
        <f ca="1">auto_pop!H45</f>
        <v/>
      </c>
      <c r="G45" s="33"/>
      <c r="H45" s="33"/>
    </row>
    <row r="46" spans="2:8" s="2" customFormat="1" ht="15" x14ac:dyDescent="0.25">
      <c r="B46" s="21"/>
      <c r="C46" s="22"/>
      <c r="D46" s="29" t="str">
        <f t="shared" si="0"/>
        <v/>
      </c>
      <c r="E46" s="22"/>
      <c r="F46" s="22" t="str">
        <f ca="1">auto_pop!H46</f>
        <v/>
      </c>
      <c r="G46" s="33"/>
      <c r="H46" s="33"/>
    </row>
    <row r="47" spans="2:8" s="2" customFormat="1" ht="15" x14ac:dyDescent="0.25">
      <c r="B47" s="21"/>
      <c r="C47" s="22"/>
      <c r="D47" s="29" t="str">
        <f t="shared" si="0"/>
        <v/>
      </c>
      <c r="E47" s="22"/>
      <c r="F47" s="22" t="str">
        <f ca="1">auto_pop!H47</f>
        <v/>
      </c>
      <c r="G47" s="33"/>
      <c r="H47" s="33"/>
    </row>
    <row r="48" spans="2:8" s="2" customFormat="1" ht="15" x14ac:dyDescent="0.25">
      <c r="B48" s="21"/>
      <c r="C48" s="22"/>
      <c r="D48" s="29" t="str">
        <f t="shared" si="0"/>
        <v/>
      </c>
      <c r="E48" s="22"/>
      <c r="F48" s="22" t="str">
        <f ca="1">auto_pop!H48</f>
        <v/>
      </c>
      <c r="G48" s="33"/>
      <c r="H48" s="33"/>
    </row>
    <row r="49" spans="2:9" s="2" customFormat="1" ht="15" x14ac:dyDescent="0.25">
      <c r="B49" s="21"/>
      <c r="C49" s="22"/>
      <c r="D49" s="29" t="str">
        <f t="shared" si="0"/>
        <v/>
      </c>
      <c r="E49" s="22"/>
      <c r="F49" s="22" t="str">
        <f ca="1">auto_pop!H49</f>
        <v/>
      </c>
      <c r="G49" s="33"/>
      <c r="H49" s="33"/>
    </row>
    <row r="50" spans="2:9" s="2" customFormat="1" ht="15" x14ac:dyDescent="0.25">
      <c r="B50" s="21"/>
      <c r="C50" s="22"/>
      <c r="D50" s="29" t="str">
        <f t="shared" si="0"/>
        <v/>
      </c>
      <c r="E50" s="22"/>
      <c r="F50" s="22" t="str">
        <f ca="1">auto_pop!H50</f>
        <v/>
      </c>
      <c r="G50" s="33"/>
      <c r="H50" s="33"/>
    </row>
    <row r="51" spans="2:9" s="2" customFormat="1" ht="15" x14ac:dyDescent="0.25">
      <c r="B51" s="21"/>
      <c r="C51" s="22"/>
      <c r="D51" s="29" t="str">
        <f t="shared" si="0"/>
        <v/>
      </c>
      <c r="E51" s="22"/>
      <c r="F51" s="22" t="str">
        <f ca="1">auto_pop!H51</f>
        <v/>
      </c>
      <c r="G51" s="33"/>
      <c r="H51" s="33"/>
    </row>
    <row r="52" spans="2:9" s="2" customFormat="1" ht="15" x14ac:dyDescent="0.25">
      <c r="B52" s="21"/>
      <c r="C52" s="22"/>
      <c r="D52" s="29" t="str">
        <f t="shared" si="0"/>
        <v/>
      </c>
      <c r="E52" s="22"/>
      <c r="F52" s="22" t="str">
        <f ca="1">auto_pop!H52</f>
        <v/>
      </c>
      <c r="G52" s="33"/>
      <c r="H52" s="33"/>
    </row>
    <row r="53" spans="2:9" s="2" customFormat="1" ht="15" x14ac:dyDescent="0.25">
      <c r="B53" s="21"/>
      <c r="C53" s="22"/>
      <c r="D53" s="29" t="str">
        <f t="shared" si="0"/>
        <v/>
      </c>
      <c r="E53" s="22"/>
      <c r="F53" s="22" t="str">
        <f ca="1">auto_pop!H53</f>
        <v/>
      </c>
      <c r="G53" s="33"/>
      <c r="H53" s="33"/>
    </row>
    <row r="54" spans="2:9" s="2" customFormat="1" ht="15" x14ac:dyDescent="0.25">
      <c r="B54" s="21"/>
      <c r="C54" s="22"/>
      <c r="D54" s="29" t="str">
        <f t="shared" si="0"/>
        <v/>
      </c>
      <c r="E54" s="22"/>
      <c r="F54" s="22" t="str">
        <f ca="1">auto_pop!H54</f>
        <v/>
      </c>
      <c r="G54" s="33"/>
      <c r="H54" s="33"/>
    </row>
    <row r="55" spans="2:9" s="2" customFormat="1" ht="15" x14ac:dyDescent="0.25">
      <c r="B55" s="21"/>
      <c r="C55" s="22"/>
      <c r="D55" s="29" t="str">
        <f t="shared" si="0"/>
        <v/>
      </c>
      <c r="E55" s="22"/>
      <c r="F55" s="22" t="str">
        <f ca="1">auto_pop!H55</f>
        <v/>
      </c>
      <c r="G55" s="33"/>
      <c r="H55" s="33"/>
    </row>
    <row r="56" spans="2:9" s="2" customFormat="1" ht="15" x14ac:dyDescent="0.25">
      <c r="B56" s="21"/>
      <c r="C56" s="22"/>
      <c r="D56" s="29" t="str">
        <f t="shared" si="0"/>
        <v/>
      </c>
      <c r="E56" s="22"/>
      <c r="F56" s="22" t="str">
        <f ca="1">auto_pop!H56</f>
        <v/>
      </c>
      <c r="G56" s="33"/>
      <c r="H56" s="33"/>
    </row>
    <row r="57" spans="2:9" s="2" customFormat="1" ht="15" x14ac:dyDescent="0.25">
      <c r="B57" s="21"/>
      <c r="C57" s="22"/>
      <c r="D57" s="29" t="str">
        <f t="shared" si="0"/>
        <v/>
      </c>
      <c r="E57" s="22"/>
      <c r="F57" s="22" t="str">
        <f ca="1">auto_pop!H57</f>
        <v/>
      </c>
      <c r="G57" s="33"/>
      <c r="H57" s="33"/>
    </row>
    <row r="58" spans="2:9" s="2" customFormat="1" ht="15" x14ac:dyDescent="0.25">
      <c r="B58" s="21"/>
      <c r="C58" s="22"/>
      <c r="D58" s="29" t="str">
        <f t="shared" si="0"/>
        <v/>
      </c>
      <c r="E58" s="22"/>
      <c r="F58" s="22" t="str">
        <f ca="1">auto_pop!H58</f>
        <v/>
      </c>
      <c r="G58" s="33"/>
      <c r="H58" s="33"/>
    </row>
    <row r="59" spans="2:9" s="2" customFormat="1" ht="15" x14ac:dyDescent="0.25">
      <c r="B59" s="21"/>
      <c r="C59" s="22"/>
      <c r="D59" s="29" t="str">
        <f t="shared" si="0"/>
        <v/>
      </c>
      <c r="E59" s="22"/>
      <c r="F59" s="22" t="str">
        <f ca="1">auto_pop!H59</f>
        <v/>
      </c>
      <c r="G59" s="33"/>
      <c r="H59" s="33"/>
    </row>
    <row r="60" spans="2:9" s="2" customFormat="1" ht="15" x14ac:dyDescent="0.25">
      <c r="B60" s="21"/>
      <c r="C60" s="22"/>
      <c r="D60" s="29" t="str">
        <f t="shared" si="0"/>
        <v/>
      </c>
      <c r="E60" s="22"/>
      <c r="F60" s="22" t="str">
        <f ca="1">auto_pop!H60</f>
        <v/>
      </c>
      <c r="G60" s="33"/>
      <c r="H60" s="33"/>
    </row>
    <row r="61" spans="2:9" s="2" customFormat="1" ht="15" x14ac:dyDescent="0.25">
      <c r="B61" s="21"/>
      <c r="C61" s="22"/>
      <c r="D61" s="29" t="str">
        <f t="shared" si="0"/>
        <v/>
      </c>
      <c r="E61" s="22"/>
      <c r="F61" s="22" t="str">
        <f ca="1">auto_pop!H61</f>
        <v/>
      </c>
      <c r="G61" s="33"/>
      <c r="H61" s="33"/>
      <c r="I61" s="13"/>
    </row>
    <row r="62" spans="2:9" s="2" customFormat="1" ht="15" x14ac:dyDescent="0.25">
      <c r="B62" s="21"/>
      <c r="C62" s="22"/>
      <c r="D62" s="29" t="str">
        <f t="shared" si="0"/>
        <v/>
      </c>
      <c r="E62" s="22"/>
      <c r="F62" s="22" t="str">
        <f ca="1">auto_pop!H62</f>
        <v/>
      </c>
      <c r="G62" s="33"/>
      <c r="H62" s="33"/>
      <c r="I62" s="12"/>
    </row>
    <row r="63" spans="2:9" s="2" customFormat="1" ht="15" x14ac:dyDescent="0.25">
      <c r="B63" s="21"/>
      <c r="C63" s="22"/>
      <c r="D63" s="29" t="str">
        <f t="shared" si="0"/>
        <v/>
      </c>
      <c r="E63" s="22"/>
      <c r="F63" s="22" t="str">
        <f ca="1">auto_pop!H63</f>
        <v/>
      </c>
      <c r="G63" s="33"/>
      <c r="H63" s="33"/>
    </row>
    <row r="64" spans="2:9" s="2" customFormat="1" ht="15" x14ac:dyDescent="0.25">
      <c r="B64" s="21"/>
      <c r="C64" s="22"/>
      <c r="D64" s="29" t="str">
        <f t="shared" si="0"/>
        <v/>
      </c>
      <c r="E64" s="22"/>
      <c r="F64" s="22" t="str">
        <f ca="1">auto_pop!H64</f>
        <v/>
      </c>
      <c r="G64" s="33"/>
      <c r="H64" s="33"/>
    </row>
    <row r="65" spans="2:8" s="2" customFormat="1" ht="15" x14ac:dyDescent="0.25">
      <c r="B65" s="21"/>
      <c r="C65" s="22"/>
      <c r="D65" s="29" t="str">
        <f t="shared" si="0"/>
        <v/>
      </c>
      <c r="E65" s="22"/>
      <c r="F65" s="22" t="str">
        <f ca="1">auto_pop!H65</f>
        <v/>
      </c>
      <c r="G65" s="33"/>
      <c r="H65" s="33"/>
    </row>
    <row r="66" spans="2:8" s="2" customFormat="1" ht="15" x14ac:dyDescent="0.25">
      <c r="B66" s="21"/>
      <c r="C66" s="22"/>
      <c r="D66" s="29" t="str">
        <f t="shared" si="0"/>
        <v/>
      </c>
      <c r="E66" s="22"/>
      <c r="F66" s="22" t="str">
        <f ca="1">auto_pop!H66</f>
        <v/>
      </c>
      <c r="G66" s="33"/>
      <c r="H66" s="33"/>
    </row>
    <row r="67" spans="2:8" s="2" customFormat="1" ht="15" x14ac:dyDescent="0.25">
      <c r="B67" s="21"/>
      <c r="C67" s="22"/>
      <c r="D67" s="29" t="str">
        <f t="shared" si="0"/>
        <v/>
      </c>
      <c r="E67" s="22"/>
      <c r="F67" s="22" t="str">
        <f ca="1">auto_pop!H67</f>
        <v/>
      </c>
      <c r="G67" s="33"/>
      <c r="H67" s="33"/>
    </row>
    <row r="68" spans="2:8" s="2" customFormat="1" ht="15" x14ac:dyDescent="0.25">
      <c r="B68" s="21"/>
      <c r="C68" s="22"/>
      <c r="D68" s="29" t="str">
        <f t="shared" ref="D68:D131" si="1">IF(C68&lt;&gt;"", IF(OR(C68="Chapin", C68="Oatka", C68="Seneca"), "", 1), "")</f>
        <v/>
      </c>
      <c r="E68" s="22"/>
      <c r="F68" s="22" t="str">
        <f ca="1">auto_pop!H68</f>
        <v/>
      </c>
      <c r="G68" s="33"/>
      <c r="H68" s="33"/>
    </row>
    <row r="69" spans="2:8" s="2" customFormat="1" ht="15" x14ac:dyDescent="0.25">
      <c r="B69" s="21"/>
      <c r="C69" s="22"/>
      <c r="D69" s="29" t="str">
        <f t="shared" si="1"/>
        <v/>
      </c>
      <c r="E69" s="22"/>
      <c r="F69" s="22" t="str">
        <f ca="1">auto_pop!H69</f>
        <v/>
      </c>
      <c r="G69" s="33"/>
      <c r="H69" s="33"/>
    </row>
    <row r="70" spans="2:8" s="2" customFormat="1" ht="15" x14ac:dyDescent="0.25">
      <c r="B70" s="21"/>
      <c r="C70" s="22"/>
      <c r="D70" s="29" t="str">
        <f t="shared" si="1"/>
        <v/>
      </c>
      <c r="E70" s="22"/>
      <c r="F70" s="22" t="str">
        <f ca="1">auto_pop!H70</f>
        <v/>
      </c>
      <c r="G70" s="33"/>
      <c r="H70" s="33"/>
    </row>
    <row r="71" spans="2:8" s="2" customFormat="1" ht="15" x14ac:dyDescent="0.25">
      <c r="B71" s="21"/>
      <c r="C71" s="22"/>
      <c r="D71" s="29" t="str">
        <f t="shared" si="1"/>
        <v/>
      </c>
      <c r="E71" s="22"/>
      <c r="F71" s="22" t="str">
        <f ca="1">auto_pop!H71</f>
        <v/>
      </c>
      <c r="G71" s="33"/>
      <c r="H71" s="33"/>
    </row>
    <row r="72" spans="2:8" s="2" customFormat="1" ht="15" x14ac:dyDescent="0.25">
      <c r="B72" s="21"/>
      <c r="C72" s="22"/>
      <c r="D72" s="29" t="str">
        <f t="shared" si="1"/>
        <v/>
      </c>
      <c r="E72" s="22"/>
      <c r="F72" s="22" t="str">
        <f ca="1">auto_pop!H72</f>
        <v/>
      </c>
      <c r="G72" s="33"/>
      <c r="H72" s="33"/>
    </row>
    <row r="73" spans="2:8" s="2" customFormat="1" ht="15" x14ac:dyDescent="0.25">
      <c r="B73" s="21"/>
      <c r="C73" s="22"/>
      <c r="D73" s="29" t="str">
        <f t="shared" si="1"/>
        <v/>
      </c>
      <c r="E73" s="22"/>
      <c r="F73" s="22" t="str">
        <f ca="1">auto_pop!H73</f>
        <v/>
      </c>
      <c r="G73" s="33"/>
      <c r="H73" s="33"/>
    </row>
    <row r="74" spans="2:8" s="2" customFormat="1" ht="15" x14ac:dyDescent="0.25">
      <c r="B74" s="21"/>
      <c r="C74" s="22"/>
      <c r="D74" s="29" t="str">
        <f t="shared" si="1"/>
        <v/>
      </c>
      <c r="E74" s="22"/>
      <c r="F74" s="22" t="str">
        <f ca="1">auto_pop!H74</f>
        <v/>
      </c>
      <c r="G74" s="33"/>
      <c r="H74" s="33"/>
    </row>
    <row r="75" spans="2:8" s="2" customFormat="1" ht="15" x14ac:dyDescent="0.25">
      <c r="B75" s="21"/>
      <c r="C75" s="22"/>
      <c r="D75" s="29" t="str">
        <f t="shared" si="1"/>
        <v/>
      </c>
      <c r="E75" s="22"/>
      <c r="F75" s="22" t="str">
        <f ca="1">auto_pop!H75</f>
        <v/>
      </c>
      <c r="G75" s="33"/>
      <c r="H75" s="33"/>
    </row>
    <row r="76" spans="2:8" s="2" customFormat="1" ht="15" x14ac:dyDescent="0.25">
      <c r="B76" s="21"/>
      <c r="C76" s="22"/>
      <c r="D76" s="29" t="str">
        <f t="shared" si="1"/>
        <v/>
      </c>
      <c r="E76" s="22"/>
      <c r="F76" s="22" t="str">
        <f ca="1">auto_pop!H76</f>
        <v/>
      </c>
      <c r="G76" s="33"/>
      <c r="H76" s="33"/>
    </row>
    <row r="77" spans="2:8" s="2" customFormat="1" ht="15" x14ac:dyDescent="0.25">
      <c r="B77" s="21"/>
      <c r="C77" s="22"/>
      <c r="D77" s="29" t="str">
        <f t="shared" si="1"/>
        <v/>
      </c>
      <c r="E77" s="22"/>
      <c r="F77" s="22" t="str">
        <f ca="1">auto_pop!H77</f>
        <v/>
      </c>
      <c r="G77" s="33"/>
      <c r="H77" s="33"/>
    </row>
    <row r="78" spans="2:8" s="2" customFormat="1" ht="15" x14ac:dyDescent="0.25">
      <c r="B78" s="21"/>
      <c r="C78" s="22"/>
      <c r="D78" s="29" t="str">
        <f t="shared" si="1"/>
        <v/>
      </c>
      <c r="E78" s="22"/>
      <c r="F78" s="22" t="str">
        <f ca="1">auto_pop!H78</f>
        <v/>
      </c>
      <c r="G78" s="33"/>
      <c r="H78" s="33"/>
    </row>
    <row r="79" spans="2:8" s="2" customFormat="1" ht="15" x14ac:dyDescent="0.25">
      <c r="B79" s="21"/>
      <c r="C79" s="22"/>
      <c r="D79" s="29" t="str">
        <f t="shared" si="1"/>
        <v/>
      </c>
      <c r="E79" s="22"/>
      <c r="F79" s="22" t="str">
        <f ca="1">auto_pop!H79</f>
        <v/>
      </c>
      <c r="G79" s="33"/>
      <c r="H79" s="33"/>
    </row>
    <row r="80" spans="2:8" s="2" customFormat="1" ht="15" x14ac:dyDescent="0.25">
      <c r="B80" s="21"/>
      <c r="C80" s="22"/>
      <c r="D80" s="29" t="str">
        <f t="shared" si="1"/>
        <v/>
      </c>
      <c r="E80" s="22"/>
      <c r="F80" s="22" t="str">
        <f ca="1">auto_pop!H80</f>
        <v/>
      </c>
      <c r="G80" s="33"/>
      <c r="H80" s="33"/>
    </row>
    <row r="81" spans="2:8" s="2" customFormat="1" ht="15" x14ac:dyDescent="0.25">
      <c r="B81" s="21"/>
      <c r="C81" s="22"/>
      <c r="D81" s="29" t="str">
        <f t="shared" si="1"/>
        <v/>
      </c>
      <c r="E81" s="22"/>
      <c r="F81" s="22" t="str">
        <f ca="1">auto_pop!H81</f>
        <v/>
      </c>
      <c r="G81" s="33"/>
      <c r="H81" s="33"/>
    </row>
    <row r="82" spans="2:8" s="2" customFormat="1" ht="15" x14ac:dyDescent="0.25">
      <c r="B82" s="21"/>
      <c r="C82" s="22"/>
      <c r="D82" s="29" t="str">
        <f t="shared" si="1"/>
        <v/>
      </c>
      <c r="E82" s="22"/>
      <c r="F82" s="22" t="str">
        <f ca="1">auto_pop!H82</f>
        <v/>
      </c>
      <c r="G82" s="33"/>
      <c r="H82" s="33"/>
    </row>
    <row r="83" spans="2:8" s="2" customFormat="1" ht="15" x14ac:dyDescent="0.25">
      <c r="B83" s="21"/>
      <c r="C83" s="22"/>
      <c r="D83" s="29" t="str">
        <f t="shared" si="1"/>
        <v/>
      </c>
      <c r="E83" s="22"/>
      <c r="F83" s="22" t="str">
        <f ca="1">auto_pop!H83</f>
        <v/>
      </c>
      <c r="G83" s="33"/>
      <c r="H83" s="33"/>
    </row>
    <row r="84" spans="2:8" s="2" customFormat="1" ht="15" x14ac:dyDescent="0.25">
      <c r="B84" s="21"/>
      <c r="C84" s="22"/>
      <c r="D84" s="29" t="str">
        <f t="shared" si="1"/>
        <v/>
      </c>
      <c r="E84" s="22"/>
      <c r="F84" s="22" t="str">
        <f ca="1">auto_pop!H84</f>
        <v/>
      </c>
      <c r="G84" s="33"/>
      <c r="H84" s="33"/>
    </row>
    <row r="85" spans="2:8" s="2" customFormat="1" ht="15" x14ac:dyDescent="0.25">
      <c r="B85" s="21"/>
      <c r="C85" s="22"/>
      <c r="D85" s="29" t="str">
        <f t="shared" si="1"/>
        <v/>
      </c>
      <c r="E85" s="22"/>
      <c r="F85" s="22" t="str">
        <f ca="1">auto_pop!H85</f>
        <v/>
      </c>
      <c r="G85" s="33"/>
      <c r="H85" s="33"/>
    </row>
    <row r="86" spans="2:8" s="2" customFormat="1" ht="15" x14ac:dyDescent="0.25">
      <c r="B86" s="21"/>
      <c r="C86" s="22"/>
      <c r="D86" s="29" t="str">
        <f t="shared" si="1"/>
        <v/>
      </c>
      <c r="E86" s="22"/>
      <c r="F86" s="22" t="str">
        <f ca="1">auto_pop!H86</f>
        <v/>
      </c>
      <c r="G86" s="33"/>
      <c r="H86" s="33"/>
    </row>
    <row r="87" spans="2:8" s="2" customFormat="1" ht="15" x14ac:dyDescent="0.25">
      <c r="B87" s="21"/>
      <c r="C87" s="22"/>
      <c r="D87" s="29" t="str">
        <f t="shared" si="1"/>
        <v/>
      </c>
      <c r="E87" s="22"/>
      <c r="F87" s="22" t="str">
        <f ca="1">auto_pop!H87</f>
        <v/>
      </c>
      <c r="G87" s="33"/>
      <c r="H87" s="33"/>
    </row>
    <row r="88" spans="2:8" s="2" customFormat="1" ht="15" x14ac:dyDescent="0.25">
      <c r="B88" s="21"/>
      <c r="C88" s="22"/>
      <c r="D88" s="29" t="str">
        <f t="shared" si="1"/>
        <v/>
      </c>
      <c r="E88" s="22"/>
      <c r="F88" s="22" t="str">
        <f ca="1">auto_pop!H88</f>
        <v/>
      </c>
      <c r="G88" s="33"/>
      <c r="H88" s="33"/>
    </row>
    <row r="89" spans="2:8" s="2" customFormat="1" ht="15" x14ac:dyDescent="0.25">
      <c r="B89" s="21"/>
      <c r="C89" s="22"/>
      <c r="D89" s="29" t="str">
        <f t="shared" si="1"/>
        <v/>
      </c>
      <c r="E89" s="22"/>
      <c r="F89" s="22" t="str">
        <f ca="1">auto_pop!H89</f>
        <v/>
      </c>
      <c r="G89" s="33"/>
      <c r="H89" s="33"/>
    </row>
    <row r="90" spans="2:8" s="2" customFormat="1" ht="15" x14ac:dyDescent="0.25">
      <c r="B90" s="21"/>
      <c r="C90" s="22"/>
      <c r="D90" s="29" t="str">
        <f t="shared" si="1"/>
        <v/>
      </c>
      <c r="E90" s="22"/>
      <c r="F90" s="22" t="str">
        <f ca="1">auto_pop!H90</f>
        <v/>
      </c>
      <c r="G90" s="33"/>
      <c r="H90" s="33"/>
    </row>
    <row r="91" spans="2:8" s="2" customFormat="1" ht="15" x14ac:dyDescent="0.25">
      <c r="B91" s="21"/>
      <c r="C91" s="22"/>
      <c r="D91" s="29" t="str">
        <f t="shared" si="1"/>
        <v/>
      </c>
      <c r="E91" s="22"/>
      <c r="F91" s="22" t="str">
        <f ca="1">auto_pop!H91</f>
        <v/>
      </c>
      <c r="G91" s="33"/>
      <c r="H91" s="33"/>
    </row>
    <row r="92" spans="2:8" s="2" customFormat="1" ht="15" x14ac:dyDescent="0.25">
      <c r="B92" s="21"/>
      <c r="C92" s="22"/>
      <c r="D92" s="29" t="str">
        <f t="shared" si="1"/>
        <v/>
      </c>
      <c r="E92" s="22"/>
      <c r="F92" s="22" t="str">
        <f ca="1">auto_pop!H92</f>
        <v/>
      </c>
      <c r="G92" s="33"/>
      <c r="H92" s="33"/>
    </row>
    <row r="93" spans="2:8" s="2" customFormat="1" ht="15" x14ac:dyDescent="0.25">
      <c r="B93" s="21"/>
      <c r="C93" s="22"/>
      <c r="D93" s="29" t="str">
        <f t="shared" si="1"/>
        <v/>
      </c>
      <c r="E93" s="22"/>
      <c r="F93" s="22" t="str">
        <f ca="1">auto_pop!H93</f>
        <v/>
      </c>
      <c r="G93" s="33"/>
      <c r="H93" s="33"/>
    </row>
    <row r="94" spans="2:8" s="2" customFormat="1" ht="15" x14ac:dyDescent="0.25">
      <c r="B94" s="21"/>
      <c r="C94" s="22"/>
      <c r="D94" s="29" t="str">
        <f t="shared" si="1"/>
        <v/>
      </c>
      <c r="E94" s="22"/>
      <c r="F94" s="22" t="str">
        <f ca="1">auto_pop!H94</f>
        <v/>
      </c>
      <c r="G94" s="33"/>
      <c r="H94" s="33"/>
    </row>
    <row r="95" spans="2:8" s="2" customFormat="1" ht="15" x14ac:dyDescent="0.25">
      <c r="B95" s="21"/>
      <c r="C95" s="22"/>
      <c r="D95" s="29" t="str">
        <f t="shared" si="1"/>
        <v/>
      </c>
      <c r="E95" s="22"/>
      <c r="F95" s="22" t="str">
        <f ca="1">auto_pop!H95</f>
        <v/>
      </c>
      <c r="G95" s="33"/>
      <c r="H95" s="33"/>
    </row>
    <row r="96" spans="2:8" s="2" customFormat="1" ht="15" x14ac:dyDescent="0.25">
      <c r="B96" s="21"/>
      <c r="C96" s="22"/>
      <c r="D96" s="29" t="str">
        <f t="shared" si="1"/>
        <v/>
      </c>
      <c r="E96" s="22"/>
      <c r="F96" s="22" t="str">
        <f ca="1">auto_pop!H96</f>
        <v/>
      </c>
      <c r="G96" s="33"/>
      <c r="H96" s="33"/>
    </row>
    <row r="97" spans="2:8" s="2" customFormat="1" ht="15" x14ac:dyDescent="0.25">
      <c r="B97" s="21"/>
      <c r="C97" s="22"/>
      <c r="D97" s="29" t="str">
        <f t="shared" si="1"/>
        <v/>
      </c>
      <c r="E97" s="22"/>
      <c r="F97" s="22" t="str">
        <f ca="1">auto_pop!H97</f>
        <v/>
      </c>
      <c r="G97" s="33"/>
      <c r="H97" s="33"/>
    </row>
    <row r="98" spans="2:8" s="2" customFormat="1" ht="15" x14ac:dyDescent="0.25">
      <c r="B98" s="21"/>
      <c r="C98" s="22"/>
      <c r="D98" s="29" t="str">
        <f t="shared" si="1"/>
        <v/>
      </c>
      <c r="E98" s="22"/>
      <c r="F98" s="22" t="str">
        <f ca="1">auto_pop!H98</f>
        <v/>
      </c>
      <c r="G98" s="33"/>
      <c r="H98" s="33"/>
    </row>
    <row r="99" spans="2:8" s="2" customFormat="1" ht="15" x14ac:dyDescent="0.25">
      <c r="B99" s="21"/>
      <c r="C99" s="22"/>
      <c r="D99" s="29" t="str">
        <f t="shared" si="1"/>
        <v/>
      </c>
      <c r="E99" s="22"/>
      <c r="F99" s="22" t="str">
        <f ca="1">auto_pop!H99</f>
        <v/>
      </c>
      <c r="G99" s="33"/>
      <c r="H99" s="33"/>
    </row>
    <row r="100" spans="2:8" s="2" customFormat="1" ht="15" x14ac:dyDescent="0.25">
      <c r="B100" s="21"/>
      <c r="C100" s="22"/>
      <c r="D100" s="29" t="str">
        <f t="shared" si="1"/>
        <v/>
      </c>
      <c r="E100" s="22"/>
      <c r="F100" s="22" t="str">
        <f ca="1">auto_pop!H100</f>
        <v/>
      </c>
      <c r="G100" s="33"/>
      <c r="H100" s="33"/>
    </row>
    <row r="101" spans="2:8" s="2" customFormat="1" ht="15" x14ac:dyDescent="0.25">
      <c r="B101" s="21"/>
      <c r="C101" s="22"/>
      <c r="D101" s="29" t="str">
        <f t="shared" si="1"/>
        <v/>
      </c>
      <c r="E101" s="22"/>
      <c r="F101" s="22" t="str">
        <f ca="1">auto_pop!H101</f>
        <v/>
      </c>
      <c r="G101" s="33"/>
      <c r="H101" s="33"/>
    </row>
    <row r="102" spans="2:8" s="2" customFormat="1" ht="15" x14ac:dyDescent="0.25">
      <c r="B102" s="21"/>
      <c r="C102" s="22"/>
      <c r="D102" s="29" t="str">
        <f t="shared" si="1"/>
        <v/>
      </c>
      <c r="E102" s="22"/>
      <c r="F102" s="22" t="str">
        <f ca="1">auto_pop!H102</f>
        <v/>
      </c>
      <c r="G102" s="33"/>
      <c r="H102" s="33"/>
    </row>
    <row r="103" spans="2:8" s="2" customFormat="1" ht="15" x14ac:dyDescent="0.25">
      <c r="B103" s="21"/>
      <c r="C103" s="22"/>
      <c r="D103" s="29" t="str">
        <f t="shared" si="1"/>
        <v/>
      </c>
      <c r="E103" s="22"/>
      <c r="F103" s="22" t="str">
        <f ca="1">auto_pop!H103</f>
        <v/>
      </c>
      <c r="G103" s="33"/>
      <c r="H103" s="33"/>
    </row>
    <row r="104" spans="2:8" s="2" customFormat="1" ht="15" x14ac:dyDescent="0.25">
      <c r="B104" s="21"/>
      <c r="C104" s="22"/>
      <c r="D104" s="29" t="str">
        <f t="shared" si="1"/>
        <v/>
      </c>
      <c r="E104" s="22"/>
      <c r="F104" s="22" t="str">
        <f ca="1">auto_pop!H104</f>
        <v/>
      </c>
      <c r="G104" s="33"/>
      <c r="H104" s="33"/>
    </row>
    <row r="105" spans="2:8" s="2" customFormat="1" ht="15" x14ac:dyDescent="0.25">
      <c r="B105" s="21"/>
      <c r="C105" s="22"/>
      <c r="D105" s="29" t="str">
        <f t="shared" si="1"/>
        <v/>
      </c>
      <c r="E105" s="22"/>
      <c r="F105" s="22" t="str">
        <f ca="1">auto_pop!H105</f>
        <v/>
      </c>
      <c r="G105" s="33"/>
      <c r="H105" s="33"/>
    </row>
    <row r="106" spans="2:8" s="2" customFormat="1" ht="15" x14ac:dyDescent="0.25">
      <c r="B106" s="21"/>
      <c r="C106" s="22"/>
      <c r="D106" s="29" t="str">
        <f t="shared" si="1"/>
        <v/>
      </c>
      <c r="E106" s="22"/>
      <c r="F106" s="22" t="str">
        <f ca="1">auto_pop!H106</f>
        <v/>
      </c>
      <c r="G106" s="33"/>
      <c r="H106" s="33"/>
    </row>
    <row r="107" spans="2:8" s="2" customFormat="1" ht="15" x14ac:dyDescent="0.25">
      <c r="B107" s="21"/>
      <c r="C107" s="22"/>
      <c r="D107" s="29" t="str">
        <f t="shared" si="1"/>
        <v/>
      </c>
      <c r="E107" s="22"/>
      <c r="F107" s="22" t="str">
        <f ca="1">auto_pop!H107</f>
        <v/>
      </c>
      <c r="G107" s="33"/>
      <c r="H107" s="33"/>
    </row>
    <row r="108" spans="2:8" s="2" customFormat="1" ht="15" x14ac:dyDescent="0.25">
      <c r="B108" s="21"/>
      <c r="C108" s="22"/>
      <c r="D108" s="29" t="str">
        <f t="shared" si="1"/>
        <v/>
      </c>
      <c r="E108" s="22"/>
      <c r="F108" s="22" t="str">
        <f ca="1">auto_pop!H108</f>
        <v/>
      </c>
      <c r="G108" s="33"/>
      <c r="H108" s="33"/>
    </row>
    <row r="109" spans="2:8" s="2" customFormat="1" ht="15" x14ac:dyDescent="0.25">
      <c r="B109" s="21"/>
      <c r="C109" s="22"/>
      <c r="D109" s="29" t="str">
        <f t="shared" si="1"/>
        <v/>
      </c>
      <c r="E109" s="22"/>
      <c r="F109" s="22" t="str">
        <f ca="1">auto_pop!H109</f>
        <v/>
      </c>
      <c r="G109" s="33"/>
      <c r="H109" s="33"/>
    </row>
    <row r="110" spans="2:8" s="2" customFormat="1" ht="15" x14ac:dyDescent="0.25">
      <c r="B110" s="21"/>
      <c r="C110" s="22"/>
      <c r="D110" s="29" t="str">
        <f t="shared" si="1"/>
        <v/>
      </c>
      <c r="E110" s="22"/>
      <c r="F110" s="22" t="str">
        <f ca="1">auto_pop!H110</f>
        <v/>
      </c>
      <c r="G110" s="33"/>
      <c r="H110" s="33"/>
    </row>
    <row r="111" spans="2:8" s="2" customFormat="1" ht="15" x14ac:dyDescent="0.25">
      <c r="B111" s="21"/>
      <c r="C111" s="22"/>
      <c r="D111" s="29" t="str">
        <f t="shared" si="1"/>
        <v/>
      </c>
      <c r="E111" s="22"/>
      <c r="F111" s="22" t="str">
        <f ca="1">auto_pop!H111</f>
        <v/>
      </c>
      <c r="G111" s="33"/>
      <c r="H111" s="33"/>
    </row>
    <row r="112" spans="2:8" s="2" customFormat="1" ht="15" x14ac:dyDescent="0.25">
      <c r="B112" s="21"/>
      <c r="C112" s="22"/>
      <c r="D112" s="29" t="str">
        <f t="shared" si="1"/>
        <v/>
      </c>
      <c r="E112" s="22"/>
      <c r="F112" s="22" t="str">
        <f ca="1">auto_pop!H112</f>
        <v/>
      </c>
      <c r="G112" s="33"/>
      <c r="H112" s="33"/>
    </row>
    <row r="113" spans="2:8" s="2" customFormat="1" ht="15" x14ac:dyDescent="0.25">
      <c r="B113" s="21"/>
      <c r="C113" s="22"/>
      <c r="D113" s="29" t="str">
        <f t="shared" si="1"/>
        <v/>
      </c>
      <c r="E113" s="22"/>
      <c r="F113" s="22" t="str">
        <f ca="1">auto_pop!H113</f>
        <v/>
      </c>
      <c r="G113" s="33"/>
      <c r="H113" s="33"/>
    </row>
    <row r="114" spans="2:8" s="2" customFormat="1" ht="15" x14ac:dyDescent="0.25">
      <c r="B114" s="21"/>
      <c r="C114" s="22"/>
      <c r="D114" s="29" t="str">
        <f t="shared" si="1"/>
        <v/>
      </c>
      <c r="E114" s="22"/>
      <c r="F114" s="22" t="str">
        <f ca="1">auto_pop!H114</f>
        <v/>
      </c>
      <c r="G114" s="33"/>
      <c r="H114" s="33"/>
    </row>
    <row r="115" spans="2:8" s="2" customFormat="1" ht="15" x14ac:dyDescent="0.25">
      <c r="B115" s="21"/>
      <c r="C115" s="22"/>
      <c r="D115" s="29" t="str">
        <f t="shared" si="1"/>
        <v/>
      </c>
      <c r="E115" s="22"/>
      <c r="F115" s="22" t="str">
        <f ca="1">auto_pop!H115</f>
        <v/>
      </c>
      <c r="G115" s="33"/>
      <c r="H115" s="33"/>
    </row>
    <row r="116" spans="2:8" s="2" customFormat="1" ht="15" x14ac:dyDescent="0.25">
      <c r="B116" s="21"/>
      <c r="C116" s="22"/>
      <c r="D116" s="29" t="str">
        <f t="shared" si="1"/>
        <v/>
      </c>
      <c r="E116" s="22"/>
      <c r="F116" s="22" t="str">
        <f ca="1">auto_pop!H116</f>
        <v/>
      </c>
      <c r="G116" s="33"/>
      <c r="H116" s="33"/>
    </row>
    <row r="117" spans="2:8" s="2" customFormat="1" ht="15" x14ac:dyDescent="0.25">
      <c r="B117" s="21"/>
      <c r="C117" s="22"/>
      <c r="D117" s="29" t="str">
        <f t="shared" si="1"/>
        <v/>
      </c>
      <c r="E117" s="22"/>
      <c r="F117" s="22" t="str">
        <f ca="1">auto_pop!H117</f>
        <v/>
      </c>
      <c r="G117" s="33"/>
      <c r="H117" s="33"/>
    </row>
    <row r="118" spans="2:8" s="2" customFormat="1" ht="15" x14ac:dyDescent="0.25">
      <c r="B118" s="21"/>
      <c r="C118" s="22"/>
      <c r="D118" s="29" t="str">
        <f t="shared" si="1"/>
        <v/>
      </c>
      <c r="E118" s="22"/>
      <c r="F118" s="22" t="str">
        <f ca="1">auto_pop!H118</f>
        <v/>
      </c>
      <c r="G118" s="33"/>
      <c r="H118" s="33"/>
    </row>
    <row r="119" spans="2:8" s="2" customFormat="1" ht="15" x14ac:dyDescent="0.25">
      <c r="B119" s="21"/>
      <c r="C119" s="22"/>
      <c r="D119" s="29" t="str">
        <f t="shared" si="1"/>
        <v/>
      </c>
      <c r="E119" s="22"/>
      <c r="F119" s="22" t="str">
        <f ca="1">auto_pop!H119</f>
        <v/>
      </c>
      <c r="G119" s="33"/>
      <c r="H119" s="33"/>
    </row>
    <row r="120" spans="2:8" s="2" customFormat="1" ht="15" x14ac:dyDescent="0.25">
      <c r="B120" s="21"/>
      <c r="C120" s="22"/>
      <c r="D120" s="29" t="str">
        <f t="shared" si="1"/>
        <v/>
      </c>
      <c r="E120" s="22"/>
      <c r="F120" s="22" t="str">
        <f ca="1">auto_pop!H120</f>
        <v/>
      </c>
      <c r="G120" s="33"/>
      <c r="H120" s="33"/>
    </row>
    <row r="121" spans="2:8" s="2" customFormat="1" ht="15" x14ac:dyDescent="0.25">
      <c r="B121" s="21"/>
      <c r="C121" s="22"/>
      <c r="D121" s="29" t="str">
        <f t="shared" si="1"/>
        <v/>
      </c>
      <c r="E121" s="22"/>
      <c r="F121" s="22" t="str">
        <f ca="1">auto_pop!H121</f>
        <v/>
      </c>
      <c r="G121" s="33"/>
      <c r="H121" s="33"/>
    </row>
    <row r="122" spans="2:8" s="2" customFormat="1" ht="15" x14ac:dyDescent="0.25">
      <c r="B122" s="21"/>
      <c r="C122" s="22"/>
      <c r="D122" s="29" t="str">
        <f t="shared" si="1"/>
        <v/>
      </c>
      <c r="E122" s="22"/>
      <c r="F122" s="22" t="str">
        <f ca="1">auto_pop!H122</f>
        <v/>
      </c>
      <c r="G122" s="33"/>
      <c r="H122" s="33"/>
    </row>
    <row r="123" spans="2:8" s="2" customFormat="1" ht="15" x14ac:dyDescent="0.25">
      <c r="B123" s="21"/>
      <c r="C123" s="22"/>
      <c r="D123" s="29" t="str">
        <f t="shared" si="1"/>
        <v/>
      </c>
      <c r="E123" s="22"/>
      <c r="F123" s="22" t="str">
        <f ca="1">auto_pop!H123</f>
        <v/>
      </c>
      <c r="G123" s="33"/>
      <c r="H123" s="33"/>
    </row>
    <row r="124" spans="2:8" s="2" customFormat="1" ht="15" x14ac:dyDescent="0.25">
      <c r="B124" s="21"/>
      <c r="C124" s="22"/>
      <c r="D124" s="29" t="str">
        <f t="shared" si="1"/>
        <v/>
      </c>
      <c r="E124" s="22"/>
      <c r="F124" s="22" t="str">
        <f ca="1">auto_pop!H124</f>
        <v/>
      </c>
      <c r="G124" s="33"/>
      <c r="H124" s="33"/>
    </row>
    <row r="125" spans="2:8" s="2" customFormat="1" ht="15" x14ac:dyDescent="0.25">
      <c r="B125" s="21"/>
      <c r="C125" s="22"/>
      <c r="D125" s="29" t="str">
        <f t="shared" si="1"/>
        <v/>
      </c>
      <c r="E125" s="22"/>
      <c r="F125" s="22" t="str">
        <f ca="1">auto_pop!H125</f>
        <v/>
      </c>
      <c r="G125" s="33"/>
      <c r="H125" s="33"/>
    </row>
    <row r="126" spans="2:8" s="2" customFormat="1" ht="15" x14ac:dyDescent="0.25">
      <c r="B126" s="21"/>
      <c r="C126" s="22"/>
      <c r="D126" s="29" t="str">
        <f t="shared" si="1"/>
        <v/>
      </c>
      <c r="E126" s="22"/>
      <c r="F126" s="22" t="str">
        <f ca="1">auto_pop!H126</f>
        <v/>
      </c>
      <c r="G126" s="33"/>
      <c r="H126" s="33"/>
    </row>
    <row r="127" spans="2:8" s="2" customFormat="1" ht="15" x14ac:dyDescent="0.25">
      <c r="B127" s="21"/>
      <c r="C127" s="22"/>
      <c r="D127" s="29" t="str">
        <f t="shared" si="1"/>
        <v/>
      </c>
      <c r="E127" s="22"/>
      <c r="F127" s="22" t="str">
        <f ca="1">auto_pop!H127</f>
        <v/>
      </c>
      <c r="G127" s="33"/>
      <c r="H127" s="33"/>
    </row>
    <row r="128" spans="2:8" s="2" customFormat="1" ht="15" x14ac:dyDescent="0.25">
      <c r="B128" s="21"/>
      <c r="C128" s="22"/>
      <c r="D128" s="29" t="str">
        <f t="shared" si="1"/>
        <v/>
      </c>
      <c r="E128" s="22"/>
      <c r="F128" s="22" t="str">
        <f ca="1">auto_pop!H128</f>
        <v/>
      </c>
      <c r="G128" s="33"/>
      <c r="H128" s="33"/>
    </row>
    <row r="129" spans="2:8" s="2" customFormat="1" ht="15" x14ac:dyDescent="0.25">
      <c r="B129" s="21"/>
      <c r="C129" s="22"/>
      <c r="D129" s="29" t="str">
        <f t="shared" si="1"/>
        <v/>
      </c>
      <c r="E129" s="22"/>
      <c r="F129" s="22" t="str">
        <f ca="1">auto_pop!H129</f>
        <v/>
      </c>
      <c r="G129" s="33"/>
      <c r="H129" s="33"/>
    </row>
    <row r="130" spans="2:8" s="2" customFormat="1" ht="15" x14ac:dyDescent="0.25">
      <c r="B130" s="21"/>
      <c r="C130" s="22"/>
      <c r="D130" s="29" t="str">
        <f t="shared" si="1"/>
        <v/>
      </c>
      <c r="E130" s="22"/>
      <c r="F130" s="22" t="str">
        <f ca="1">auto_pop!H130</f>
        <v/>
      </c>
      <c r="G130" s="33"/>
      <c r="H130" s="33"/>
    </row>
    <row r="131" spans="2:8" s="2" customFormat="1" ht="15" x14ac:dyDescent="0.25">
      <c r="B131" s="21"/>
      <c r="C131" s="22"/>
      <c r="D131" s="29" t="str">
        <f t="shared" si="1"/>
        <v/>
      </c>
      <c r="E131" s="22"/>
      <c r="F131" s="22" t="str">
        <f ca="1">auto_pop!H131</f>
        <v/>
      </c>
      <c r="G131" s="33"/>
      <c r="H131" s="33"/>
    </row>
    <row r="132" spans="2:8" s="2" customFormat="1" ht="15" x14ac:dyDescent="0.25">
      <c r="B132" s="21"/>
      <c r="C132" s="22"/>
      <c r="D132" s="29" t="str">
        <f t="shared" ref="D132:D195" si="2">IF(C132&lt;&gt;"", IF(OR(C132="Chapin", C132="Oatka", C132="Seneca"), "", 1), "")</f>
        <v/>
      </c>
      <c r="E132" s="22"/>
      <c r="F132" s="22" t="str">
        <f ca="1">auto_pop!H132</f>
        <v/>
      </c>
      <c r="G132" s="33"/>
      <c r="H132" s="33"/>
    </row>
    <row r="133" spans="2:8" s="2" customFormat="1" ht="15" x14ac:dyDescent="0.25">
      <c r="B133" s="21"/>
      <c r="C133" s="22"/>
      <c r="D133" s="29" t="str">
        <f t="shared" si="2"/>
        <v/>
      </c>
      <c r="E133" s="22"/>
      <c r="F133" s="22" t="str">
        <f ca="1">auto_pop!H133</f>
        <v/>
      </c>
      <c r="G133" s="33"/>
      <c r="H133" s="33"/>
    </row>
    <row r="134" spans="2:8" s="2" customFormat="1" ht="15" x14ac:dyDescent="0.25">
      <c r="B134" s="21"/>
      <c r="C134" s="22"/>
      <c r="D134" s="29" t="str">
        <f t="shared" si="2"/>
        <v/>
      </c>
      <c r="E134" s="22"/>
      <c r="F134" s="22" t="str">
        <f ca="1">auto_pop!H134</f>
        <v/>
      </c>
      <c r="G134" s="33"/>
      <c r="H134" s="33"/>
    </row>
    <row r="135" spans="2:8" s="2" customFormat="1" ht="15" x14ac:dyDescent="0.25">
      <c r="B135" s="21"/>
      <c r="C135" s="22"/>
      <c r="D135" s="29" t="str">
        <f t="shared" si="2"/>
        <v/>
      </c>
      <c r="E135" s="22"/>
      <c r="F135" s="22" t="str">
        <f ca="1">auto_pop!H135</f>
        <v/>
      </c>
      <c r="G135" s="33"/>
      <c r="H135" s="33"/>
    </row>
    <row r="136" spans="2:8" s="2" customFormat="1" ht="15" x14ac:dyDescent="0.25">
      <c r="B136" s="21"/>
      <c r="C136" s="22"/>
      <c r="D136" s="29" t="str">
        <f t="shared" si="2"/>
        <v/>
      </c>
      <c r="E136" s="22"/>
      <c r="F136" s="22" t="str">
        <f ca="1">auto_pop!H136</f>
        <v/>
      </c>
      <c r="G136" s="33"/>
      <c r="H136" s="33"/>
    </row>
    <row r="137" spans="2:8" s="2" customFormat="1" ht="15" x14ac:dyDescent="0.25">
      <c r="B137" s="21"/>
      <c r="C137" s="22"/>
      <c r="D137" s="29" t="str">
        <f t="shared" si="2"/>
        <v/>
      </c>
      <c r="E137" s="22"/>
      <c r="F137" s="22" t="str">
        <f ca="1">auto_pop!H137</f>
        <v/>
      </c>
      <c r="G137" s="33"/>
      <c r="H137" s="33"/>
    </row>
    <row r="138" spans="2:8" s="2" customFormat="1" ht="15" x14ac:dyDescent="0.25">
      <c r="B138" s="21"/>
      <c r="C138" s="22"/>
      <c r="D138" s="29" t="str">
        <f t="shared" si="2"/>
        <v/>
      </c>
      <c r="E138" s="22"/>
      <c r="F138" s="22" t="str">
        <f ca="1">auto_pop!H138</f>
        <v/>
      </c>
      <c r="G138" s="33"/>
      <c r="H138" s="33"/>
    </row>
    <row r="139" spans="2:8" s="2" customFormat="1" ht="15" x14ac:dyDescent="0.25">
      <c r="B139" s="21"/>
      <c r="C139" s="22"/>
      <c r="D139" s="29" t="str">
        <f t="shared" si="2"/>
        <v/>
      </c>
      <c r="E139" s="22"/>
      <c r="F139" s="22" t="str">
        <f ca="1">auto_pop!H139</f>
        <v/>
      </c>
      <c r="G139" s="33"/>
      <c r="H139" s="33"/>
    </row>
    <row r="140" spans="2:8" s="2" customFormat="1" ht="15" x14ac:dyDescent="0.25">
      <c r="B140" s="21"/>
      <c r="C140" s="22"/>
      <c r="D140" s="29" t="str">
        <f t="shared" si="2"/>
        <v/>
      </c>
      <c r="E140" s="22"/>
      <c r="F140" s="22" t="str">
        <f ca="1">auto_pop!H140</f>
        <v/>
      </c>
      <c r="G140" s="33"/>
      <c r="H140" s="33"/>
    </row>
    <row r="141" spans="2:8" s="2" customFormat="1" ht="15" x14ac:dyDescent="0.25">
      <c r="B141" s="21"/>
      <c r="C141" s="22"/>
      <c r="D141" s="29" t="str">
        <f t="shared" si="2"/>
        <v/>
      </c>
      <c r="E141" s="22"/>
      <c r="F141" s="22" t="str">
        <f ca="1">auto_pop!H141</f>
        <v/>
      </c>
      <c r="G141" s="33"/>
      <c r="H141" s="33"/>
    </row>
    <row r="142" spans="2:8" s="2" customFormat="1" ht="15" x14ac:dyDescent="0.25">
      <c r="B142" s="21"/>
      <c r="C142" s="22"/>
      <c r="D142" s="29" t="str">
        <f t="shared" si="2"/>
        <v/>
      </c>
      <c r="E142" s="22"/>
      <c r="F142" s="22" t="str">
        <f ca="1">auto_pop!H142</f>
        <v/>
      </c>
      <c r="G142" s="33"/>
      <c r="H142" s="33"/>
    </row>
    <row r="143" spans="2:8" s="2" customFormat="1" ht="15" x14ac:dyDescent="0.25">
      <c r="B143" s="21"/>
      <c r="C143" s="22"/>
      <c r="D143" s="29" t="str">
        <f t="shared" si="2"/>
        <v/>
      </c>
      <c r="E143" s="22"/>
      <c r="F143" s="22" t="str">
        <f ca="1">auto_pop!H143</f>
        <v/>
      </c>
      <c r="G143" s="33"/>
      <c r="H143" s="33"/>
    </row>
    <row r="144" spans="2:8" s="2" customFormat="1" ht="15" x14ac:dyDescent="0.25">
      <c r="B144" s="21"/>
      <c r="C144" s="22"/>
      <c r="D144" s="29" t="str">
        <f t="shared" si="2"/>
        <v/>
      </c>
      <c r="E144" s="22"/>
      <c r="F144" s="22" t="str">
        <f ca="1">auto_pop!H144</f>
        <v/>
      </c>
      <c r="G144" s="33"/>
      <c r="H144" s="33"/>
    </row>
    <row r="145" spans="2:8" s="2" customFormat="1" ht="15" x14ac:dyDescent="0.25">
      <c r="B145" s="21"/>
      <c r="C145" s="22"/>
      <c r="D145" s="29" t="str">
        <f t="shared" si="2"/>
        <v/>
      </c>
      <c r="E145" s="22"/>
      <c r="F145" s="22" t="str">
        <f ca="1">auto_pop!H145</f>
        <v/>
      </c>
      <c r="G145" s="33"/>
      <c r="H145" s="33"/>
    </row>
    <row r="146" spans="2:8" s="2" customFormat="1" ht="15" x14ac:dyDescent="0.25">
      <c r="B146" s="21"/>
      <c r="C146" s="22"/>
      <c r="D146" s="29" t="str">
        <f t="shared" si="2"/>
        <v/>
      </c>
      <c r="E146" s="22"/>
      <c r="F146" s="22" t="str">
        <f ca="1">auto_pop!H146</f>
        <v/>
      </c>
      <c r="G146" s="33"/>
      <c r="H146" s="33"/>
    </row>
    <row r="147" spans="2:8" s="2" customFormat="1" ht="15" x14ac:dyDescent="0.25">
      <c r="B147" s="21"/>
      <c r="C147" s="22"/>
      <c r="D147" s="29" t="str">
        <f t="shared" si="2"/>
        <v/>
      </c>
      <c r="E147" s="22"/>
      <c r="F147" s="22" t="str">
        <f ca="1">auto_pop!H147</f>
        <v/>
      </c>
      <c r="G147" s="33"/>
      <c r="H147" s="33"/>
    </row>
    <row r="148" spans="2:8" s="2" customFormat="1" ht="15" x14ac:dyDescent="0.25">
      <c r="B148" s="21"/>
      <c r="C148" s="22"/>
      <c r="D148" s="29" t="str">
        <f t="shared" si="2"/>
        <v/>
      </c>
      <c r="E148" s="22"/>
      <c r="F148" s="22" t="str">
        <f ca="1">auto_pop!H148</f>
        <v/>
      </c>
      <c r="G148" s="33"/>
      <c r="H148" s="33"/>
    </row>
    <row r="149" spans="2:8" s="2" customFormat="1" ht="15" x14ac:dyDescent="0.25">
      <c r="B149" s="21"/>
      <c r="C149" s="22"/>
      <c r="D149" s="29" t="str">
        <f t="shared" si="2"/>
        <v/>
      </c>
      <c r="E149" s="22"/>
      <c r="F149" s="22" t="str">
        <f ca="1">auto_pop!H149</f>
        <v/>
      </c>
      <c r="G149" s="33"/>
      <c r="H149" s="33"/>
    </row>
    <row r="150" spans="2:8" s="2" customFormat="1" ht="15" x14ac:dyDescent="0.25">
      <c r="B150" s="21"/>
      <c r="C150" s="22"/>
      <c r="D150" s="29" t="str">
        <f t="shared" si="2"/>
        <v/>
      </c>
      <c r="E150" s="22"/>
      <c r="F150" s="22" t="str">
        <f ca="1">auto_pop!H150</f>
        <v/>
      </c>
      <c r="G150" s="33"/>
      <c r="H150" s="33"/>
    </row>
    <row r="151" spans="2:8" s="2" customFormat="1" ht="15" x14ac:dyDescent="0.25">
      <c r="B151" s="21"/>
      <c r="C151" s="22"/>
      <c r="D151" s="29" t="str">
        <f t="shared" si="2"/>
        <v/>
      </c>
      <c r="E151" s="22"/>
      <c r="F151" s="22" t="str">
        <f ca="1">auto_pop!H151</f>
        <v/>
      </c>
      <c r="G151" s="33"/>
      <c r="H151" s="33"/>
    </row>
    <row r="152" spans="2:8" s="2" customFormat="1" ht="15" x14ac:dyDescent="0.25">
      <c r="B152" s="21"/>
      <c r="C152" s="22"/>
      <c r="D152" s="29" t="str">
        <f t="shared" si="2"/>
        <v/>
      </c>
      <c r="E152" s="22"/>
      <c r="F152" s="22" t="str">
        <f ca="1">auto_pop!H152</f>
        <v/>
      </c>
      <c r="G152" s="33"/>
      <c r="H152" s="33"/>
    </row>
    <row r="153" spans="2:8" s="2" customFormat="1" ht="15" x14ac:dyDescent="0.25">
      <c r="B153" s="21"/>
      <c r="C153" s="22"/>
      <c r="D153" s="29" t="str">
        <f t="shared" si="2"/>
        <v/>
      </c>
      <c r="E153" s="22"/>
      <c r="F153" s="22" t="str">
        <f ca="1">auto_pop!H153</f>
        <v/>
      </c>
      <c r="G153" s="33"/>
      <c r="H153" s="33"/>
    </row>
    <row r="154" spans="2:8" s="2" customFormat="1" ht="15" x14ac:dyDescent="0.25">
      <c r="B154" s="21"/>
      <c r="C154" s="22"/>
      <c r="D154" s="29" t="str">
        <f t="shared" si="2"/>
        <v/>
      </c>
      <c r="E154" s="22"/>
      <c r="F154" s="22" t="str">
        <f ca="1">auto_pop!H154</f>
        <v/>
      </c>
      <c r="G154" s="33"/>
      <c r="H154" s="33"/>
    </row>
    <row r="155" spans="2:8" s="2" customFormat="1" ht="15" x14ac:dyDescent="0.25">
      <c r="B155" s="21"/>
      <c r="C155" s="22"/>
      <c r="D155" s="29" t="str">
        <f t="shared" si="2"/>
        <v/>
      </c>
      <c r="E155" s="22"/>
      <c r="F155" s="22" t="str">
        <f ca="1">auto_pop!H155</f>
        <v/>
      </c>
      <c r="G155" s="33"/>
      <c r="H155" s="33"/>
    </row>
    <row r="156" spans="2:8" s="2" customFormat="1" ht="15" x14ac:dyDescent="0.25">
      <c r="B156" s="21"/>
      <c r="C156" s="22"/>
      <c r="D156" s="29" t="str">
        <f t="shared" si="2"/>
        <v/>
      </c>
      <c r="E156" s="22"/>
      <c r="F156" s="22" t="str">
        <f ca="1">auto_pop!H156</f>
        <v/>
      </c>
      <c r="G156" s="33"/>
      <c r="H156" s="33"/>
    </row>
    <row r="157" spans="2:8" s="2" customFormat="1" ht="15" x14ac:dyDescent="0.25">
      <c r="B157" s="21"/>
      <c r="C157" s="22"/>
      <c r="D157" s="29" t="str">
        <f t="shared" si="2"/>
        <v/>
      </c>
      <c r="E157" s="22"/>
      <c r="F157" s="22" t="str">
        <f ca="1">auto_pop!H157</f>
        <v/>
      </c>
      <c r="G157" s="33"/>
      <c r="H157" s="33"/>
    </row>
    <row r="158" spans="2:8" s="2" customFormat="1" ht="15" x14ac:dyDescent="0.25">
      <c r="B158" s="21"/>
      <c r="C158" s="22"/>
      <c r="D158" s="29" t="str">
        <f t="shared" si="2"/>
        <v/>
      </c>
      <c r="E158" s="22"/>
      <c r="F158" s="22" t="str">
        <f ca="1">auto_pop!H158</f>
        <v/>
      </c>
      <c r="G158" s="33"/>
      <c r="H158" s="33"/>
    </row>
    <row r="159" spans="2:8" s="2" customFormat="1" ht="15" x14ac:dyDescent="0.25">
      <c r="B159" s="21"/>
      <c r="C159" s="22"/>
      <c r="D159" s="29" t="str">
        <f t="shared" si="2"/>
        <v/>
      </c>
      <c r="E159" s="22"/>
      <c r="F159" s="22" t="str">
        <f ca="1">auto_pop!H159</f>
        <v/>
      </c>
      <c r="G159" s="33"/>
      <c r="H159" s="33"/>
    </row>
    <row r="160" spans="2:8" s="2" customFormat="1" ht="15" x14ac:dyDescent="0.25">
      <c r="B160" s="21"/>
      <c r="C160" s="22"/>
      <c r="D160" s="29" t="str">
        <f t="shared" si="2"/>
        <v/>
      </c>
      <c r="E160" s="22"/>
      <c r="F160" s="22" t="str">
        <f ca="1">auto_pop!H160</f>
        <v/>
      </c>
      <c r="G160" s="33"/>
      <c r="H160" s="33"/>
    </row>
    <row r="161" spans="2:8" s="2" customFormat="1" ht="15" x14ac:dyDescent="0.25">
      <c r="B161" s="21"/>
      <c r="C161" s="22"/>
      <c r="D161" s="29" t="str">
        <f t="shared" si="2"/>
        <v/>
      </c>
      <c r="E161" s="22"/>
      <c r="F161" s="22" t="str">
        <f ca="1">auto_pop!H161</f>
        <v/>
      </c>
      <c r="G161" s="33"/>
      <c r="H161" s="33"/>
    </row>
    <row r="162" spans="2:8" s="2" customFormat="1" ht="15" x14ac:dyDescent="0.25">
      <c r="B162" s="21"/>
      <c r="C162" s="22"/>
      <c r="D162" s="29" t="str">
        <f t="shared" si="2"/>
        <v/>
      </c>
      <c r="E162" s="22"/>
      <c r="F162" s="22" t="str">
        <f ca="1">auto_pop!H162</f>
        <v/>
      </c>
      <c r="G162" s="33"/>
      <c r="H162" s="33"/>
    </row>
    <row r="163" spans="2:8" s="2" customFormat="1" ht="15" x14ac:dyDescent="0.25">
      <c r="B163" s="21"/>
      <c r="C163" s="22"/>
      <c r="D163" s="29" t="str">
        <f t="shared" si="2"/>
        <v/>
      </c>
      <c r="E163" s="22"/>
      <c r="F163" s="22" t="str">
        <f ca="1">auto_pop!H163</f>
        <v/>
      </c>
      <c r="G163" s="33"/>
      <c r="H163" s="33"/>
    </row>
    <row r="164" spans="2:8" s="2" customFormat="1" ht="15" x14ac:dyDescent="0.25">
      <c r="B164" s="21"/>
      <c r="C164" s="22"/>
      <c r="D164" s="29" t="str">
        <f t="shared" si="2"/>
        <v/>
      </c>
      <c r="E164" s="22"/>
      <c r="F164" s="22" t="str">
        <f ca="1">auto_pop!H164</f>
        <v/>
      </c>
      <c r="G164" s="33"/>
      <c r="H164" s="33"/>
    </row>
    <row r="165" spans="2:8" s="2" customFormat="1" ht="15" x14ac:dyDescent="0.25">
      <c r="B165" s="21"/>
      <c r="C165" s="22"/>
      <c r="D165" s="29" t="str">
        <f t="shared" si="2"/>
        <v/>
      </c>
      <c r="E165" s="22"/>
      <c r="F165" s="22" t="str">
        <f ca="1">auto_pop!H165</f>
        <v/>
      </c>
      <c r="G165" s="33"/>
      <c r="H165" s="33"/>
    </row>
    <row r="166" spans="2:8" s="2" customFormat="1" ht="15" x14ac:dyDescent="0.25">
      <c r="B166" s="21"/>
      <c r="C166" s="22"/>
      <c r="D166" s="29" t="str">
        <f t="shared" si="2"/>
        <v/>
      </c>
      <c r="E166" s="22"/>
      <c r="F166" s="22" t="str">
        <f ca="1">auto_pop!H166</f>
        <v/>
      </c>
      <c r="G166" s="33"/>
      <c r="H166" s="33"/>
    </row>
    <row r="167" spans="2:8" s="2" customFormat="1" ht="15" x14ac:dyDescent="0.25">
      <c r="B167" s="21"/>
      <c r="C167" s="22"/>
      <c r="D167" s="29" t="str">
        <f t="shared" si="2"/>
        <v/>
      </c>
      <c r="E167" s="22"/>
      <c r="F167" s="22" t="str">
        <f ca="1">auto_pop!H167</f>
        <v/>
      </c>
      <c r="G167" s="33"/>
      <c r="H167" s="33"/>
    </row>
    <row r="168" spans="2:8" s="2" customFormat="1" ht="15" x14ac:dyDescent="0.25">
      <c r="B168" s="21"/>
      <c r="C168" s="22"/>
      <c r="D168" s="29" t="str">
        <f t="shared" si="2"/>
        <v/>
      </c>
      <c r="E168" s="22"/>
      <c r="F168" s="22" t="str">
        <f ca="1">auto_pop!H168</f>
        <v/>
      </c>
      <c r="G168" s="33"/>
      <c r="H168" s="33"/>
    </row>
    <row r="169" spans="2:8" s="2" customFormat="1" ht="15" x14ac:dyDescent="0.25">
      <c r="B169" s="21"/>
      <c r="C169" s="22"/>
      <c r="D169" s="29" t="str">
        <f t="shared" si="2"/>
        <v/>
      </c>
      <c r="E169" s="22"/>
      <c r="F169" s="22" t="str">
        <f ca="1">auto_pop!H169</f>
        <v/>
      </c>
      <c r="G169" s="33"/>
      <c r="H169" s="33"/>
    </row>
    <row r="170" spans="2:8" s="2" customFormat="1" ht="15" x14ac:dyDescent="0.25">
      <c r="B170" s="21"/>
      <c r="C170" s="22"/>
      <c r="D170" s="29" t="str">
        <f t="shared" si="2"/>
        <v/>
      </c>
      <c r="E170" s="22"/>
      <c r="F170" s="22" t="str">
        <f ca="1">auto_pop!H170</f>
        <v/>
      </c>
      <c r="G170" s="33"/>
      <c r="H170" s="33"/>
    </row>
    <row r="171" spans="2:8" s="2" customFormat="1" ht="15" x14ac:dyDescent="0.25">
      <c r="B171" s="21"/>
      <c r="C171" s="22"/>
      <c r="D171" s="29" t="str">
        <f t="shared" si="2"/>
        <v/>
      </c>
      <c r="E171" s="22"/>
      <c r="F171" s="22" t="str">
        <f ca="1">auto_pop!H171</f>
        <v/>
      </c>
      <c r="G171" s="33"/>
      <c r="H171" s="33"/>
    </row>
    <row r="172" spans="2:8" s="2" customFormat="1" ht="15" x14ac:dyDescent="0.25">
      <c r="B172" s="21"/>
      <c r="C172" s="22"/>
      <c r="D172" s="29" t="str">
        <f t="shared" si="2"/>
        <v/>
      </c>
      <c r="E172" s="22"/>
      <c r="F172" s="22" t="str">
        <f ca="1">auto_pop!H172</f>
        <v/>
      </c>
      <c r="G172" s="33"/>
      <c r="H172" s="33"/>
    </row>
    <row r="173" spans="2:8" s="2" customFormat="1" ht="15" x14ac:dyDescent="0.25">
      <c r="B173" s="21"/>
      <c r="C173" s="22"/>
      <c r="D173" s="29" t="str">
        <f t="shared" si="2"/>
        <v/>
      </c>
      <c r="E173" s="22"/>
      <c r="F173" s="22" t="str">
        <f ca="1">auto_pop!H173</f>
        <v/>
      </c>
      <c r="G173" s="33"/>
      <c r="H173" s="33"/>
    </row>
    <row r="174" spans="2:8" s="2" customFormat="1" ht="15" x14ac:dyDescent="0.25">
      <c r="B174" s="21"/>
      <c r="C174" s="22"/>
      <c r="D174" s="29" t="str">
        <f t="shared" si="2"/>
        <v/>
      </c>
      <c r="E174" s="22"/>
      <c r="F174" s="22" t="str">
        <f ca="1">auto_pop!H174</f>
        <v/>
      </c>
      <c r="G174" s="33"/>
      <c r="H174" s="33"/>
    </row>
    <row r="175" spans="2:8" s="2" customFormat="1" ht="15" x14ac:dyDescent="0.25">
      <c r="B175" s="21"/>
      <c r="C175" s="22"/>
      <c r="D175" s="29" t="str">
        <f t="shared" si="2"/>
        <v/>
      </c>
      <c r="E175" s="22"/>
      <c r="F175" s="22" t="str">
        <f ca="1">auto_pop!H175</f>
        <v/>
      </c>
      <c r="G175" s="33"/>
      <c r="H175" s="33"/>
    </row>
    <row r="176" spans="2:8" s="2" customFormat="1" ht="15" x14ac:dyDescent="0.25">
      <c r="B176" s="21"/>
      <c r="C176" s="22"/>
      <c r="D176" s="29" t="str">
        <f t="shared" si="2"/>
        <v/>
      </c>
      <c r="E176" s="22"/>
      <c r="F176" s="22" t="str">
        <f ca="1">auto_pop!H176</f>
        <v/>
      </c>
      <c r="G176" s="33"/>
      <c r="H176" s="33"/>
    </row>
    <row r="177" spans="2:8" s="2" customFormat="1" ht="15" x14ac:dyDescent="0.25">
      <c r="B177" s="21"/>
      <c r="C177" s="22"/>
      <c r="D177" s="29" t="str">
        <f t="shared" si="2"/>
        <v/>
      </c>
      <c r="E177" s="22"/>
      <c r="F177" s="22" t="str">
        <f ca="1">auto_pop!H177</f>
        <v/>
      </c>
      <c r="G177" s="33"/>
      <c r="H177" s="33"/>
    </row>
    <row r="178" spans="2:8" s="2" customFormat="1" ht="15" x14ac:dyDescent="0.25">
      <c r="B178" s="21"/>
      <c r="C178" s="22"/>
      <c r="D178" s="29" t="str">
        <f t="shared" si="2"/>
        <v/>
      </c>
      <c r="E178" s="22"/>
      <c r="F178" s="22" t="str">
        <f ca="1">auto_pop!H178</f>
        <v/>
      </c>
      <c r="G178" s="33"/>
      <c r="H178" s="33"/>
    </row>
    <row r="179" spans="2:8" s="2" customFormat="1" ht="15" x14ac:dyDescent="0.25">
      <c r="B179" s="21"/>
      <c r="C179" s="22"/>
      <c r="D179" s="29" t="str">
        <f t="shared" si="2"/>
        <v/>
      </c>
      <c r="E179" s="22"/>
      <c r="F179" s="22" t="str">
        <f ca="1">auto_pop!H179</f>
        <v/>
      </c>
      <c r="G179" s="33"/>
      <c r="H179" s="33"/>
    </row>
    <row r="180" spans="2:8" s="2" customFormat="1" ht="15" x14ac:dyDescent="0.25">
      <c r="B180" s="21"/>
      <c r="C180" s="22"/>
      <c r="D180" s="29" t="str">
        <f t="shared" si="2"/>
        <v/>
      </c>
      <c r="E180" s="22"/>
      <c r="F180" s="22" t="str">
        <f ca="1">auto_pop!H180</f>
        <v/>
      </c>
      <c r="G180" s="33"/>
      <c r="H180" s="33"/>
    </row>
    <row r="181" spans="2:8" s="2" customFormat="1" ht="15" x14ac:dyDescent="0.25">
      <c r="B181" s="21"/>
      <c r="C181" s="22"/>
      <c r="D181" s="29" t="str">
        <f t="shared" si="2"/>
        <v/>
      </c>
      <c r="E181" s="22"/>
      <c r="F181" s="22" t="str">
        <f ca="1">auto_pop!H181</f>
        <v/>
      </c>
      <c r="G181" s="33"/>
      <c r="H181" s="33"/>
    </row>
    <row r="182" spans="2:8" s="2" customFormat="1" ht="15" x14ac:dyDescent="0.25">
      <c r="B182" s="21"/>
      <c r="C182" s="22"/>
      <c r="D182" s="29" t="str">
        <f t="shared" si="2"/>
        <v/>
      </c>
      <c r="E182" s="22"/>
      <c r="F182" s="22" t="str">
        <f ca="1">auto_pop!H182</f>
        <v/>
      </c>
      <c r="G182" s="33"/>
      <c r="H182" s="33"/>
    </row>
    <row r="183" spans="2:8" s="2" customFormat="1" ht="15" x14ac:dyDescent="0.25">
      <c r="B183" s="21"/>
      <c r="C183" s="22"/>
      <c r="D183" s="29" t="str">
        <f t="shared" si="2"/>
        <v/>
      </c>
      <c r="E183" s="22"/>
      <c r="F183" s="22" t="str">
        <f ca="1">auto_pop!H183</f>
        <v/>
      </c>
      <c r="G183" s="33"/>
      <c r="H183" s="33"/>
    </row>
    <row r="184" spans="2:8" s="2" customFormat="1" ht="15" x14ac:dyDescent="0.25">
      <c r="B184" s="21"/>
      <c r="C184" s="22"/>
      <c r="D184" s="29" t="str">
        <f t="shared" si="2"/>
        <v/>
      </c>
      <c r="E184" s="22"/>
      <c r="F184" s="22" t="str">
        <f ca="1">auto_pop!H184</f>
        <v/>
      </c>
      <c r="G184" s="33"/>
      <c r="H184" s="33"/>
    </row>
    <row r="185" spans="2:8" s="2" customFormat="1" ht="15" x14ac:dyDescent="0.25">
      <c r="B185" s="21"/>
      <c r="C185" s="22"/>
      <c r="D185" s="29" t="str">
        <f t="shared" si="2"/>
        <v/>
      </c>
      <c r="E185" s="22"/>
      <c r="F185" s="22" t="str">
        <f ca="1">auto_pop!H185</f>
        <v/>
      </c>
      <c r="G185" s="33"/>
      <c r="H185" s="33"/>
    </row>
    <row r="186" spans="2:8" s="2" customFormat="1" ht="15" x14ac:dyDescent="0.25">
      <c r="B186" s="21"/>
      <c r="C186" s="22"/>
      <c r="D186" s="29" t="str">
        <f t="shared" si="2"/>
        <v/>
      </c>
      <c r="E186" s="22"/>
      <c r="F186" s="22" t="str">
        <f ca="1">auto_pop!H186</f>
        <v/>
      </c>
      <c r="G186" s="33"/>
      <c r="H186" s="33"/>
    </row>
    <row r="187" spans="2:8" s="2" customFormat="1" ht="15" x14ac:dyDescent="0.25">
      <c r="B187" s="21"/>
      <c r="C187" s="22"/>
      <c r="D187" s="29" t="str">
        <f t="shared" si="2"/>
        <v/>
      </c>
      <c r="E187" s="22"/>
      <c r="F187" s="22" t="str">
        <f ca="1">auto_pop!H187</f>
        <v/>
      </c>
      <c r="G187" s="33"/>
      <c r="H187" s="33"/>
    </row>
    <row r="188" spans="2:8" s="2" customFormat="1" ht="15" x14ac:dyDescent="0.25">
      <c r="B188" s="21"/>
      <c r="C188" s="22"/>
      <c r="D188" s="29" t="str">
        <f t="shared" si="2"/>
        <v/>
      </c>
      <c r="E188" s="22"/>
      <c r="F188" s="22" t="str">
        <f ca="1">auto_pop!H188</f>
        <v/>
      </c>
      <c r="G188" s="33"/>
      <c r="H188" s="33"/>
    </row>
    <row r="189" spans="2:8" s="2" customFormat="1" ht="15" x14ac:dyDescent="0.25">
      <c r="B189" s="21"/>
      <c r="C189" s="22"/>
      <c r="D189" s="29" t="str">
        <f t="shared" si="2"/>
        <v/>
      </c>
      <c r="E189" s="22"/>
      <c r="F189" s="22" t="str">
        <f ca="1">auto_pop!H189</f>
        <v/>
      </c>
      <c r="G189" s="33"/>
      <c r="H189" s="33"/>
    </row>
    <row r="190" spans="2:8" s="2" customFormat="1" ht="15" x14ac:dyDescent="0.25">
      <c r="B190" s="21"/>
      <c r="C190" s="22"/>
      <c r="D190" s="29" t="str">
        <f t="shared" si="2"/>
        <v/>
      </c>
      <c r="E190" s="22"/>
      <c r="F190" s="22" t="str">
        <f ca="1">auto_pop!H190</f>
        <v/>
      </c>
      <c r="G190" s="33"/>
      <c r="H190" s="33"/>
    </row>
    <row r="191" spans="2:8" s="2" customFormat="1" ht="15" x14ac:dyDescent="0.25">
      <c r="B191" s="21"/>
      <c r="C191" s="22"/>
      <c r="D191" s="29" t="str">
        <f t="shared" si="2"/>
        <v/>
      </c>
      <c r="E191" s="22"/>
      <c r="F191" s="22" t="str">
        <f ca="1">auto_pop!H191</f>
        <v/>
      </c>
      <c r="G191" s="33"/>
      <c r="H191" s="33"/>
    </row>
    <row r="192" spans="2:8" s="2" customFormat="1" ht="15" x14ac:dyDescent="0.25">
      <c r="B192" s="21"/>
      <c r="C192" s="22"/>
      <c r="D192" s="29" t="str">
        <f t="shared" si="2"/>
        <v/>
      </c>
      <c r="E192" s="22"/>
      <c r="F192" s="22" t="str">
        <f ca="1">auto_pop!H192</f>
        <v/>
      </c>
      <c r="G192" s="33"/>
      <c r="H192" s="33"/>
    </row>
    <row r="193" spans="2:8" s="2" customFormat="1" ht="15" x14ac:dyDescent="0.25">
      <c r="B193" s="21"/>
      <c r="C193" s="22"/>
      <c r="D193" s="29" t="str">
        <f t="shared" si="2"/>
        <v/>
      </c>
      <c r="E193" s="22"/>
      <c r="F193" s="22" t="str">
        <f ca="1">auto_pop!H193</f>
        <v/>
      </c>
      <c r="G193" s="33"/>
      <c r="H193" s="33"/>
    </row>
    <row r="194" spans="2:8" s="2" customFormat="1" ht="15" x14ac:dyDescent="0.25">
      <c r="B194" s="21"/>
      <c r="C194" s="22"/>
      <c r="D194" s="29" t="str">
        <f t="shared" si="2"/>
        <v/>
      </c>
      <c r="E194" s="22"/>
      <c r="F194" s="22" t="str">
        <f ca="1">auto_pop!H194</f>
        <v/>
      </c>
      <c r="G194" s="33"/>
      <c r="H194" s="33"/>
    </row>
    <row r="195" spans="2:8" s="2" customFormat="1" ht="15" x14ac:dyDescent="0.25">
      <c r="B195" s="21"/>
      <c r="C195" s="22"/>
      <c r="D195" s="29" t="str">
        <f t="shared" si="2"/>
        <v/>
      </c>
      <c r="E195" s="22"/>
      <c r="F195" s="22" t="str">
        <f ca="1">auto_pop!H195</f>
        <v/>
      </c>
      <c r="G195" s="33"/>
      <c r="H195" s="33"/>
    </row>
    <row r="196" spans="2:8" s="2" customFormat="1" ht="15" x14ac:dyDescent="0.25">
      <c r="B196" s="21"/>
      <c r="C196" s="22"/>
      <c r="D196" s="29" t="str">
        <f t="shared" ref="D196:D259" si="3">IF(C196&lt;&gt;"", IF(OR(C196="Chapin", C196="Oatka", C196="Seneca"), "", 1), "")</f>
        <v/>
      </c>
      <c r="E196" s="22"/>
      <c r="F196" s="22" t="str">
        <f ca="1">auto_pop!H196</f>
        <v/>
      </c>
      <c r="G196" s="33"/>
      <c r="H196" s="33"/>
    </row>
    <row r="197" spans="2:8" s="2" customFormat="1" ht="15" x14ac:dyDescent="0.25">
      <c r="B197" s="21"/>
      <c r="C197" s="22"/>
      <c r="D197" s="29" t="str">
        <f t="shared" si="3"/>
        <v/>
      </c>
      <c r="E197" s="22"/>
      <c r="F197" s="22" t="str">
        <f ca="1">auto_pop!H197</f>
        <v/>
      </c>
      <c r="G197" s="33"/>
      <c r="H197" s="33"/>
    </row>
    <row r="198" spans="2:8" s="2" customFormat="1" ht="15" x14ac:dyDescent="0.25">
      <c r="B198" s="21"/>
      <c r="C198" s="22"/>
      <c r="D198" s="29" t="str">
        <f t="shared" si="3"/>
        <v/>
      </c>
      <c r="E198" s="22"/>
      <c r="F198" s="22" t="str">
        <f ca="1">auto_pop!H198</f>
        <v/>
      </c>
      <c r="G198" s="33"/>
      <c r="H198" s="33"/>
    </row>
    <row r="199" spans="2:8" s="2" customFormat="1" ht="15" x14ac:dyDescent="0.25">
      <c r="B199" s="21"/>
      <c r="C199" s="22"/>
      <c r="D199" s="29" t="str">
        <f t="shared" si="3"/>
        <v/>
      </c>
      <c r="E199" s="22"/>
      <c r="F199" s="22" t="str">
        <f ca="1">auto_pop!H199</f>
        <v/>
      </c>
      <c r="G199" s="33"/>
      <c r="H199" s="33"/>
    </row>
    <row r="200" spans="2:8" s="2" customFormat="1" ht="15" x14ac:dyDescent="0.25">
      <c r="B200" s="21"/>
      <c r="C200" s="22"/>
      <c r="D200" s="29" t="str">
        <f t="shared" si="3"/>
        <v/>
      </c>
      <c r="E200" s="22"/>
      <c r="F200" s="22" t="str">
        <f ca="1">auto_pop!H200</f>
        <v/>
      </c>
      <c r="G200" s="33"/>
      <c r="H200" s="33"/>
    </row>
    <row r="201" spans="2:8" s="2" customFormat="1" ht="15" x14ac:dyDescent="0.25">
      <c r="B201" s="21"/>
      <c r="C201" s="22"/>
      <c r="D201" s="29" t="str">
        <f t="shared" si="3"/>
        <v/>
      </c>
      <c r="E201" s="22"/>
      <c r="F201" s="22" t="str">
        <f ca="1">auto_pop!H201</f>
        <v/>
      </c>
      <c r="G201" s="33"/>
      <c r="H201" s="33"/>
    </row>
    <row r="202" spans="2:8" s="2" customFormat="1" ht="15" x14ac:dyDescent="0.25">
      <c r="B202" s="21"/>
      <c r="C202" s="22"/>
      <c r="D202" s="29" t="str">
        <f t="shared" si="3"/>
        <v/>
      </c>
      <c r="E202" s="22"/>
      <c r="F202" s="22" t="str">
        <f ca="1">auto_pop!H202</f>
        <v/>
      </c>
      <c r="G202" s="33"/>
      <c r="H202" s="33"/>
    </row>
    <row r="203" spans="2:8" s="2" customFormat="1" ht="15" x14ac:dyDescent="0.25">
      <c r="B203" s="21"/>
      <c r="C203" s="22"/>
      <c r="D203" s="29" t="str">
        <f t="shared" si="3"/>
        <v/>
      </c>
      <c r="E203" s="22"/>
      <c r="F203" s="22" t="str">
        <f ca="1">auto_pop!H203</f>
        <v/>
      </c>
      <c r="G203" s="33"/>
      <c r="H203" s="33"/>
    </row>
    <row r="204" spans="2:8" s="2" customFormat="1" ht="15" x14ac:dyDescent="0.25">
      <c r="B204" s="21"/>
      <c r="C204" s="22"/>
      <c r="D204" s="29" t="str">
        <f t="shared" si="3"/>
        <v/>
      </c>
      <c r="E204" s="22"/>
      <c r="F204" s="22" t="str">
        <f ca="1">auto_pop!H204</f>
        <v/>
      </c>
      <c r="G204" s="33"/>
      <c r="H204" s="33"/>
    </row>
    <row r="205" spans="2:8" s="2" customFormat="1" ht="15" x14ac:dyDescent="0.25">
      <c r="B205" s="21"/>
      <c r="C205" s="22"/>
      <c r="D205" s="29" t="str">
        <f t="shared" si="3"/>
        <v/>
      </c>
      <c r="E205" s="22"/>
      <c r="F205" s="22" t="str">
        <f ca="1">auto_pop!H205</f>
        <v/>
      </c>
      <c r="G205" s="33"/>
      <c r="H205" s="33"/>
    </row>
    <row r="206" spans="2:8" s="2" customFormat="1" ht="15" x14ac:dyDescent="0.25">
      <c r="B206" s="21"/>
      <c r="C206" s="22"/>
      <c r="D206" s="29" t="str">
        <f t="shared" si="3"/>
        <v/>
      </c>
      <c r="E206" s="22"/>
      <c r="F206" s="22" t="str">
        <f ca="1">auto_pop!H206</f>
        <v/>
      </c>
      <c r="G206" s="33"/>
      <c r="H206" s="33"/>
    </row>
    <row r="207" spans="2:8" s="2" customFormat="1" ht="15" x14ac:dyDescent="0.25">
      <c r="B207" s="21"/>
      <c r="C207" s="22"/>
      <c r="D207" s="29" t="str">
        <f t="shared" si="3"/>
        <v/>
      </c>
      <c r="E207" s="22"/>
      <c r="F207" s="22" t="str">
        <f ca="1">auto_pop!H207</f>
        <v/>
      </c>
      <c r="G207" s="33"/>
      <c r="H207" s="33"/>
    </row>
    <row r="208" spans="2:8" s="2" customFormat="1" ht="15" x14ac:dyDescent="0.25">
      <c r="B208" s="21"/>
      <c r="C208" s="22"/>
      <c r="D208" s="29" t="str">
        <f t="shared" si="3"/>
        <v/>
      </c>
      <c r="E208" s="22"/>
      <c r="F208" s="22" t="str">
        <f ca="1">auto_pop!H208</f>
        <v/>
      </c>
      <c r="G208" s="33"/>
      <c r="H208" s="33"/>
    </row>
    <row r="209" spans="2:8" s="2" customFormat="1" ht="15" x14ac:dyDescent="0.25">
      <c r="B209" s="21"/>
      <c r="C209" s="22"/>
      <c r="D209" s="29" t="str">
        <f t="shared" si="3"/>
        <v/>
      </c>
      <c r="E209" s="22"/>
      <c r="F209" s="22" t="str">
        <f ca="1">auto_pop!H209</f>
        <v/>
      </c>
      <c r="G209" s="33"/>
      <c r="H209" s="33"/>
    </row>
    <row r="210" spans="2:8" s="2" customFormat="1" ht="15" x14ac:dyDescent="0.25">
      <c r="B210" s="21"/>
      <c r="C210" s="22"/>
      <c r="D210" s="29" t="str">
        <f t="shared" si="3"/>
        <v/>
      </c>
      <c r="E210" s="22"/>
      <c r="F210" s="22" t="str">
        <f ca="1">auto_pop!H210</f>
        <v/>
      </c>
      <c r="G210" s="33"/>
      <c r="H210" s="33"/>
    </row>
    <row r="211" spans="2:8" s="2" customFormat="1" ht="15" x14ac:dyDescent="0.25">
      <c r="B211" s="21"/>
      <c r="C211" s="22"/>
      <c r="D211" s="29" t="str">
        <f t="shared" si="3"/>
        <v/>
      </c>
      <c r="E211" s="22"/>
      <c r="F211" s="22" t="str">
        <f ca="1">auto_pop!H211</f>
        <v/>
      </c>
      <c r="G211" s="33"/>
      <c r="H211" s="33"/>
    </row>
    <row r="212" spans="2:8" s="2" customFormat="1" ht="15" x14ac:dyDescent="0.25">
      <c r="B212" s="21"/>
      <c r="C212" s="22"/>
      <c r="D212" s="29" t="str">
        <f t="shared" si="3"/>
        <v/>
      </c>
      <c r="E212" s="22"/>
      <c r="F212" s="22" t="str">
        <f ca="1">auto_pop!H212</f>
        <v/>
      </c>
      <c r="G212" s="33"/>
      <c r="H212" s="33"/>
    </row>
    <row r="213" spans="2:8" s="2" customFormat="1" ht="15" x14ac:dyDescent="0.25">
      <c r="B213" s="21"/>
      <c r="C213" s="22"/>
      <c r="D213" s="29" t="str">
        <f t="shared" si="3"/>
        <v/>
      </c>
      <c r="E213" s="22"/>
      <c r="F213" s="22" t="str">
        <f ca="1">auto_pop!H213</f>
        <v/>
      </c>
      <c r="G213" s="33"/>
      <c r="H213" s="33"/>
    </row>
    <row r="214" spans="2:8" s="2" customFormat="1" ht="15" x14ac:dyDescent="0.25">
      <c r="B214" s="21"/>
      <c r="C214" s="22"/>
      <c r="D214" s="29" t="str">
        <f t="shared" si="3"/>
        <v/>
      </c>
      <c r="E214" s="22"/>
      <c r="F214" s="22" t="str">
        <f ca="1">auto_pop!H214</f>
        <v/>
      </c>
      <c r="G214" s="33"/>
      <c r="H214" s="33"/>
    </row>
    <row r="215" spans="2:8" s="2" customFormat="1" ht="15" x14ac:dyDescent="0.25">
      <c r="B215" s="21"/>
      <c r="C215" s="22"/>
      <c r="D215" s="29" t="str">
        <f t="shared" si="3"/>
        <v/>
      </c>
      <c r="E215" s="22"/>
      <c r="F215" s="22" t="str">
        <f ca="1">auto_pop!H215</f>
        <v/>
      </c>
      <c r="G215" s="33"/>
      <c r="H215" s="33"/>
    </row>
    <row r="216" spans="2:8" s="2" customFormat="1" ht="15" x14ac:dyDescent="0.25">
      <c r="B216" s="21"/>
      <c r="C216" s="22"/>
      <c r="D216" s="29" t="str">
        <f t="shared" si="3"/>
        <v/>
      </c>
      <c r="E216" s="22"/>
      <c r="F216" s="22" t="str">
        <f ca="1">auto_pop!H216</f>
        <v/>
      </c>
      <c r="G216" s="33"/>
      <c r="H216" s="33"/>
    </row>
    <row r="217" spans="2:8" s="2" customFormat="1" ht="15" x14ac:dyDescent="0.25">
      <c r="B217" s="21"/>
      <c r="C217" s="22"/>
      <c r="D217" s="29" t="str">
        <f t="shared" si="3"/>
        <v/>
      </c>
      <c r="E217" s="22"/>
      <c r="F217" s="22" t="str">
        <f ca="1">auto_pop!H217</f>
        <v/>
      </c>
      <c r="G217" s="33"/>
      <c r="H217" s="33"/>
    </row>
    <row r="218" spans="2:8" s="2" customFormat="1" ht="15" x14ac:dyDescent="0.25">
      <c r="B218" s="21"/>
      <c r="C218" s="22"/>
      <c r="D218" s="29" t="str">
        <f t="shared" si="3"/>
        <v/>
      </c>
      <c r="E218" s="22"/>
      <c r="F218" s="22" t="str">
        <f ca="1">auto_pop!H218</f>
        <v/>
      </c>
      <c r="G218" s="33"/>
      <c r="H218" s="33"/>
    </row>
    <row r="219" spans="2:8" s="2" customFormat="1" ht="15" x14ac:dyDescent="0.25">
      <c r="B219" s="21"/>
      <c r="C219" s="22"/>
      <c r="D219" s="29" t="str">
        <f t="shared" si="3"/>
        <v/>
      </c>
      <c r="E219" s="22"/>
      <c r="F219" s="22" t="str">
        <f ca="1">auto_pop!H219</f>
        <v/>
      </c>
      <c r="G219" s="33"/>
      <c r="H219" s="33"/>
    </row>
    <row r="220" spans="2:8" s="2" customFormat="1" ht="15" x14ac:dyDescent="0.25">
      <c r="B220" s="21"/>
      <c r="C220" s="22"/>
      <c r="D220" s="29" t="str">
        <f t="shared" si="3"/>
        <v/>
      </c>
      <c r="E220" s="22"/>
      <c r="F220" s="22" t="str">
        <f ca="1">auto_pop!H220</f>
        <v/>
      </c>
      <c r="G220" s="33"/>
      <c r="H220" s="33"/>
    </row>
    <row r="221" spans="2:8" s="2" customFormat="1" ht="15" x14ac:dyDescent="0.25">
      <c r="B221" s="21"/>
      <c r="C221" s="22"/>
      <c r="D221" s="29" t="str">
        <f t="shared" si="3"/>
        <v/>
      </c>
      <c r="E221" s="22"/>
      <c r="F221" s="22" t="str">
        <f ca="1">auto_pop!H221</f>
        <v/>
      </c>
      <c r="G221" s="33"/>
      <c r="H221" s="33"/>
    </row>
    <row r="222" spans="2:8" s="2" customFormat="1" ht="15" x14ac:dyDescent="0.25">
      <c r="B222" s="21"/>
      <c r="C222" s="22"/>
      <c r="D222" s="29" t="str">
        <f t="shared" si="3"/>
        <v/>
      </c>
      <c r="E222" s="22"/>
      <c r="F222" s="22" t="str">
        <f ca="1">auto_pop!H222</f>
        <v/>
      </c>
      <c r="G222" s="33"/>
      <c r="H222" s="33"/>
    </row>
    <row r="223" spans="2:8" s="2" customFormat="1" ht="15" x14ac:dyDescent="0.25">
      <c r="B223" s="21"/>
      <c r="C223" s="22"/>
      <c r="D223" s="29" t="str">
        <f t="shared" si="3"/>
        <v/>
      </c>
      <c r="E223" s="22"/>
      <c r="F223" s="22" t="str">
        <f ca="1">auto_pop!H223</f>
        <v/>
      </c>
      <c r="G223" s="33"/>
      <c r="H223" s="33"/>
    </row>
    <row r="224" spans="2:8" s="2" customFormat="1" ht="15" x14ac:dyDescent="0.25">
      <c r="B224" s="21"/>
      <c r="C224" s="22"/>
      <c r="D224" s="29" t="str">
        <f t="shared" si="3"/>
        <v/>
      </c>
      <c r="E224" s="22"/>
      <c r="F224" s="22" t="str">
        <f ca="1">auto_pop!H224</f>
        <v/>
      </c>
      <c r="G224" s="33"/>
      <c r="H224" s="33"/>
    </row>
    <row r="225" spans="2:8" s="2" customFormat="1" ht="15" x14ac:dyDescent="0.25">
      <c r="B225" s="21"/>
      <c r="C225" s="22"/>
      <c r="D225" s="29" t="str">
        <f t="shared" si="3"/>
        <v/>
      </c>
      <c r="E225" s="22"/>
      <c r="F225" s="22" t="str">
        <f ca="1">auto_pop!H225</f>
        <v/>
      </c>
      <c r="G225" s="33"/>
      <c r="H225" s="33"/>
    </row>
    <row r="226" spans="2:8" s="2" customFormat="1" ht="15" x14ac:dyDescent="0.25">
      <c r="B226" s="21"/>
      <c r="C226" s="22"/>
      <c r="D226" s="29" t="str">
        <f t="shared" si="3"/>
        <v/>
      </c>
      <c r="E226" s="22"/>
      <c r="F226" s="22" t="str">
        <f ca="1">auto_pop!H226</f>
        <v/>
      </c>
      <c r="G226" s="33"/>
      <c r="H226" s="33"/>
    </row>
    <row r="227" spans="2:8" s="2" customFormat="1" ht="15" x14ac:dyDescent="0.25">
      <c r="B227" s="21"/>
      <c r="C227" s="22"/>
      <c r="D227" s="29" t="str">
        <f t="shared" si="3"/>
        <v/>
      </c>
      <c r="E227" s="22"/>
      <c r="F227" s="22" t="str">
        <f ca="1">auto_pop!H227</f>
        <v/>
      </c>
      <c r="G227" s="33"/>
      <c r="H227" s="33"/>
    </row>
    <row r="228" spans="2:8" s="2" customFormat="1" ht="15" x14ac:dyDescent="0.25">
      <c r="B228" s="21"/>
      <c r="C228" s="22"/>
      <c r="D228" s="29" t="str">
        <f t="shared" si="3"/>
        <v/>
      </c>
      <c r="E228" s="22"/>
      <c r="F228" s="22" t="str">
        <f ca="1">auto_pop!H228</f>
        <v/>
      </c>
      <c r="G228" s="33"/>
      <c r="H228" s="33"/>
    </row>
    <row r="229" spans="2:8" s="2" customFormat="1" ht="15" x14ac:dyDescent="0.25">
      <c r="B229" s="21"/>
      <c r="C229" s="22"/>
      <c r="D229" s="29" t="str">
        <f t="shared" si="3"/>
        <v/>
      </c>
      <c r="E229" s="22"/>
      <c r="F229" s="22" t="str">
        <f ca="1">auto_pop!H229</f>
        <v/>
      </c>
      <c r="G229" s="33"/>
      <c r="H229" s="33"/>
    </row>
    <row r="230" spans="2:8" s="2" customFormat="1" ht="15" x14ac:dyDescent="0.25">
      <c r="B230" s="21"/>
      <c r="C230" s="22"/>
      <c r="D230" s="29" t="str">
        <f t="shared" si="3"/>
        <v/>
      </c>
      <c r="E230" s="22"/>
      <c r="F230" s="22" t="str">
        <f ca="1">auto_pop!H230</f>
        <v/>
      </c>
      <c r="G230" s="33"/>
      <c r="H230" s="33"/>
    </row>
    <row r="231" spans="2:8" s="2" customFormat="1" ht="15" x14ac:dyDescent="0.25">
      <c r="B231" s="21"/>
      <c r="C231" s="22"/>
      <c r="D231" s="29" t="str">
        <f t="shared" si="3"/>
        <v/>
      </c>
      <c r="E231" s="22"/>
      <c r="F231" s="22" t="str">
        <f ca="1">auto_pop!H231</f>
        <v/>
      </c>
      <c r="G231" s="33"/>
      <c r="H231" s="33"/>
    </row>
    <row r="232" spans="2:8" s="2" customFormat="1" ht="15" x14ac:dyDescent="0.25">
      <c r="B232" s="21"/>
      <c r="C232" s="22"/>
      <c r="D232" s="29" t="str">
        <f t="shared" si="3"/>
        <v/>
      </c>
      <c r="E232" s="22"/>
      <c r="F232" s="22" t="str">
        <f ca="1">auto_pop!H232</f>
        <v/>
      </c>
      <c r="G232" s="33"/>
      <c r="H232" s="33"/>
    </row>
    <row r="233" spans="2:8" s="2" customFormat="1" ht="15" x14ac:dyDescent="0.25">
      <c r="B233" s="21"/>
      <c r="C233" s="22"/>
      <c r="D233" s="29" t="str">
        <f t="shared" si="3"/>
        <v/>
      </c>
      <c r="E233" s="22"/>
      <c r="F233" s="22" t="str">
        <f ca="1">auto_pop!H233</f>
        <v/>
      </c>
      <c r="G233" s="33"/>
      <c r="H233" s="33"/>
    </row>
    <row r="234" spans="2:8" s="2" customFormat="1" ht="15" x14ac:dyDescent="0.25">
      <c r="B234" s="21"/>
      <c r="C234" s="22"/>
      <c r="D234" s="29" t="str">
        <f t="shared" si="3"/>
        <v/>
      </c>
      <c r="E234" s="22"/>
      <c r="F234" s="22" t="str">
        <f ca="1">auto_pop!H234</f>
        <v/>
      </c>
      <c r="G234" s="33"/>
      <c r="H234" s="33"/>
    </row>
    <row r="235" spans="2:8" s="2" customFormat="1" ht="15" x14ac:dyDescent="0.25">
      <c r="B235" s="21"/>
      <c r="C235" s="22"/>
      <c r="D235" s="29" t="str">
        <f t="shared" si="3"/>
        <v/>
      </c>
      <c r="E235" s="22"/>
      <c r="F235" s="22" t="str">
        <f ca="1">auto_pop!H235</f>
        <v/>
      </c>
      <c r="G235" s="33"/>
      <c r="H235" s="33"/>
    </row>
    <row r="236" spans="2:8" s="2" customFormat="1" ht="15" x14ac:dyDescent="0.25">
      <c r="B236" s="21"/>
      <c r="C236" s="22"/>
      <c r="D236" s="29" t="str">
        <f t="shared" si="3"/>
        <v/>
      </c>
      <c r="E236" s="22"/>
      <c r="F236" s="22" t="str">
        <f ca="1">auto_pop!H236</f>
        <v/>
      </c>
      <c r="G236" s="33"/>
      <c r="H236" s="33"/>
    </row>
    <row r="237" spans="2:8" s="2" customFormat="1" ht="15" x14ac:dyDescent="0.25">
      <c r="B237" s="21"/>
      <c r="C237" s="22"/>
      <c r="D237" s="29" t="str">
        <f t="shared" si="3"/>
        <v/>
      </c>
      <c r="E237" s="22"/>
      <c r="F237" s="22" t="str">
        <f ca="1">auto_pop!H237</f>
        <v/>
      </c>
      <c r="G237" s="33"/>
      <c r="H237" s="33"/>
    </row>
    <row r="238" spans="2:8" s="2" customFormat="1" ht="15" x14ac:dyDescent="0.25">
      <c r="B238" s="21"/>
      <c r="C238" s="22"/>
      <c r="D238" s="29" t="str">
        <f t="shared" si="3"/>
        <v/>
      </c>
      <c r="E238" s="22"/>
      <c r="F238" s="22" t="str">
        <f ca="1">auto_pop!H238</f>
        <v/>
      </c>
      <c r="G238" s="33"/>
      <c r="H238" s="33"/>
    </row>
    <row r="239" spans="2:8" s="2" customFormat="1" ht="15" x14ac:dyDescent="0.25">
      <c r="B239" s="21"/>
      <c r="C239" s="22"/>
      <c r="D239" s="29" t="str">
        <f t="shared" si="3"/>
        <v/>
      </c>
      <c r="E239" s="22"/>
      <c r="F239" s="22" t="str">
        <f ca="1">auto_pop!H239</f>
        <v/>
      </c>
      <c r="G239" s="33"/>
      <c r="H239" s="33"/>
    </row>
    <row r="240" spans="2:8" s="2" customFormat="1" ht="15" x14ac:dyDescent="0.25">
      <c r="B240" s="21"/>
      <c r="C240" s="22"/>
      <c r="D240" s="29" t="str">
        <f t="shared" si="3"/>
        <v/>
      </c>
      <c r="E240" s="22"/>
      <c r="F240" s="22" t="str">
        <f ca="1">auto_pop!H240</f>
        <v/>
      </c>
      <c r="G240" s="33"/>
      <c r="H240" s="33"/>
    </row>
    <row r="241" spans="2:8" s="2" customFormat="1" ht="15" x14ac:dyDescent="0.25">
      <c r="B241" s="21"/>
      <c r="C241" s="22"/>
      <c r="D241" s="29" t="str">
        <f t="shared" si="3"/>
        <v/>
      </c>
      <c r="E241" s="22"/>
      <c r="F241" s="22" t="str">
        <f ca="1">auto_pop!H241</f>
        <v/>
      </c>
      <c r="G241" s="33"/>
      <c r="H241" s="33"/>
    </row>
    <row r="242" spans="2:8" s="2" customFormat="1" ht="15" x14ac:dyDescent="0.25">
      <c r="B242" s="21"/>
      <c r="C242" s="22"/>
      <c r="D242" s="29" t="str">
        <f t="shared" si="3"/>
        <v/>
      </c>
      <c r="E242" s="22"/>
      <c r="F242" s="22" t="str">
        <f ca="1">auto_pop!H242</f>
        <v/>
      </c>
      <c r="G242" s="33"/>
      <c r="H242" s="33"/>
    </row>
    <row r="243" spans="2:8" s="2" customFormat="1" ht="15" x14ac:dyDescent="0.25">
      <c r="B243" s="21"/>
      <c r="C243" s="22"/>
      <c r="D243" s="29" t="str">
        <f t="shared" si="3"/>
        <v/>
      </c>
      <c r="E243" s="22"/>
      <c r="F243" s="22" t="str">
        <f ca="1">auto_pop!H243</f>
        <v/>
      </c>
      <c r="G243" s="33"/>
      <c r="H243" s="33"/>
    </row>
    <row r="244" spans="2:8" s="2" customFormat="1" ht="15" x14ac:dyDescent="0.25">
      <c r="B244" s="21"/>
      <c r="C244" s="22"/>
      <c r="D244" s="29" t="str">
        <f t="shared" si="3"/>
        <v/>
      </c>
      <c r="E244" s="22"/>
      <c r="F244" s="22" t="str">
        <f ca="1">auto_pop!H244</f>
        <v/>
      </c>
      <c r="G244" s="33"/>
      <c r="H244" s="33"/>
    </row>
    <row r="245" spans="2:8" s="2" customFormat="1" ht="15" x14ac:dyDescent="0.25">
      <c r="B245" s="21"/>
      <c r="C245" s="22"/>
      <c r="D245" s="29" t="str">
        <f t="shared" si="3"/>
        <v/>
      </c>
      <c r="E245" s="22"/>
      <c r="F245" s="22" t="str">
        <f ca="1">auto_pop!H245</f>
        <v/>
      </c>
      <c r="G245" s="33"/>
      <c r="H245" s="33"/>
    </row>
    <row r="246" spans="2:8" s="2" customFormat="1" ht="15" x14ac:dyDescent="0.25">
      <c r="B246" s="21"/>
      <c r="C246" s="22"/>
      <c r="D246" s="29" t="str">
        <f t="shared" si="3"/>
        <v/>
      </c>
      <c r="E246" s="22"/>
      <c r="F246" s="22" t="str">
        <f ca="1">auto_pop!H246</f>
        <v/>
      </c>
      <c r="G246" s="33"/>
      <c r="H246" s="33"/>
    </row>
    <row r="247" spans="2:8" s="2" customFormat="1" ht="15" x14ac:dyDescent="0.25">
      <c r="B247" s="21"/>
      <c r="C247" s="22"/>
      <c r="D247" s="29" t="str">
        <f t="shared" si="3"/>
        <v/>
      </c>
      <c r="E247" s="22"/>
      <c r="F247" s="22" t="str">
        <f ca="1">auto_pop!H247</f>
        <v/>
      </c>
      <c r="G247" s="33"/>
      <c r="H247" s="33"/>
    </row>
    <row r="248" spans="2:8" s="2" customFormat="1" ht="15" x14ac:dyDescent="0.25">
      <c r="B248" s="21"/>
      <c r="C248" s="22"/>
      <c r="D248" s="29" t="str">
        <f t="shared" si="3"/>
        <v/>
      </c>
      <c r="E248" s="22"/>
      <c r="F248" s="22" t="str">
        <f ca="1">auto_pop!H248</f>
        <v/>
      </c>
      <c r="G248" s="33"/>
      <c r="H248" s="33"/>
    </row>
    <row r="249" spans="2:8" s="2" customFormat="1" ht="15" x14ac:dyDescent="0.25">
      <c r="B249" s="21"/>
      <c r="C249" s="22"/>
      <c r="D249" s="29" t="str">
        <f t="shared" si="3"/>
        <v/>
      </c>
      <c r="E249" s="22"/>
      <c r="F249" s="22" t="str">
        <f ca="1">auto_pop!H249</f>
        <v/>
      </c>
      <c r="G249" s="33"/>
      <c r="H249" s="33"/>
    </row>
    <row r="250" spans="2:8" s="2" customFormat="1" ht="15" x14ac:dyDescent="0.25">
      <c r="B250" s="21"/>
      <c r="C250" s="22"/>
      <c r="D250" s="29" t="str">
        <f t="shared" si="3"/>
        <v/>
      </c>
      <c r="E250" s="22"/>
      <c r="F250" s="22" t="str">
        <f ca="1">auto_pop!H250</f>
        <v/>
      </c>
      <c r="G250" s="33"/>
      <c r="H250" s="33"/>
    </row>
    <row r="251" spans="2:8" s="2" customFormat="1" ht="15" x14ac:dyDescent="0.25">
      <c r="B251" s="21"/>
      <c r="C251" s="22"/>
      <c r="D251" s="29" t="str">
        <f t="shared" si="3"/>
        <v/>
      </c>
      <c r="E251" s="22"/>
      <c r="F251" s="22" t="str">
        <f ca="1">auto_pop!H251</f>
        <v/>
      </c>
      <c r="G251" s="33"/>
      <c r="H251" s="33"/>
    </row>
    <row r="252" spans="2:8" s="2" customFormat="1" ht="15" x14ac:dyDescent="0.25">
      <c r="B252" s="21"/>
      <c r="C252" s="22"/>
      <c r="D252" s="29" t="str">
        <f t="shared" si="3"/>
        <v/>
      </c>
      <c r="E252" s="22"/>
      <c r="F252" s="22" t="str">
        <f ca="1">auto_pop!H252</f>
        <v/>
      </c>
      <c r="G252" s="33"/>
      <c r="H252" s="33"/>
    </row>
    <row r="253" spans="2:8" s="2" customFormat="1" ht="15" x14ac:dyDescent="0.25">
      <c r="B253" s="21"/>
      <c r="C253" s="22"/>
      <c r="D253" s="29" t="str">
        <f t="shared" si="3"/>
        <v/>
      </c>
      <c r="E253" s="22"/>
      <c r="F253" s="22" t="str">
        <f ca="1">auto_pop!H253</f>
        <v/>
      </c>
      <c r="G253" s="33"/>
      <c r="H253" s="33"/>
    </row>
    <row r="254" spans="2:8" s="2" customFormat="1" ht="15" x14ac:dyDescent="0.25">
      <c r="B254" s="21"/>
      <c r="C254" s="22"/>
      <c r="D254" s="29" t="str">
        <f t="shared" si="3"/>
        <v/>
      </c>
      <c r="E254" s="22"/>
      <c r="F254" s="22" t="str">
        <f ca="1">auto_pop!H254</f>
        <v/>
      </c>
      <c r="G254" s="33"/>
      <c r="H254" s="33"/>
    </row>
    <row r="255" spans="2:8" s="2" customFormat="1" ht="15" x14ac:dyDescent="0.25">
      <c r="B255" s="21"/>
      <c r="C255" s="22"/>
      <c r="D255" s="29" t="str">
        <f t="shared" si="3"/>
        <v/>
      </c>
      <c r="E255" s="22"/>
      <c r="F255" s="22" t="str">
        <f ca="1">auto_pop!H255</f>
        <v/>
      </c>
      <c r="G255" s="33"/>
      <c r="H255" s="33"/>
    </row>
    <row r="256" spans="2:8" s="2" customFormat="1" ht="15" x14ac:dyDescent="0.25">
      <c r="B256" s="21"/>
      <c r="C256" s="22"/>
      <c r="D256" s="29" t="str">
        <f t="shared" si="3"/>
        <v/>
      </c>
      <c r="E256" s="22"/>
      <c r="F256" s="22" t="str">
        <f ca="1">auto_pop!H256</f>
        <v/>
      </c>
      <c r="G256" s="33"/>
      <c r="H256" s="33"/>
    </row>
    <row r="257" spans="2:8" s="2" customFormat="1" ht="15" x14ac:dyDescent="0.25">
      <c r="B257" s="21"/>
      <c r="C257" s="22"/>
      <c r="D257" s="29" t="str">
        <f t="shared" si="3"/>
        <v/>
      </c>
      <c r="E257" s="22"/>
      <c r="F257" s="22" t="str">
        <f ca="1">auto_pop!H257</f>
        <v/>
      </c>
      <c r="G257" s="33"/>
      <c r="H257" s="33"/>
    </row>
    <row r="258" spans="2:8" s="2" customFormat="1" ht="15" x14ac:dyDescent="0.25">
      <c r="B258" s="21"/>
      <c r="C258" s="22"/>
      <c r="D258" s="29" t="str">
        <f t="shared" si="3"/>
        <v/>
      </c>
      <c r="E258" s="22"/>
      <c r="F258" s="22" t="str">
        <f ca="1">auto_pop!H258</f>
        <v/>
      </c>
      <c r="G258" s="33"/>
      <c r="H258" s="33"/>
    </row>
    <row r="259" spans="2:8" s="2" customFormat="1" ht="15" x14ac:dyDescent="0.25">
      <c r="B259" s="21"/>
      <c r="C259" s="22"/>
      <c r="D259" s="29" t="str">
        <f t="shared" si="3"/>
        <v/>
      </c>
      <c r="E259" s="22"/>
      <c r="F259" s="22" t="str">
        <f ca="1">auto_pop!H259</f>
        <v/>
      </c>
      <c r="G259" s="33"/>
      <c r="H259" s="33"/>
    </row>
    <row r="260" spans="2:8" s="2" customFormat="1" ht="15" x14ac:dyDescent="0.25">
      <c r="B260" s="21"/>
      <c r="C260" s="22"/>
      <c r="D260" s="29" t="str">
        <f t="shared" ref="D260:D323" si="4">IF(C260&lt;&gt;"", IF(OR(C260="Chapin", C260="Oatka", C260="Seneca"), "", 1), "")</f>
        <v/>
      </c>
      <c r="E260" s="22"/>
      <c r="F260" s="22" t="str">
        <f ca="1">auto_pop!H260</f>
        <v/>
      </c>
      <c r="G260" s="33"/>
      <c r="H260" s="33"/>
    </row>
    <row r="261" spans="2:8" s="2" customFormat="1" ht="15" x14ac:dyDescent="0.25">
      <c r="B261" s="21"/>
      <c r="C261" s="22"/>
      <c r="D261" s="29" t="str">
        <f t="shared" si="4"/>
        <v/>
      </c>
      <c r="E261" s="22"/>
      <c r="F261" s="22" t="str">
        <f ca="1">auto_pop!H261</f>
        <v/>
      </c>
      <c r="G261" s="33"/>
      <c r="H261" s="33"/>
    </row>
    <row r="262" spans="2:8" s="2" customFormat="1" ht="15" x14ac:dyDescent="0.25">
      <c r="B262" s="21"/>
      <c r="C262" s="22"/>
      <c r="D262" s="29" t="str">
        <f t="shared" si="4"/>
        <v/>
      </c>
      <c r="E262" s="22"/>
      <c r="F262" s="22" t="str">
        <f ca="1">auto_pop!H262</f>
        <v/>
      </c>
      <c r="G262" s="33"/>
      <c r="H262" s="33"/>
    </row>
    <row r="263" spans="2:8" s="2" customFormat="1" ht="15" x14ac:dyDescent="0.25">
      <c r="B263" s="21"/>
      <c r="C263" s="22"/>
      <c r="D263" s="29" t="str">
        <f t="shared" si="4"/>
        <v/>
      </c>
      <c r="E263" s="22"/>
      <c r="F263" s="22" t="str">
        <f ca="1">auto_pop!H263</f>
        <v/>
      </c>
      <c r="G263" s="33"/>
      <c r="H263" s="33"/>
    </row>
    <row r="264" spans="2:8" s="2" customFormat="1" ht="15" x14ac:dyDescent="0.25">
      <c r="B264" s="21"/>
      <c r="C264" s="22"/>
      <c r="D264" s="29" t="str">
        <f t="shared" si="4"/>
        <v/>
      </c>
      <c r="E264" s="22"/>
      <c r="F264" s="22" t="str">
        <f ca="1">auto_pop!H264</f>
        <v/>
      </c>
      <c r="G264" s="33"/>
      <c r="H264" s="33"/>
    </row>
    <row r="265" spans="2:8" s="2" customFormat="1" ht="15" x14ac:dyDescent="0.25">
      <c r="B265" s="21"/>
      <c r="C265" s="22"/>
      <c r="D265" s="29" t="str">
        <f t="shared" si="4"/>
        <v/>
      </c>
      <c r="E265" s="22"/>
      <c r="F265" s="22" t="str">
        <f ca="1">auto_pop!H265</f>
        <v/>
      </c>
      <c r="G265" s="33"/>
      <c r="H265" s="33"/>
    </row>
    <row r="266" spans="2:8" s="2" customFormat="1" ht="15" x14ac:dyDescent="0.25">
      <c r="B266" s="21"/>
      <c r="C266" s="22"/>
      <c r="D266" s="29" t="str">
        <f t="shared" si="4"/>
        <v/>
      </c>
      <c r="E266" s="22"/>
      <c r="F266" s="22" t="str">
        <f ca="1">auto_pop!H266</f>
        <v/>
      </c>
      <c r="G266" s="33"/>
      <c r="H266" s="33"/>
    </row>
    <row r="267" spans="2:8" s="2" customFormat="1" ht="15" x14ac:dyDescent="0.25">
      <c r="B267" s="21"/>
      <c r="C267" s="22"/>
      <c r="D267" s="29" t="str">
        <f t="shared" si="4"/>
        <v/>
      </c>
      <c r="E267" s="22"/>
      <c r="F267" s="22" t="str">
        <f ca="1">auto_pop!H267</f>
        <v/>
      </c>
      <c r="G267" s="33"/>
      <c r="H267" s="33"/>
    </row>
    <row r="268" spans="2:8" s="2" customFormat="1" ht="15" x14ac:dyDescent="0.25">
      <c r="B268" s="21"/>
      <c r="C268" s="22"/>
      <c r="D268" s="29" t="str">
        <f t="shared" si="4"/>
        <v/>
      </c>
      <c r="E268" s="22"/>
      <c r="F268" s="22" t="str">
        <f ca="1">auto_pop!H268</f>
        <v/>
      </c>
      <c r="G268" s="33"/>
      <c r="H268" s="33"/>
    </row>
    <row r="269" spans="2:8" s="2" customFormat="1" ht="15" x14ac:dyDescent="0.25">
      <c r="B269" s="21"/>
      <c r="C269" s="22"/>
      <c r="D269" s="29" t="str">
        <f t="shared" si="4"/>
        <v/>
      </c>
      <c r="E269" s="22"/>
      <c r="F269" s="22" t="str">
        <f ca="1">auto_pop!H269</f>
        <v/>
      </c>
      <c r="G269" s="33"/>
      <c r="H269" s="33"/>
    </row>
    <row r="270" spans="2:8" s="2" customFormat="1" ht="15" x14ac:dyDescent="0.25">
      <c r="B270" s="21"/>
      <c r="C270" s="22"/>
      <c r="D270" s="29" t="str">
        <f t="shared" si="4"/>
        <v/>
      </c>
      <c r="E270" s="22"/>
      <c r="F270" s="22" t="str">
        <f ca="1">auto_pop!H270</f>
        <v/>
      </c>
      <c r="G270" s="33"/>
      <c r="H270" s="33"/>
    </row>
    <row r="271" spans="2:8" s="2" customFormat="1" ht="15" x14ac:dyDescent="0.25">
      <c r="B271" s="21"/>
      <c r="C271" s="22"/>
      <c r="D271" s="29" t="str">
        <f t="shared" si="4"/>
        <v/>
      </c>
      <c r="E271" s="22"/>
      <c r="F271" s="22" t="str">
        <f ca="1">auto_pop!H271</f>
        <v/>
      </c>
      <c r="G271" s="33"/>
      <c r="H271" s="33"/>
    </row>
    <row r="272" spans="2:8" s="2" customFormat="1" ht="15" x14ac:dyDescent="0.25">
      <c r="B272" s="21"/>
      <c r="C272" s="22"/>
      <c r="D272" s="29" t="str">
        <f t="shared" si="4"/>
        <v/>
      </c>
      <c r="E272" s="22"/>
      <c r="F272" s="22" t="str">
        <f ca="1">auto_pop!H272</f>
        <v/>
      </c>
      <c r="G272" s="33"/>
      <c r="H272" s="33"/>
    </row>
    <row r="273" spans="2:8" s="2" customFormat="1" ht="15" x14ac:dyDescent="0.25">
      <c r="B273" s="21"/>
      <c r="C273" s="22"/>
      <c r="D273" s="29" t="str">
        <f t="shared" si="4"/>
        <v/>
      </c>
      <c r="E273" s="22"/>
      <c r="F273" s="22" t="str">
        <f ca="1">auto_pop!H273</f>
        <v/>
      </c>
      <c r="G273" s="33"/>
      <c r="H273" s="33"/>
    </row>
    <row r="274" spans="2:8" s="2" customFormat="1" ht="15" x14ac:dyDescent="0.25">
      <c r="B274" s="21"/>
      <c r="C274" s="22"/>
      <c r="D274" s="29" t="str">
        <f t="shared" si="4"/>
        <v/>
      </c>
      <c r="E274" s="22"/>
      <c r="F274" s="22" t="str">
        <f ca="1">auto_pop!H274</f>
        <v/>
      </c>
      <c r="G274" s="33"/>
      <c r="H274" s="33"/>
    </row>
    <row r="275" spans="2:8" s="2" customFormat="1" ht="15" x14ac:dyDescent="0.25">
      <c r="B275" s="21"/>
      <c r="C275" s="22"/>
      <c r="D275" s="29" t="str">
        <f t="shared" si="4"/>
        <v/>
      </c>
      <c r="E275" s="22"/>
      <c r="F275" s="22" t="str">
        <f ca="1">auto_pop!H275</f>
        <v/>
      </c>
      <c r="G275" s="33"/>
      <c r="H275" s="33"/>
    </row>
    <row r="276" spans="2:8" s="2" customFormat="1" ht="15" x14ac:dyDescent="0.25">
      <c r="B276" s="21"/>
      <c r="C276" s="22"/>
      <c r="D276" s="29" t="str">
        <f t="shared" si="4"/>
        <v/>
      </c>
      <c r="E276" s="22"/>
      <c r="F276" s="22" t="str">
        <f ca="1">auto_pop!H276</f>
        <v/>
      </c>
      <c r="G276" s="33"/>
      <c r="H276" s="33"/>
    </row>
    <row r="277" spans="2:8" s="2" customFormat="1" ht="15" x14ac:dyDescent="0.25">
      <c r="B277" s="21"/>
      <c r="C277" s="22"/>
      <c r="D277" s="29" t="str">
        <f t="shared" si="4"/>
        <v/>
      </c>
      <c r="E277" s="22"/>
      <c r="F277" s="22" t="str">
        <f ca="1">auto_pop!H277</f>
        <v/>
      </c>
      <c r="G277" s="33"/>
      <c r="H277" s="33"/>
    </row>
    <row r="278" spans="2:8" s="2" customFormat="1" ht="15" x14ac:dyDescent="0.25">
      <c r="B278" s="21"/>
      <c r="C278" s="22"/>
      <c r="D278" s="29" t="str">
        <f t="shared" si="4"/>
        <v/>
      </c>
      <c r="E278" s="22"/>
      <c r="F278" s="22" t="str">
        <f ca="1">auto_pop!H278</f>
        <v/>
      </c>
      <c r="G278" s="33"/>
      <c r="H278" s="33"/>
    </row>
    <row r="279" spans="2:8" s="2" customFormat="1" ht="15" x14ac:dyDescent="0.25">
      <c r="B279" s="21"/>
      <c r="C279" s="22"/>
      <c r="D279" s="29" t="str">
        <f t="shared" si="4"/>
        <v/>
      </c>
      <c r="E279" s="22"/>
      <c r="F279" s="22" t="str">
        <f ca="1">auto_pop!H279</f>
        <v/>
      </c>
      <c r="G279" s="33"/>
      <c r="H279" s="33"/>
    </row>
    <row r="280" spans="2:8" s="2" customFormat="1" ht="15" x14ac:dyDescent="0.25">
      <c r="B280" s="21"/>
      <c r="C280" s="22"/>
      <c r="D280" s="29" t="str">
        <f t="shared" si="4"/>
        <v/>
      </c>
      <c r="E280" s="22"/>
      <c r="F280" s="22" t="str">
        <f ca="1">auto_pop!H280</f>
        <v/>
      </c>
      <c r="G280" s="33"/>
      <c r="H280" s="33"/>
    </row>
    <row r="281" spans="2:8" s="2" customFormat="1" ht="15" x14ac:dyDescent="0.25">
      <c r="B281" s="21"/>
      <c r="C281" s="22"/>
      <c r="D281" s="29" t="str">
        <f t="shared" si="4"/>
        <v/>
      </c>
      <c r="E281" s="22"/>
      <c r="F281" s="22" t="str">
        <f ca="1">auto_pop!H281</f>
        <v/>
      </c>
      <c r="G281" s="33"/>
      <c r="H281" s="33"/>
    </row>
    <row r="282" spans="2:8" s="2" customFormat="1" ht="15" x14ac:dyDescent="0.25">
      <c r="B282" s="21"/>
      <c r="C282" s="22"/>
      <c r="D282" s="29" t="str">
        <f t="shared" si="4"/>
        <v/>
      </c>
      <c r="E282" s="22"/>
      <c r="F282" s="22" t="str">
        <f ca="1">auto_pop!H282</f>
        <v/>
      </c>
      <c r="G282" s="33"/>
      <c r="H282" s="33"/>
    </row>
    <row r="283" spans="2:8" s="2" customFormat="1" ht="15" x14ac:dyDescent="0.25">
      <c r="B283" s="21"/>
      <c r="C283" s="22"/>
      <c r="D283" s="29" t="str">
        <f t="shared" si="4"/>
        <v/>
      </c>
      <c r="E283" s="22"/>
      <c r="F283" s="22" t="str">
        <f ca="1">auto_pop!H283</f>
        <v/>
      </c>
      <c r="G283" s="33"/>
      <c r="H283" s="33"/>
    </row>
    <row r="284" spans="2:8" s="2" customFormat="1" ht="15" x14ac:dyDescent="0.25">
      <c r="B284" s="21"/>
      <c r="C284" s="22"/>
      <c r="D284" s="29" t="str">
        <f t="shared" si="4"/>
        <v/>
      </c>
      <c r="E284" s="22"/>
      <c r="F284" s="22" t="str">
        <f ca="1">auto_pop!H284</f>
        <v/>
      </c>
      <c r="G284" s="33"/>
      <c r="H284" s="33"/>
    </row>
    <row r="285" spans="2:8" s="2" customFormat="1" ht="15" x14ac:dyDescent="0.25">
      <c r="B285" s="21"/>
      <c r="C285" s="22"/>
      <c r="D285" s="29" t="str">
        <f t="shared" si="4"/>
        <v/>
      </c>
      <c r="E285" s="22"/>
      <c r="F285" s="22" t="str">
        <f ca="1">auto_pop!H285</f>
        <v/>
      </c>
      <c r="G285" s="33"/>
      <c r="H285" s="33"/>
    </row>
    <row r="286" spans="2:8" s="2" customFormat="1" ht="15" x14ac:dyDescent="0.25">
      <c r="B286" s="21"/>
      <c r="C286" s="22"/>
      <c r="D286" s="29" t="str">
        <f t="shared" si="4"/>
        <v/>
      </c>
      <c r="E286" s="22"/>
      <c r="F286" s="22" t="str">
        <f ca="1">auto_pop!H286</f>
        <v/>
      </c>
      <c r="G286" s="33"/>
      <c r="H286" s="33"/>
    </row>
    <row r="287" spans="2:8" s="2" customFormat="1" ht="15" x14ac:dyDescent="0.25">
      <c r="B287" s="21"/>
      <c r="C287" s="22"/>
      <c r="D287" s="29" t="str">
        <f t="shared" si="4"/>
        <v/>
      </c>
      <c r="E287" s="22"/>
      <c r="F287" s="22" t="str">
        <f ca="1">auto_pop!H287</f>
        <v/>
      </c>
      <c r="G287" s="33"/>
      <c r="H287" s="33"/>
    </row>
    <row r="288" spans="2:8" s="2" customFormat="1" ht="15" x14ac:dyDescent="0.25">
      <c r="B288" s="21"/>
      <c r="C288" s="22"/>
      <c r="D288" s="29" t="str">
        <f t="shared" si="4"/>
        <v/>
      </c>
      <c r="E288" s="22"/>
      <c r="F288" s="22" t="str">
        <f ca="1">auto_pop!H288</f>
        <v/>
      </c>
      <c r="G288" s="33"/>
      <c r="H288" s="33"/>
    </row>
    <row r="289" spans="2:8" s="2" customFormat="1" ht="15" x14ac:dyDescent="0.25">
      <c r="B289" s="21"/>
      <c r="C289" s="22"/>
      <c r="D289" s="29" t="str">
        <f t="shared" si="4"/>
        <v/>
      </c>
      <c r="E289" s="22"/>
      <c r="F289" s="22" t="str">
        <f ca="1">auto_pop!H289</f>
        <v/>
      </c>
      <c r="G289" s="33"/>
      <c r="H289" s="33"/>
    </row>
    <row r="290" spans="2:8" s="2" customFormat="1" ht="15" x14ac:dyDescent="0.25">
      <c r="B290" s="21"/>
      <c r="C290" s="22"/>
      <c r="D290" s="29" t="str">
        <f t="shared" si="4"/>
        <v/>
      </c>
      <c r="E290" s="22"/>
      <c r="F290" s="22" t="str">
        <f ca="1">auto_pop!H290</f>
        <v/>
      </c>
      <c r="G290" s="33"/>
      <c r="H290" s="33"/>
    </row>
    <row r="291" spans="2:8" s="2" customFormat="1" ht="15" x14ac:dyDescent="0.25">
      <c r="B291" s="21"/>
      <c r="C291" s="22"/>
      <c r="D291" s="29" t="str">
        <f t="shared" si="4"/>
        <v/>
      </c>
      <c r="E291" s="22"/>
      <c r="F291" s="22" t="str">
        <f ca="1">auto_pop!H291</f>
        <v/>
      </c>
      <c r="G291" s="33"/>
      <c r="H291" s="33"/>
    </row>
    <row r="292" spans="2:8" s="2" customFormat="1" ht="15" x14ac:dyDescent="0.25">
      <c r="B292" s="21"/>
      <c r="C292" s="22"/>
      <c r="D292" s="29" t="str">
        <f t="shared" si="4"/>
        <v/>
      </c>
      <c r="E292" s="22"/>
      <c r="F292" s="22" t="str">
        <f ca="1">auto_pop!H292</f>
        <v/>
      </c>
      <c r="G292" s="33"/>
      <c r="H292" s="33"/>
    </row>
    <row r="293" spans="2:8" s="2" customFormat="1" ht="15" x14ac:dyDescent="0.25">
      <c r="B293" s="21"/>
      <c r="C293" s="22"/>
      <c r="D293" s="29" t="str">
        <f t="shared" si="4"/>
        <v/>
      </c>
      <c r="E293" s="22"/>
      <c r="F293" s="22" t="str">
        <f ca="1">auto_pop!H293</f>
        <v/>
      </c>
      <c r="G293" s="33"/>
      <c r="H293" s="33"/>
    </row>
    <row r="294" spans="2:8" s="2" customFormat="1" ht="15" x14ac:dyDescent="0.25">
      <c r="B294" s="21"/>
      <c r="C294" s="22"/>
      <c r="D294" s="29" t="str">
        <f t="shared" si="4"/>
        <v/>
      </c>
      <c r="E294" s="22"/>
      <c r="F294" s="22" t="str">
        <f ca="1">auto_pop!H294</f>
        <v/>
      </c>
      <c r="G294" s="33"/>
      <c r="H294" s="33"/>
    </row>
    <row r="295" spans="2:8" s="2" customFormat="1" ht="15" x14ac:dyDescent="0.25">
      <c r="B295" s="21"/>
      <c r="C295" s="22"/>
      <c r="D295" s="29" t="str">
        <f t="shared" si="4"/>
        <v/>
      </c>
      <c r="E295" s="22"/>
      <c r="F295" s="22" t="str">
        <f ca="1">auto_pop!H295</f>
        <v/>
      </c>
      <c r="G295" s="33"/>
      <c r="H295" s="33"/>
    </row>
    <row r="296" spans="2:8" s="2" customFormat="1" ht="15" x14ac:dyDescent="0.25">
      <c r="B296" s="21"/>
      <c r="C296" s="22"/>
      <c r="D296" s="29" t="str">
        <f t="shared" si="4"/>
        <v/>
      </c>
      <c r="E296" s="22"/>
      <c r="F296" s="22" t="str">
        <f ca="1">auto_pop!H296</f>
        <v/>
      </c>
      <c r="G296" s="33"/>
      <c r="H296" s="33"/>
    </row>
    <row r="297" spans="2:8" s="2" customFormat="1" ht="15" x14ac:dyDescent="0.25">
      <c r="B297" s="21"/>
      <c r="C297" s="22"/>
      <c r="D297" s="29" t="str">
        <f t="shared" si="4"/>
        <v/>
      </c>
      <c r="E297" s="22"/>
      <c r="F297" s="22" t="str">
        <f ca="1">auto_pop!H297</f>
        <v/>
      </c>
      <c r="G297" s="33"/>
      <c r="H297" s="33"/>
    </row>
    <row r="298" spans="2:8" s="2" customFormat="1" ht="15" x14ac:dyDescent="0.25">
      <c r="B298" s="21"/>
      <c r="C298" s="22"/>
      <c r="D298" s="29" t="str">
        <f t="shared" si="4"/>
        <v/>
      </c>
      <c r="E298" s="22"/>
      <c r="F298" s="22" t="str">
        <f ca="1">auto_pop!H298</f>
        <v/>
      </c>
      <c r="G298" s="33"/>
      <c r="H298" s="33"/>
    </row>
    <row r="299" spans="2:8" s="2" customFormat="1" ht="15" x14ac:dyDescent="0.25">
      <c r="B299" s="21"/>
      <c r="C299" s="22"/>
      <c r="D299" s="29" t="str">
        <f t="shared" si="4"/>
        <v/>
      </c>
      <c r="E299" s="22"/>
      <c r="F299" s="22" t="str">
        <f ca="1">auto_pop!H299</f>
        <v/>
      </c>
      <c r="G299" s="33"/>
      <c r="H299" s="33"/>
    </row>
    <row r="300" spans="2:8" s="2" customFormat="1" ht="15" x14ac:dyDescent="0.25">
      <c r="B300" s="21"/>
      <c r="C300" s="22"/>
      <c r="D300" s="29" t="str">
        <f t="shared" si="4"/>
        <v/>
      </c>
      <c r="E300" s="22"/>
      <c r="F300" s="22" t="str">
        <f ca="1">auto_pop!H300</f>
        <v/>
      </c>
      <c r="G300" s="33"/>
      <c r="H300" s="33"/>
    </row>
    <row r="301" spans="2:8" s="2" customFormat="1" ht="15" x14ac:dyDescent="0.25">
      <c r="B301" s="21"/>
      <c r="C301" s="22"/>
      <c r="D301" s="29" t="str">
        <f t="shared" si="4"/>
        <v/>
      </c>
      <c r="E301" s="22"/>
      <c r="F301" s="22" t="str">
        <f ca="1">auto_pop!H301</f>
        <v/>
      </c>
      <c r="G301" s="33"/>
      <c r="H301" s="33"/>
    </row>
    <row r="302" spans="2:8" s="2" customFormat="1" ht="15" x14ac:dyDescent="0.25">
      <c r="B302" s="21"/>
      <c r="C302" s="22"/>
      <c r="D302" s="29" t="str">
        <f t="shared" si="4"/>
        <v/>
      </c>
      <c r="E302" s="22"/>
      <c r="F302" s="22" t="str">
        <f ca="1">auto_pop!H302</f>
        <v/>
      </c>
      <c r="G302" s="33"/>
      <c r="H302" s="33"/>
    </row>
    <row r="303" spans="2:8" s="2" customFormat="1" ht="15" x14ac:dyDescent="0.25">
      <c r="B303" s="21"/>
      <c r="C303" s="22"/>
      <c r="D303" s="29" t="str">
        <f t="shared" si="4"/>
        <v/>
      </c>
      <c r="E303" s="22"/>
      <c r="F303" s="22" t="str">
        <f ca="1">auto_pop!H303</f>
        <v/>
      </c>
      <c r="G303" s="33"/>
      <c r="H303" s="33"/>
    </row>
    <row r="304" spans="2:8" s="2" customFormat="1" ht="15" x14ac:dyDescent="0.25">
      <c r="B304" s="21"/>
      <c r="C304" s="22"/>
      <c r="D304" s="29" t="str">
        <f t="shared" si="4"/>
        <v/>
      </c>
      <c r="E304" s="22"/>
      <c r="F304" s="22" t="str">
        <f ca="1">auto_pop!H304</f>
        <v/>
      </c>
      <c r="G304" s="33"/>
      <c r="H304" s="33"/>
    </row>
    <row r="305" spans="2:8" s="2" customFormat="1" ht="15" x14ac:dyDescent="0.25">
      <c r="B305" s="21"/>
      <c r="C305" s="22"/>
      <c r="D305" s="29" t="str">
        <f t="shared" si="4"/>
        <v/>
      </c>
      <c r="E305" s="22"/>
      <c r="F305" s="22" t="str">
        <f ca="1">auto_pop!H305</f>
        <v/>
      </c>
      <c r="G305" s="33"/>
      <c r="H305" s="33"/>
    </row>
    <row r="306" spans="2:8" s="2" customFormat="1" ht="15" x14ac:dyDescent="0.25">
      <c r="B306" s="21"/>
      <c r="C306" s="22"/>
      <c r="D306" s="29" t="str">
        <f t="shared" si="4"/>
        <v/>
      </c>
      <c r="E306" s="22"/>
      <c r="F306" s="22" t="str">
        <f ca="1">auto_pop!H306</f>
        <v/>
      </c>
      <c r="G306" s="33"/>
      <c r="H306" s="33"/>
    </row>
    <row r="307" spans="2:8" s="2" customFormat="1" ht="15" x14ac:dyDescent="0.25">
      <c r="B307" s="21"/>
      <c r="C307" s="22"/>
      <c r="D307" s="29" t="str">
        <f t="shared" si="4"/>
        <v/>
      </c>
      <c r="E307" s="22"/>
      <c r="F307" s="22" t="str">
        <f ca="1">auto_pop!H307</f>
        <v/>
      </c>
      <c r="G307" s="33"/>
      <c r="H307" s="33"/>
    </row>
    <row r="308" spans="2:8" s="2" customFormat="1" ht="15" x14ac:dyDescent="0.25">
      <c r="B308" s="21"/>
      <c r="C308" s="22"/>
      <c r="D308" s="29" t="str">
        <f t="shared" si="4"/>
        <v/>
      </c>
      <c r="E308" s="22"/>
      <c r="F308" s="22" t="str">
        <f ca="1">auto_pop!H308</f>
        <v/>
      </c>
      <c r="G308" s="33"/>
      <c r="H308" s="33"/>
    </row>
    <row r="309" spans="2:8" s="2" customFormat="1" ht="15" x14ac:dyDescent="0.25">
      <c r="B309" s="21"/>
      <c r="C309" s="22"/>
      <c r="D309" s="29" t="str">
        <f t="shared" si="4"/>
        <v/>
      </c>
      <c r="E309" s="22"/>
      <c r="F309" s="22" t="str">
        <f ca="1">auto_pop!H309</f>
        <v/>
      </c>
      <c r="G309" s="33"/>
      <c r="H309" s="33"/>
    </row>
    <row r="310" spans="2:8" s="2" customFormat="1" ht="15" x14ac:dyDescent="0.25">
      <c r="B310" s="21"/>
      <c r="C310" s="22"/>
      <c r="D310" s="29" t="str">
        <f t="shared" si="4"/>
        <v/>
      </c>
      <c r="E310" s="22"/>
      <c r="F310" s="22" t="str">
        <f ca="1">auto_pop!H310</f>
        <v/>
      </c>
      <c r="G310" s="33"/>
      <c r="H310" s="33"/>
    </row>
    <row r="311" spans="2:8" s="2" customFormat="1" ht="15" x14ac:dyDescent="0.25">
      <c r="B311" s="21"/>
      <c r="C311" s="22"/>
      <c r="D311" s="29" t="str">
        <f t="shared" si="4"/>
        <v/>
      </c>
      <c r="E311" s="22"/>
      <c r="F311" s="22" t="str">
        <f ca="1">auto_pop!H311</f>
        <v/>
      </c>
      <c r="G311" s="33"/>
      <c r="H311" s="33"/>
    </row>
    <row r="312" spans="2:8" s="2" customFormat="1" ht="15" x14ac:dyDescent="0.25">
      <c r="B312" s="21"/>
      <c r="C312" s="22"/>
      <c r="D312" s="29" t="str">
        <f t="shared" si="4"/>
        <v/>
      </c>
      <c r="E312" s="22"/>
      <c r="F312" s="22" t="str">
        <f ca="1">auto_pop!H312</f>
        <v/>
      </c>
      <c r="G312" s="33"/>
      <c r="H312" s="33"/>
    </row>
    <row r="313" spans="2:8" s="2" customFormat="1" ht="15" x14ac:dyDescent="0.25">
      <c r="B313" s="21"/>
      <c r="C313" s="22"/>
      <c r="D313" s="29" t="str">
        <f t="shared" si="4"/>
        <v/>
      </c>
      <c r="E313" s="22"/>
      <c r="F313" s="22" t="str">
        <f ca="1">auto_pop!H313</f>
        <v/>
      </c>
      <c r="G313" s="33"/>
      <c r="H313" s="33"/>
    </row>
    <row r="314" spans="2:8" s="2" customFormat="1" ht="15" x14ac:dyDescent="0.25">
      <c r="B314" s="21"/>
      <c r="C314" s="22"/>
      <c r="D314" s="29" t="str">
        <f t="shared" si="4"/>
        <v/>
      </c>
      <c r="E314" s="22"/>
      <c r="F314" s="22" t="str">
        <f ca="1">auto_pop!H314</f>
        <v/>
      </c>
      <c r="G314" s="33"/>
      <c r="H314" s="33"/>
    </row>
    <row r="315" spans="2:8" s="2" customFormat="1" ht="15" x14ac:dyDescent="0.25">
      <c r="B315" s="21"/>
      <c r="C315" s="22"/>
      <c r="D315" s="29" t="str">
        <f t="shared" si="4"/>
        <v/>
      </c>
      <c r="E315" s="22"/>
      <c r="F315" s="22" t="str">
        <f ca="1">auto_pop!H315</f>
        <v/>
      </c>
      <c r="G315" s="33"/>
      <c r="H315" s="33"/>
    </row>
    <row r="316" spans="2:8" s="2" customFormat="1" ht="15" x14ac:dyDescent="0.25">
      <c r="B316" s="21"/>
      <c r="C316" s="22"/>
      <c r="D316" s="29" t="str">
        <f t="shared" si="4"/>
        <v/>
      </c>
      <c r="E316" s="22"/>
      <c r="F316" s="22" t="str">
        <f ca="1">auto_pop!H316</f>
        <v/>
      </c>
      <c r="G316" s="33"/>
      <c r="H316" s="33"/>
    </row>
    <row r="317" spans="2:8" s="2" customFormat="1" ht="15" x14ac:dyDescent="0.25">
      <c r="B317" s="21"/>
      <c r="C317" s="22"/>
      <c r="D317" s="29" t="str">
        <f t="shared" si="4"/>
        <v/>
      </c>
      <c r="E317" s="22"/>
      <c r="F317" s="22" t="str">
        <f ca="1">auto_pop!H317</f>
        <v/>
      </c>
      <c r="G317" s="33"/>
      <c r="H317" s="33"/>
    </row>
    <row r="318" spans="2:8" s="2" customFormat="1" ht="15" x14ac:dyDescent="0.25">
      <c r="B318" s="21"/>
      <c r="C318" s="22"/>
      <c r="D318" s="29" t="str">
        <f t="shared" si="4"/>
        <v/>
      </c>
      <c r="E318" s="22"/>
      <c r="F318" s="22" t="str">
        <f ca="1">auto_pop!H318</f>
        <v/>
      </c>
      <c r="G318" s="33"/>
      <c r="H318" s="33"/>
    </row>
    <row r="319" spans="2:8" s="2" customFormat="1" ht="15" x14ac:dyDescent="0.25">
      <c r="B319" s="21"/>
      <c r="C319" s="22"/>
      <c r="D319" s="29" t="str">
        <f t="shared" si="4"/>
        <v/>
      </c>
      <c r="E319" s="22"/>
      <c r="F319" s="22" t="str">
        <f ca="1">auto_pop!H319</f>
        <v/>
      </c>
      <c r="G319" s="33"/>
      <c r="H319" s="33"/>
    </row>
    <row r="320" spans="2:8" s="2" customFormat="1" ht="15" x14ac:dyDescent="0.25">
      <c r="B320" s="21"/>
      <c r="C320" s="22"/>
      <c r="D320" s="29" t="str">
        <f t="shared" si="4"/>
        <v/>
      </c>
      <c r="E320" s="22"/>
      <c r="F320" s="22" t="str">
        <f ca="1">auto_pop!H320</f>
        <v/>
      </c>
      <c r="G320" s="33"/>
      <c r="H320" s="33"/>
    </row>
    <row r="321" spans="2:8" s="2" customFormat="1" ht="15" x14ac:dyDescent="0.25">
      <c r="B321" s="21"/>
      <c r="C321" s="22"/>
      <c r="D321" s="29" t="str">
        <f t="shared" si="4"/>
        <v/>
      </c>
      <c r="E321" s="22"/>
      <c r="F321" s="22" t="str">
        <f ca="1">auto_pop!H321</f>
        <v/>
      </c>
      <c r="G321" s="33"/>
      <c r="H321" s="33"/>
    </row>
    <row r="322" spans="2:8" s="2" customFormat="1" ht="15" x14ac:dyDescent="0.25">
      <c r="B322" s="21"/>
      <c r="C322" s="22"/>
      <c r="D322" s="29" t="str">
        <f t="shared" si="4"/>
        <v/>
      </c>
      <c r="E322" s="22"/>
      <c r="F322" s="22" t="str">
        <f ca="1">auto_pop!H322</f>
        <v/>
      </c>
      <c r="G322" s="33"/>
      <c r="H322" s="33"/>
    </row>
    <row r="323" spans="2:8" s="2" customFormat="1" ht="15" x14ac:dyDescent="0.25">
      <c r="B323" s="21"/>
      <c r="C323" s="22"/>
      <c r="D323" s="29" t="str">
        <f t="shared" si="4"/>
        <v/>
      </c>
      <c r="E323" s="22"/>
      <c r="F323" s="22" t="str">
        <f ca="1">auto_pop!H323</f>
        <v/>
      </c>
      <c r="G323" s="33"/>
      <c r="H323" s="33"/>
    </row>
    <row r="324" spans="2:8" s="2" customFormat="1" ht="15" x14ac:dyDescent="0.25">
      <c r="B324" s="21"/>
      <c r="C324" s="22"/>
      <c r="D324" s="29" t="str">
        <f t="shared" ref="D324:D387" si="5">IF(C324&lt;&gt;"", IF(OR(C324="Chapin", C324="Oatka", C324="Seneca"), "", 1), "")</f>
        <v/>
      </c>
      <c r="E324" s="22"/>
      <c r="F324" s="22" t="str">
        <f ca="1">auto_pop!H324</f>
        <v/>
      </c>
      <c r="G324" s="33"/>
      <c r="H324" s="33"/>
    </row>
    <row r="325" spans="2:8" s="2" customFormat="1" ht="15" x14ac:dyDescent="0.25">
      <c r="B325" s="21"/>
      <c r="C325" s="22"/>
      <c r="D325" s="29" t="str">
        <f t="shared" si="5"/>
        <v/>
      </c>
      <c r="E325" s="22"/>
      <c r="F325" s="22" t="str">
        <f ca="1">auto_pop!H325</f>
        <v/>
      </c>
      <c r="G325" s="33"/>
      <c r="H325" s="33"/>
    </row>
    <row r="326" spans="2:8" s="2" customFormat="1" ht="15" x14ac:dyDescent="0.25">
      <c r="B326" s="21"/>
      <c r="C326" s="22"/>
      <c r="D326" s="29" t="str">
        <f t="shared" si="5"/>
        <v/>
      </c>
      <c r="E326" s="22"/>
      <c r="F326" s="22" t="str">
        <f ca="1">auto_pop!H326</f>
        <v/>
      </c>
      <c r="G326" s="33"/>
      <c r="H326" s="33"/>
    </row>
    <row r="327" spans="2:8" s="2" customFormat="1" ht="15" x14ac:dyDescent="0.25">
      <c r="B327" s="21"/>
      <c r="C327" s="22"/>
      <c r="D327" s="29" t="str">
        <f t="shared" si="5"/>
        <v/>
      </c>
      <c r="E327" s="22"/>
      <c r="F327" s="22" t="str">
        <f ca="1">auto_pop!H327</f>
        <v/>
      </c>
      <c r="G327" s="33"/>
      <c r="H327" s="33"/>
    </row>
    <row r="328" spans="2:8" s="2" customFormat="1" ht="15" x14ac:dyDescent="0.25">
      <c r="B328" s="21"/>
      <c r="C328" s="22"/>
      <c r="D328" s="29" t="str">
        <f t="shared" si="5"/>
        <v/>
      </c>
      <c r="E328" s="22"/>
      <c r="F328" s="22" t="str">
        <f ca="1">auto_pop!H328</f>
        <v/>
      </c>
      <c r="G328" s="33"/>
      <c r="H328" s="33"/>
    </row>
    <row r="329" spans="2:8" s="2" customFormat="1" ht="15" x14ac:dyDescent="0.25">
      <c r="B329" s="21"/>
      <c r="C329" s="22"/>
      <c r="D329" s="29" t="str">
        <f t="shared" si="5"/>
        <v/>
      </c>
      <c r="E329" s="22"/>
      <c r="F329" s="22" t="str">
        <f ca="1">auto_pop!H329</f>
        <v/>
      </c>
      <c r="G329" s="33"/>
      <c r="H329" s="33"/>
    </row>
    <row r="330" spans="2:8" s="2" customFormat="1" ht="15" x14ac:dyDescent="0.25">
      <c r="B330" s="21"/>
      <c r="C330" s="22"/>
      <c r="D330" s="29" t="str">
        <f t="shared" si="5"/>
        <v/>
      </c>
      <c r="E330" s="22"/>
      <c r="F330" s="22" t="str">
        <f ca="1">auto_pop!H330</f>
        <v/>
      </c>
      <c r="G330" s="33"/>
      <c r="H330" s="33"/>
    </row>
    <row r="331" spans="2:8" s="2" customFormat="1" ht="15" x14ac:dyDescent="0.25">
      <c r="B331" s="21"/>
      <c r="C331" s="22"/>
      <c r="D331" s="29" t="str">
        <f t="shared" si="5"/>
        <v/>
      </c>
      <c r="E331" s="22"/>
      <c r="F331" s="22" t="str">
        <f ca="1">auto_pop!H331</f>
        <v/>
      </c>
      <c r="G331" s="33"/>
      <c r="H331" s="33"/>
    </row>
    <row r="332" spans="2:8" s="2" customFormat="1" ht="15" x14ac:dyDescent="0.25">
      <c r="B332" s="21"/>
      <c r="C332" s="22"/>
      <c r="D332" s="29" t="str">
        <f t="shared" si="5"/>
        <v/>
      </c>
      <c r="E332" s="22"/>
      <c r="F332" s="22" t="str">
        <f ca="1">auto_pop!H332</f>
        <v/>
      </c>
      <c r="G332" s="33"/>
      <c r="H332" s="33"/>
    </row>
    <row r="333" spans="2:8" s="2" customFormat="1" ht="15" x14ac:dyDescent="0.25">
      <c r="B333" s="21"/>
      <c r="C333" s="22"/>
      <c r="D333" s="29" t="str">
        <f t="shared" si="5"/>
        <v/>
      </c>
      <c r="E333" s="22"/>
      <c r="F333" s="22" t="str">
        <f ca="1">auto_pop!H333</f>
        <v/>
      </c>
      <c r="G333" s="33"/>
      <c r="H333" s="33"/>
    </row>
    <row r="334" spans="2:8" s="2" customFormat="1" ht="15" x14ac:dyDescent="0.25">
      <c r="B334" s="21"/>
      <c r="C334" s="22"/>
      <c r="D334" s="29" t="str">
        <f t="shared" si="5"/>
        <v/>
      </c>
      <c r="E334" s="22"/>
      <c r="F334" s="22" t="str">
        <f ca="1">auto_pop!H334</f>
        <v/>
      </c>
      <c r="G334" s="33"/>
      <c r="H334" s="33"/>
    </row>
    <row r="335" spans="2:8" s="2" customFormat="1" ht="15" x14ac:dyDescent="0.25">
      <c r="B335" s="21"/>
      <c r="C335" s="22"/>
      <c r="D335" s="29" t="str">
        <f t="shared" si="5"/>
        <v/>
      </c>
      <c r="E335" s="22"/>
      <c r="F335" s="22" t="str">
        <f ca="1">auto_pop!H335</f>
        <v/>
      </c>
      <c r="G335" s="33"/>
      <c r="H335" s="33"/>
    </row>
    <row r="336" spans="2:8" s="2" customFormat="1" ht="15" x14ac:dyDescent="0.25">
      <c r="B336" s="21"/>
      <c r="C336" s="22"/>
      <c r="D336" s="29" t="str">
        <f t="shared" si="5"/>
        <v/>
      </c>
      <c r="E336" s="22"/>
      <c r="F336" s="22" t="str">
        <f ca="1">auto_pop!H336</f>
        <v/>
      </c>
      <c r="G336" s="33"/>
      <c r="H336" s="33"/>
    </row>
    <row r="337" spans="2:8" s="2" customFormat="1" ht="15" x14ac:dyDescent="0.25">
      <c r="B337" s="21"/>
      <c r="C337" s="22"/>
      <c r="D337" s="29" t="str">
        <f t="shared" si="5"/>
        <v/>
      </c>
      <c r="E337" s="22"/>
      <c r="F337" s="22" t="str">
        <f ca="1">auto_pop!H337</f>
        <v/>
      </c>
      <c r="G337" s="33"/>
      <c r="H337" s="33"/>
    </row>
    <row r="338" spans="2:8" s="2" customFormat="1" ht="15" x14ac:dyDescent="0.25">
      <c r="B338" s="21"/>
      <c r="C338" s="22"/>
      <c r="D338" s="29" t="str">
        <f t="shared" si="5"/>
        <v/>
      </c>
      <c r="E338" s="22"/>
      <c r="F338" s="22" t="str">
        <f ca="1">auto_pop!H338</f>
        <v/>
      </c>
      <c r="G338" s="33"/>
      <c r="H338" s="33"/>
    </row>
    <row r="339" spans="2:8" s="2" customFormat="1" ht="15" x14ac:dyDescent="0.25">
      <c r="B339" s="21"/>
      <c r="C339" s="22"/>
      <c r="D339" s="29" t="str">
        <f t="shared" si="5"/>
        <v/>
      </c>
      <c r="E339" s="22"/>
      <c r="F339" s="22" t="str">
        <f ca="1">auto_pop!H339</f>
        <v/>
      </c>
      <c r="G339" s="33"/>
      <c r="H339" s="33"/>
    </row>
    <row r="340" spans="2:8" s="2" customFormat="1" ht="15" x14ac:dyDescent="0.25">
      <c r="B340" s="21"/>
      <c r="C340" s="22"/>
      <c r="D340" s="29" t="str">
        <f t="shared" si="5"/>
        <v/>
      </c>
      <c r="E340" s="22"/>
      <c r="F340" s="22" t="str">
        <f ca="1">auto_pop!H340</f>
        <v/>
      </c>
      <c r="G340" s="33"/>
      <c r="H340" s="33"/>
    </row>
    <row r="341" spans="2:8" s="2" customFormat="1" ht="15" x14ac:dyDescent="0.25">
      <c r="B341" s="21"/>
      <c r="C341" s="22"/>
      <c r="D341" s="29" t="str">
        <f t="shared" si="5"/>
        <v/>
      </c>
      <c r="E341" s="22"/>
      <c r="F341" s="22" t="str">
        <f ca="1">auto_pop!H341</f>
        <v/>
      </c>
      <c r="G341" s="33"/>
      <c r="H341" s="33"/>
    </row>
    <row r="342" spans="2:8" s="2" customFormat="1" ht="15" x14ac:dyDescent="0.25">
      <c r="B342" s="21"/>
      <c r="C342" s="22"/>
      <c r="D342" s="29" t="str">
        <f t="shared" si="5"/>
        <v/>
      </c>
      <c r="E342" s="22"/>
      <c r="F342" s="22" t="str">
        <f ca="1">auto_pop!H342</f>
        <v/>
      </c>
      <c r="G342" s="33"/>
      <c r="H342" s="33"/>
    </row>
    <row r="343" spans="2:8" s="2" customFormat="1" ht="15" x14ac:dyDescent="0.25">
      <c r="B343" s="21"/>
      <c r="C343" s="22"/>
      <c r="D343" s="29" t="str">
        <f t="shared" si="5"/>
        <v/>
      </c>
      <c r="E343" s="22"/>
      <c r="F343" s="22" t="str">
        <f ca="1">auto_pop!H343</f>
        <v/>
      </c>
      <c r="G343" s="33"/>
      <c r="H343" s="33"/>
    </row>
    <row r="344" spans="2:8" s="2" customFormat="1" ht="15" x14ac:dyDescent="0.25">
      <c r="B344" s="21"/>
      <c r="C344" s="22"/>
      <c r="D344" s="29" t="str">
        <f t="shared" si="5"/>
        <v/>
      </c>
      <c r="E344" s="22"/>
      <c r="F344" s="22" t="str">
        <f ca="1">auto_pop!H344</f>
        <v/>
      </c>
      <c r="G344" s="33"/>
      <c r="H344" s="33"/>
    </row>
    <row r="345" spans="2:8" s="2" customFormat="1" ht="15" x14ac:dyDescent="0.25">
      <c r="B345" s="21"/>
      <c r="C345" s="22"/>
      <c r="D345" s="29" t="str">
        <f t="shared" si="5"/>
        <v/>
      </c>
      <c r="E345" s="22"/>
      <c r="F345" s="22" t="str">
        <f ca="1">auto_pop!H345</f>
        <v/>
      </c>
      <c r="G345" s="33"/>
      <c r="H345" s="33"/>
    </row>
    <row r="346" spans="2:8" s="2" customFormat="1" ht="15" x14ac:dyDescent="0.25">
      <c r="B346" s="21"/>
      <c r="C346" s="22"/>
      <c r="D346" s="29" t="str">
        <f t="shared" si="5"/>
        <v/>
      </c>
      <c r="E346" s="22"/>
      <c r="F346" s="22" t="str">
        <f ca="1">auto_pop!H346</f>
        <v/>
      </c>
      <c r="G346" s="33"/>
      <c r="H346" s="33"/>
    </row>
    <row r="347" spans="2:8" s="2" customFormat="1" ht="15" x14ac:dyDescent="0.25">
      <c r="B347" s="21"/>
      <c r="C347" s="22"/>
      <c r="D347" s="29" t="str">
        <f t="shared" si="5"/>
        <v/>
      </c>
      <c r="E347" s="22"/>
      <c r="F347" s="22" t="str">
        <f ca="1">auto_pop!H347</f>
        <v/>
      </c>
      <c r="G347" s="33"/>
      <c r="H347" s="33"/>
    </row>
    <row r="348" spans="2:8" s="2" customFormat="1" ht="15" x14ac:dyDescent="0.25">
      <c r="B348" s="21"/>
      <c r="C348" s="22"/>
      <c r="D348" s="29" t="str">
        <f t="shared" si="5"/>
        <v/>
      </c>
      <c r="E348" s="22"/>
      <c r="F348" s="22" t="str">
        <f ca="1">auto_pop!H348</f>
        <v/>
      </c>
      <c r="G348" s="33"/>
      <c r="H348" s="33"/>
    </row>
    <row r="349" spans="2:8" s="2" customFormat="1" ht="15" x14ac:dyDescent="0.25">
      <c r="B349" s="21"/>
      <c r="C349" s="22"/>
      <c r="D349" s="29" t="str">
        <f t="shared" si="5"/>
        <v/>
      </c>
      <c r="E349" s="22"/>
      <c r="F349" s="22" t="str">
        <f ca="1">auto_pop!H349</f>
        <v/>
      </c>
      <c r="G349" s="33"/>
      <c r="H349" s="33"/>
    </row>
    <row r="350" spans="2:8" s="2" customFormat="1" ht="15" x14ac:dyDescent="0.25">
      <c r="B350" s="21"/>
      <c r="C350" s="22"/>
      <c r="D350" s="29" t="str">
        <f t="shared" si="5"/>
        <v/>
      </c>
      <c r="E350" s="22"/>
      <c r="F350" s="22" t="str">
        <f ca="1">auto_pop!H350</f>
        <v/>
      </c>
      <c r="G350" s="33"/>
      <c r="H350" s="33"/>
    </row>
    <row r="351" spans="2:8" s="2" customFormat="1" ht="15" x14ac:dyDescent="0.25">
      <c r="B351" s="21"/>
      <c r="C351" s="22"/>
      <c r="D351" s="29" t="str">
        <f t="shared" si="5"/>
        <v/>
      </c>
      <c r="E351" s="22"/>
      <c r="F351" s="22" t="str">
        <f ca="1">auto_pop!H351</f>
        <v/>
      </c>
      <c r="G351" s="33"/>
      <c r="H351" s="33"/>
    </row>
    <row r="352" spans="2:8" s="2" customFormat="1" ht="15" x14ac:dyDescent="0.25">
      <c r="B352" s="21"/>
      <c r="C352" s="22"/>
      <c r="D352" s="29" t="str">
        <f t="shared" si="5"/>
        <v/>
      </c>
      <c r="E352" s="22"/>
      <c r="F352" s="22" t="str">
        <f ca="1">auto_pop!H352</f>
        <v/>
      </c>
      <c r="G352" s="33"/>
      <c r="H352" s="33"/>
    </row>
    <row r="353" spans="2:8" s="2" customFormat="1" ht="15" x14ac:dyDescent="0.25">
      <c r="B353" s="21"/>
      <c r="C353" s="22"/>
      <c r="D353" s="29" t="str">
        <f t="shared" si="5"/>
        <v/>
      </c>
      <c r="E353" s="22"/>
      <c r="F353" s="22" t="str">
        <f ca="1">auto_pop!H353</f>
        <v/>
      </c>
      <c r="G353" s="33"/>
      <c r="H353" s="33"/>
    </row>
    <row r="354" spans="2:8" s="2" customFormat="1" ht="15" x14ac:dyDescent="0.25">
      <c r="B354" s="21"/>
      <c r="C354" s="22"/>
      <c r="D354" s="29" t="str">
        <f t="shared" si="5"/>
        <v/>
      </c>
      <c r="E354" s="22"/>
      <c r="F354" s="22" t="str">
        <f ca="1">auto_pop!H354</f>
        <v/>
      </c>
      <c r="G354" s="33"/>
      <c r="H354" s="33"/>
    </row>
    <row r="355" spans="2:8" s="2" customFormat="1" ht="15" x14ac:dyDescent="0.25">
      <c r="B355" s="21"/>
      <c r="C355" s="22"/>
      <c r="D355" s="29" t="str">
        <f t="shared" si="5"/>
        <v/>
      </c>
      <c r="E355" s="22"/>
      <c r="F355" s="22" t="str">
        <f ca="1">auto_pop!H355</f>
        <v/>
      </c>
      <c r="G355" s="33"/>
      <c r="H355" s="33"/>
    </row>
    <row r="356" spans="2:8" s="2" customFormat="1" ht="15" x14ac:dyDescent="0.25">
      <c r="B356" s="21"/>
      <c r="C356" s="22"/>
      <c r="D356" s="29" t="str">
        <f t="shared" si="5"/>
        <v/>
      </c>
      <c r="E356" s="22"/>
      <c r="F356" s="22" t="str">
        <f ca="1">auto_pop!H356</f>
        <v/>
      </c>
      <c r="G356" s="33"/>
      <c r="H356" s="33"/>
    </row>
    <row r="357" spans="2:8" s="2" customFormat="1" ht="15" x14ac:dyDescent="0.25">
      <c r="B357" s="21"/>
      <c r="C357" s="22"/>
      <c r="D357" s="29" t="str">
        <f t="shared" si="5"/>
        <v/>
      </c>
      <c r="E357" s="22"/>
      <c r="F357" s="22" t="str">
        <f ca="1">auto_pop!H357</f>
        <v/>
      </c>
      <c r="G357" s="33"/>
      <c r="H357" s="33"/>
    </row>
    <row r="358" spans="2:8" s="2" customFormat="1" ht="15" x14ac:dyDescent="0.25">
      <c r="B358" s="21"/>
      <c r="C358" s="22"/>
      <c r="D358" s="29" t="str">
        <f t="shared" si="5"/>
        <v/>
      </c>
      <c r="E358" s="22"/>
      <c r="F358" s="22" t="str">
        <f ca="1">auto_pop!H358</f>
        <v/>
      </c>
      <c r="G358" s="33"/>
      <c r="H358" s="33"/>
    </row>
    <row r="359" spans="2:8" s="2" customFormat="1" ht="15" x14ac:dyDescent="0.25">
      <c r="B359" s="21"/>
      <c r="C359" s="22"/>
      <c r="D359" s="29" t="str">
        <f t="shared" si="5"/>
        <v/>
      </c>
      <c r="E359" s="22"/>
      <c r="F359" s="22" t="str">
        <f ca="1">auto_pop!H359</f>
        <v/>
      </c>
      <c r="G359" s="33"/>
      <c r="H359" s="33"/>
    </row>
    <row r="360" spans="2:8" s="2" customFormat="1" ht="15" x14ac:dyDescent="0.25">
      <c r="B360" s="21"/>
      <c r="C360" s="22"/>
      <c r="D360" s="29" t="str">
        <f t="shared" si="5"/>
        <v/>
      </c>
      <c r="E360" s="22"/>
      <c r="F360" s="22" t="str">
        <f ca="1">auto_pop!H360</f>
        <v/>
      </c>
      <c r="G360" s="33"/>
      <c r="H360" s="33"/>
    </row>
    <row r="361" spans="2:8" s="2" customFormat="1" ht="15" x14ac:dyDescent="0.25">
      <c r="B361" s="21"/>
      <c r="C361" s="22"/>
      <c r="D361" s="29" t="str">
        <f t="shared" si="5"/>
        <v/>
      </c>
      <c r="E361" s="22"/>
      <c r="F361" s="22" t="str">
        <f ca="1">auto_pop!H361</f>
        <v/>
      </c>
      <c r="G361" s="33"/>
      <c r="H361" s="33"/>
    </row>
    <row r="362" spans="2:8" s="2" customFormat="1" ht="15" x14ac:dyDescent="0.25">
      <c r="B362" s="21"/>
      <c r="C362" s="22"/>
      <c r="D362" s="29" t="str">
        <f t="shared" si="5"/>
        <v/>
      </c>
      <c r="E362" s="22"/>
      <c r="F362" s="22" t="str">
        <f ca="1">auto_pop!H362</f>
        <v/>
      </c>
      <c r="G362" s="33"/>
      <c r="H362" s="33"/>
    </row>
    <row r="363" spans="2:8" s="2" customFormat="1" ht="15" x14ac:dyDescent="0.25">
      <c r="B363" s="21"/>
      <c r="C363" s="22"/>
      <c r="D363" s="29" t="str">
        <f t="shared" si="5"/>
        <v/>
      </c>
      <c r="E363" s="22"/>
      <c r="F363" s="22" t="str">
        <f ca="1">auto_pop!H363</f>
        <v/>
      </c>
      <c r="G363" s="33"/>
      <c r="H363" s="33"/>
    </row>
    <row r="364" spans="2:8" s="2" customFormat="1" ht="15" x14ac:dyDescent="0.25">
      <c r="B364" s="21"/>
      <c r="C364" s="22"/>
      <c r="D364" s="29" t="str">
        <f t="shared" si="5"/>
        <v/>
      </c>
      <c r="E364" s="22"/>
      <c r="F364" s="22" t="str">
        <f ca="1">auto_pop!H364</f>
        <v/>
      </c>
      <c r="G364" s="33"/>
      <c r="H364" s="33"/>
    </row>
    <row r="365" spans="2:8" s="2" customFormat="1" ht="15" x14ac:dyDescent="0.25">
      <c r="B365" s="21"/>
      <c r="C365" s="22"/>
      <c r="D365" s="29" t="str">
        <f t="shared" si="5"/>
        <v/>
      </c>
      <c r="E365" s="22"/>
      <c r="F365" s="22" t="str">
        <f ca="1">auto_pop!H365</f>
        <v/>
      </c>
      <c r="G365" s="33"/>
      <c r="H365" s="33"/>
    </row>
    <row r="366" spans="2:8" s="2" customFormat="1" ht="15" x14ac:dyDescent="0.25">
      <c r="B366" s="21"/>
      <c r="C366" s="22"/>
      <c r="D366" s="29" t="str">
        <f t="shared" si="5"/>
        <v/>
      </c>
      <c r="E366" s="22"/>
      <c r="F366" s="22" t="str">
        <f ca="1">auto_pop!H366</f>
        <v/>
      </c>
      <c r="G366" s="33"/>
      <c r="H366" s="33"/>
    </row>
    <row r="367" spans="2:8" s="2" customFormat="1" ht="15" x14ac:dyDescent="0.25">
      <c r="B367" s="21"/>
      <c r="C367" s="22"/>
      <c r="D367" s="29" t="str">
        <f t="shared" si="5"/>
        <v/>
      </c>
      <c r="E367" s="22"/>
      <c r="F367" s="22" t="str">
        <f ca="1">auto_pop!H367</f>
        <v/>
      </c>
      <c r="G367" s="33"/>
      <c r="H367" s="33"/>
    </row>
    <row r="368" spans="2:8" s="2" customFormat="1" ht="15" x14ac:dyDescent="0.25">
      <c r="B368" s="21"/>
      <c r="C368" s="22"/>
      <c r="D368" s="29" t="str">
        <f t="shared" si="5"/>
        <v/>
      </c>
      <c r="E368" s="22"/>
      <c r="F368" s="22" t="str">
        <f ca="1">auto_pop!H368</f>
        <v/>
      </c>
      <c r="G368" s="33"/>
      <c r="H368" s="33"/>
    </row>
    <row r="369" spans="2:8" s="2" customFormat="1" ht="15" x14ac:dyDescent="0.25">
      <c r="B369" s="21"/>
      <c r="C369" s="22"/>
      <c r="D369" s="29" t="str">
        <f t="shared" si="5"/>
        <v/>
      </c>
      <c r="E369" s="22"/>
      <c r="F369" s="22" t="str">
        <f ca="1">auto_pop!H369</f>
        <v/>
      </c>
      <c r="G369" s="33"/>
      <c r="H369" s="33"/>
    </row>
    <row r="370" spans="2:8" s="2" customFormat="1" ht="15" x14ac:dyDescent="0.25">
      <c r="B370" s="21"/>
      <c r="C370" s="22"/>
      <c r="D370" s="29" t="str">
        <f t="shared" si="5"/>
        <v/>
      </c>
      <c r="E370" s="22"/>
      <c r="F370" s="22" t="str">
        <f ca="1">auto_pop!H370</f>
        <v/>
      </c>
      <c r="G370" s="33"/>
      <c r="H370" s="33"/>
    </row>
    <row r="371" spans="2:8" s="2" customFormat="1" ht="15" x14ac:dyDescent="0.25">
      <c r="B371" s="21"/>
      <c r="C371" s="22"/>
      <c r="D371" s="29" t="str">
        <f t="shared" si="5"/>
        <v/>
      </c>
      <c r="E371" s="22"/>
      <c r="F371" s="22" t="str">
        <f ca="1">auto_pop!H371</f>
        <v/>
      </c>
      <c r="G371" s="33"/>
      <c r="H371" s="33"/>
    </row>
    <row r="372" spans="2:8" s="2" customFormat="1" ht="15" x14ac:dyDescent="0.25">
      <c r="B372" s="21"/>
      <c r="C372" s="22"/>
      <c r="D372" s="29" t="str">
        <f t="shared" si="5"/>
        <v/>
      </c>
      <c r="E372" s="22"/>
      <c r="F372" s="22" t="str">
        <f ca="1">auto_pop!H372</f>
        <v/>
      </c>
      <c r="G372" s="33"/>
      <c r="H372" s="33"/>
    </row>
    <row r="373" spans="2:8" s="2" customFormat="1" ht="15" x14ac:dyDescent="0.25">
      <c r="B373" s="21"/>
      <c r="C373" s="22"/>
      <c r="D373" s="29" t="str">
        <f t="shared" si="5"/>
        <v/>
      </c>
      <c r="E373" s="22"/>
      <c r="F373" s="22" t="str">
        <f ca="1">auto_pop!H373</f>
        <v/>
      </c>
      <c r="G373" s="33"/>
      <c r="H373" s="33"/>
    </row>
    <row r="374" spans="2:8" s="2" customFormat="1" ht="15" x14ac:dyDescent="0.25">
      <c r="B374" s="21"/>
      <c r="C374" s="22"/>
      <c r="D374" s="29" t="str">
        <f t="shared" si="5"/>
        <v/>
      </c>
      <c r="E374" s="22"/>
      <c r="F374" s="22" t="str">
        <f ca="1">auto_pop!H374</f>
        <v/>
      </c>
      <c r="G374" s="33"/>
      <c r="H374" s="33"/>
    </row>
    <row r="375" spans="2:8" s="2" customFormat="1" ht="15" x14ac:dyDescent="0.25">
      <c r="B375" s="21"/>
      <c r="C375" s="22"/>
      <c r="D375" s="29" t="str">
        <f t="shared" si="5"/>
        <v/>
      </c>
      <c r="E375" s="22"/>
      <c r="F375" s="22" t="str">
        <f ca="1">auto_pop!H375</f>
        <v/>
      </c>
      <c r="G375" s="33"/>
      <c r="H375" s="33"/>
    </row>
    <row r="376" spans="2:8" s="2" customFormat="1" ht="15" x14ac:dyDescent="0.25">
      <c r="B376" s="21"/>
      <c r="C376" s="22"/>
      <c r="D376" s="29" t="str">
        <f t="shared" si="5"/>
        <v/>
      </c>
      <c r="E376" s="22"/>
      <c r="F376" s="22" t="str">
        <f ca="1">auto_pop!H376</f>
        <v/>
      </c>
      <c r="G376" s="33"/>
      <c r="H376" s="33"/>
    </row>
    <row r="377" spans="2:8" s="2" customFormat="1" ht="15" x14ac:dyDescent="0.25">
      <c r="B377" s="21"/>
      <c r="C377" s="22"/>
      <c r="D377" s="29" t="str">
        <f t="shared" si="5"/>
        <v/>
      </c>
      <c r="E377" s="22"/>
      <c r="F377" s="22" t="str">
        <f ca="1">auto_pop!H377</f>
        <v/>
      </c>
      <c r="G377" s="33"/>
      <c r="H377" s="33"/>
    </row>
    <row r="378" spans="2:8" s="2" customFormat="1" ht="15" x14ac:dyDescent="0.25">
      <c r="B378" s="21"/>
      <c r="C378" s="22"/>
      <c r="D378" s="29" t="str">
        <f t="shared" si="5"/>
        <v/>
      </c>
      <c r="E378" s="22"/>
      <c r="F378" s="22" t="str">
        <f ca="1">auto_pop!H378</f>
        <v/>
      </c>
      <c r="G378" s="33"/>
      <c r="H378" s="33"/>
    </row>
    <row r="379" spans="2:8" s="2" customFormat="1" ht="15" x14ac:dyDescent="0.25">
      <c r="B379" s="21"/>
      <c r="C379" s="22"/>
      <c r="D379" s="29" t="str">
        <f t="shared" si="5"/>
        <v/>
      </c>
      <c r="E379" s="22"/>
      <c r="F379" s="22" t="str">
        <f ca="1">auto_pop!H379</f>
        <v/>
      </c>
      <c r="G379" s="33"/>
      <c r="H379" s="33"/>
    </row>
    <row r="380" spans="2:8" s="2" customFormat="1" ht="15" x14ac:dyDescent="0.25">
      <c r="B380" s="21"/>
      <c r="C380" s="22"/>
      <c r="D380" s="29" t="str">
        <f t="shared" si="5"/>
        <v/>
      </c>
      <c r="E380" s="22"/>
      <c r="F380" s="22" t="str">
        <f ca="1">auto_pop!H380</f>
        <v/>
      </c>
      <c r="G380" s="33"/>
      <c r="H380" s="33"/>
    </row>
    <row r="381" spans="2:8" s="2" customFormat="1" ht="15" x14ac:dyDescent="0.25">
      <c r="B381" s="21"/>
      <c r="C381" s="22"/>
      <c r="D381" s="29" t="str">
        <f t="shared" si="5"/>
        <v/>
      </c>
      <c r="E381" s="22"/>
      <c r="F381" s="22" t="str">
        <f ca="1">auto_pop!H381</f>
        <v/>
      </c>
      <c r="G381" s="33"/>
      <c r="H381" s="33"/>
    </row>
    <row r="382" spans="2:8" s="2" customFormat="1" ht="15" x14ac:dyDescent="0.25">
      <c r="B382" s="21"/>
      <c r="C382" s="22"/>
      <c r="D382" s="29" t="str">
        <f t="shared" si="5"/>
        <v/>
      </c>
      <c r="E382" s="22"/>
      <c r="F382" s="22" t="str">
        <f ca="1">auto_pop!H382</f>
        <v/>
      </c>
      <c r="G382" s="33"/>
      <c r="H382" s="33"/>
    </row>
    <row r="383" spans="2:8" s="2" customFormat="1" ht="15" x14ac:dyDescent="0.25">
      <c r="B383" s="21"/>
      <c r="C383" s="22"/>
      <c r="D383" s="29" t="str">
        <f t="shared" si="5"/>
        <v/>
      </c>
      <c r="E383" s="22"/>
      <c r="F383" s="22" t="str">
        <f ca="1">auto_pop!H383</f>
        <v/>
      </c>
      <c r="G383" s="33"/>
      <c r="H383" s="33"/>
    </row>
    <row r="384" spans="2:8" s="2" customFormat="1" ht="15" x14ac:dyDescent="0.25">
      <c r="B384" s="21"/>
      <c r="C384" s="22"/>
      <c r="D384" s="29" t="str">
        <f t="shared" si="5"/>
        <v/>
      </c>
      <c r="E384" s="22"/>
      <c r="F384" s="22" t="str">
        <f ca="1">auto_pop!H384</f>
        <v/>
      </c>
      <c r="G384" s="33"/>
      <c r="H384" s="33"/>
    </row>
    <row r="385" spans="2:8" s="2" customFormat="1" ht="15" x14ac:dyDescent="0.25">
      <c r="B385" s="21"/>
      <c r="C385" s="22"/>
      <c r="D385" s="29" t="str">
        <f t="shared" si="5"/>
        <v/>
      </c>
      <c r="E385" s="22"/>
      <c r="F385" s="22" t="str">
        <f ca="1">auto_pop!H385</f>
        <v/>
      </c>
      <c r="G385" s="33"/>
      <c r="H385" s="33"/>
    </row>
    <row r="386" spans="2:8" s="2" customFormat="1" ht="15" x14ac:dyDescent="0.25">
      <c r="B386" s="21"/>
      <c r="C386" s="22"/>
      <c r="D386" s="29" t="str">
        <f t="shared" si="5"/>
        <v/>
      </c>
      <c r="E386" s="22"/>
      <c r="F386" s="22" t="str">
        <f ca="1">auto_pop!H386</f>
        <v/>
      </c>
      <c r="G386" s="33"/>
      <c r="H386" s="33"/>
    </row>
    <row r="387" spans="2:8" s="2" customFormat="1" ht="15" x14ac:dyDescent="0.25">
      <c r="B387" s="21"/>
      <c r="C387" s="22"/>
      <c r="D387" s="29" t="str">
        <f t="shared" si="5"/>
        <v/>
      </c>
      <c r="E387" s="22"/>
      <c r="F387" s="22" t="str">
        <f ca="1">auto_pop!H387</f>
        <v/>
      </c>
      <c r="G387" s="33"/>
      <c r="H387" s="33"/>
    </row>
    <row r="388" spans="2:8" s="2" customFormat="1" ht="15" x14ac:dyDescent="0.25">
      <c r="B388" s="21"/>
      <c r="C388" s="22"/>
      <c r="D388" s="29" t="str">
        <f t="shared" ref="D388:D451" si="6">IF(C388&lt;&gt;"", IF(OR(C388="Chapin", C388="Oatka", C388="Seneca"), "", 1), "")</f>
        <v/>
      </c>
      <c r="E388" s="22"/>
      <c r="F388" s="22" t="str">
        <f ca="1">auto_pop!H388</f>
        <v/>
      </c>
      <c r="G388" s="33"/>
      <c r="H388" s="33"/>
    </row>
    <row r="389" spans="2:8" s="2" customFormat="1" ht="15" x14ac:dyDescent="0.25">
      <c r="B389" s="21"/>
      <c r="C389" s="22"/>
      <c r="D389" s="29" t="str">
        <f t="shared" si="6"/>
        <v/>
      </c>
      <c r="E389" s="22"/>
      <c r="F389" s="22" t="str">
        <f ca="1">auto_pop!H389</f>
        <v/>
      </c>
      <c r="G389" s="33"/>
      <c r="H389" s="33"/>
    </row>
    <row r="390" spans="2:8" s="2" customFormat="1" ht="15" x14ac:dyDescent="0.25">
      <c r="B390" s="21"/>
      <c r="C390" s="22"/>
      <c r="D390" s="29" t="str">
        <f t="shared" si="6"/>
        <v/>
      </c>
      <c r="E390" s="22"/>
      <c r="F390" s="22" t="str">
        <f ca="1">auto_pop!H390</f>
        <v/>
      </c>
      <c r="G390" s="33"/>
      <c r="H390" s="33"/>
    </row>
    <row r="391" spans="2:8" s="2" customFormat="1" ht="15" x14ac:dyDescent="0.25">
      <c r="B391" s="21"/>
      <c r="C391" s="22"/>
      <c r="D391" s="29" t="str">
        <f t="shared" si="6"/>
        <v/>
      </c>
      <c r="E391" s="22"/>
      <c r="F391" s="22" t="str">
        <f ca="1">auto_pop!H391</f>
        <v/>
      </c>
      <c r="G391" s="33"/>
      <c r="H391" s="33"/>
    </row>
    <row r="392" spans="2:8" s="2" customFormat="1" ht="15" x14ac:dyDescent="0.25">
      <c r="B392" s="21"/>
      <c r="C392" s="22"/>
      <c r="D392" s="29" t="str">
        <f t="shared" si="6"/>
        <v/>
      </c>
      <c r="E392" s="22"/>
      <c r="F392" s="22" t="str">
        <f ca="1">auto_pop!H392</f>
        <v/>
      </c>
      <c r="G392" s="33"/>
      <c r="H392" s="33"/>
    </row>
    <row r="393" spans="2:8" s="2" customFormat="1" ht="15" x14ac:dyDescent="0.25">
      <c r="B393" s="21"/>
      <c r="C393" s="22"/>
      <c r="D393" s="29" t="str">
        <f t="shared" si="6"/>
        <v/>
      </c>
      <c r="E393" s="22"/>
      <c r="F393" s="22" t="str">
        <f ca="1">auto_pop!H393</f>
        <v/>
      </c>
      <c r="G393" s="33"/>
      <c r="H393" s="33"/>
    </row>
    <row r="394" spans="2:8" s="2" customFormat="1" ht="15" x14ac:dyDescent="0.25">
      <c r="B394" s="21"/>
      <c r="C394" s="22"/>
      <c r="D394" s="29" t="str">
        <f t="shared" si="6"/>
        <v/>
      </c>
      <c r="E394" s="22"/>
      <c r="F394" s="22" t="str">
        <f ca="1">auto_pop!H394</f>
        <v/>
      </c>
      <c r="G394" s="33"/>
      <c r="H394" s="33"/>
    </row>
    <row r="395" spans="2:8" s="2" customFormat="1" ht="15" x14ac:dyDescent="0.25">
      <c r="B395" s="21"/>
      <c r="C395" s="22"/>
      <c r="D395" s="29" t="str">
        <f t="shared" si="6"/>
        <v/>
      </c>
      <c r="E395" s="22"/>
      <c r="F395" s="22" t="str">
        <f ca="1">auto_pop!H395</f>
        <v/>
      </c>
      <c r="G395" s="33"/>
      <c r="H395" s="33"/>
    </row>
    <row r="396" spans="2:8" s="2" customFormat="1" ht="15" x14ac:dyDescent="0.25">
      <c r="B396" s="21"/>
      <c r="C396" s="22"/>
      <c r="D396" s="29" t="str">
        <f t="shared" si="6"/>
        <v/>
      </c>
      <c r="E396" s="22"/>
      <c r="F396" s="22" t="str">
        <f ca="1">auto_pop!H396</f>
        <v/>
      </c>
      <c r="G396" s="33"/>
      <c r="H396" s="33"/>
    </row>
    <row r="397" spans="2:8" s="2" customFormat="1" ht="15" x14ac:dyDescent="0.25">
      <c r="B397" s="21"/>
      <c r="C397" s="22"/>
      <c r="D397" s="29" t="str">
        <f t="shared" si="6"/>
        <v/>
      </c>
      <c r="E397" s="22"/>
      <c r="F397" s="22" t="str">
        <f ca="1">auto_pop!H397</f>
        <v/>
      </c>
      <c r="G397" s="33"/>
      <c r="H397" s="33"/>
    </row>
    <row r="398" spans="2:8" s="2" customFormat="1" ht="15" x14ac:dyDescent="0.25">
      <c r="B398" s="21"/>
      <c r="C398" s="22"/>
      <c r="D398" s="29" t="str">
        <f t="shared" si="6"/>
        <v/>
      </c>
      <c r="E398" s="22"/>
      <c r="F398" s="22" t="str">
        <f ca="1">auto_pop!H398</f>
        <v/>
      </c>
      <c r="G398" s="33"/>
      <c r="H398" s="33"/>
    </row>
    <row r="399" spans="2:8" s="2" customFormat="1" ht="15" x14ac:dyDescent="0.25">
      <c r="B399" s="21"/>
      <c r="C399" s="22"/>
      <c r="D399" s="29" t="str">
        <f t="shared" si="6"/>
        <v/>
      </c>
      <c r="E399" s="22"/>
      <c r="F399" s="22" t="str">
        <f ca="1">auto_pop!H399</f>
        <v/>
      </c>
      <c r="G399" s="33"/>
      <c r="H399" s="33"/>
    </row>
    <row r="400" spans="2:8" s="2" customFormat="1" ht="15" x14ac:dyDescent="0.25">
      <c r="B400" s="21"/>
      <c r="C400" s="22"/>
      <c r="D400" s="29" t="str">
        <f t="shared" si="6"/>
        <v/>
      </c>
      <c r="E400" s="22"/>
      <c r="F400" s="22" t="str">
        <f ca="1">auto_pop!H400</f>
        <v/>
      </c>
      <c r="G400" s="33"/>
      <c r="H400" s="33"/>
    </row>
    <row r="401" spans="2:8" s="2" customFormat="1" ht="15" x14ac:dyDescent="0.25">
      <c r="B401" s="21"/>
      <c r="C401" s="22"/>
      <c r="D401" s="29" t="str">
        <f t="shared" si="6"/>
        <v/>
      </c>
      <c r="E401" s="22"/>
      <c r="F401" s="22" t="str">
        <f ca="1">auto_pop!H401</f>
        <v/>
      </c>
      <c r="G401" s="33"/>
      <c r="H401" s="33"/>
    </row>
    <row r="402" spans="2:8" s="2" customFormat="1" ht="15" x14ac:dyDescent="0.25">
      <c r="B402" s="21"/>
      <c r="C402" s="22"/>
      <c r="D402" s="29" t="str">
        <f t="shared" si="6"/>
        <v/>
      </c>
      <c r="E402" s="22"/>
      <c r="F402" s="22" t="str">
        <f ca="1">auto_pop!H402</f>
        <v/>
      </c>
      <c r="G402" s="33"/>
      <c r="H402" s="33"/>
    </row>
    <row r="403" spans="2:8" s="2" customFormat="1" ht="15" x14ac:dyDescent="0.25">
      <c r="B403" s="21"/>
      <c r="C403" s="22"/>
      <c r="D403" s="29" t="str">
        <f t="shared" si="6"/>
        <v/>
      </c>
      <c r="E403" s="22"/>
      <c r="F403" s="22" t="str">
        <f ca="1">auto_pop!H403</f>
        <v/>
      </c>
      <c r="G403" s="33"/>
      <c r="H403" s="33"/>
    </row>
    <row r="404" spans="2:8" s="2" customFormat="1" ht="15" x14ac:dyDescent="0.25">
      <c r="B404" s="21"/>
      <c r="C404" s="22"/>
      <c r="D404" s="29" t="str">
        <f t="shared" si="6"/>
        <v/>
      </c>
      <c r="E404" s="22"/>
      <c r="F404" s="22" t="str">
        <f ca="1">auto_pop!H404</f>
        <v/>
      </c>
      <c r="G404" s="33"/>
      <c r="H404" s="33"/>
    </row>
    <row r="405" spans="2:8" s="2" customFormat="1" ht="15" x14ac:dyDescent="0.25">
      <c r="B405" s="21"/>
      <c r="C405" s="22"/>
      <c r="D405" s="29" t="str">
        <f t="shared" si="6"/>
        <v/>
      </c>
      <c r="E405" s="22"/>
      <c r="F405" s="22" t="str">
        <f ca="1">auto_pop!H405</f>
        <v/>
      </c>
      <c r="G405" s="33"/>
      <c r="H405" s="33"/>
    </row>
    <row r="406" spans="2:8" s="2" customFormat="1" ht="15" x14ac:dyDescent="0.25">
      <c r="B406" s="21"/>
      <c r="C406" s="22"/>
      <c r="D406" s="29" t="str">
        <f t="shared" si="6"/>
        <v/>
      </c>
      <c r="E406" s="22"/>
      <c r="F406" s="22" t="str">
        <f ca="1">auto_pop!H406</f>
        <v/>
      </c>
      <c r="G406" s="33"/>
      <c r="H406" s="33"/>
    </row>
    <row r="407" spans="2:8" s="2" customFormat="1" ht="15" x14ac:dyDescent="0.25">
      <c r="B407" s="21"/>
      <c r="C407" s="22"/>
      <c r="D407" s="29" t="str">
        <f t="shared" si="6"/>
        <v/>
      </c>
      <c r="E407" s="22"/>
      <c r="F407" s="22" t="str">
        <f ca="1">auto_pop!H407</f>
        <v/>
      </c>
      <c r="G407" s="33"/>
      <c r="H407" s="33"/>
    </row>
    <row r="408" spans="2:8" s="2" customFormat="1" ht="15" x14ac:dyDescent="0.25">
      <c r="B408" s="21"/>
      <c r="C408" s="22"/>
      <c r="D408" s="29" t="str">
        <f t="shared" si="6"/>
        <v/>
      </c>
      <c r="E408" s="22"/>
      <c r="F408" s="22" t="str">
        <f ca="1">auto_pop!H408</f>
        <v/>
      </c>
      <c r="G408" s="33"/>
      <c r="H408" s="33"/>
    </row>
    <row r="409" spans="2:8" s="2" customFormat="1" ht="15" x14ac:dyDescent="0.25">
      <c r="B409" s="21"/>
      <c r="C409" s="22"/>
      <c r="D409" s="29" t="str">
        <f t="shared" si="6"/>
        <v/>
      </c>
      <c r="E409" s="22"/>
      <c r="F409" s="22" t="str">
        <f ca="1">auto_pop!H409</f>
        <v/>
      </c>
      <c r="G409" s="33"/>
      <c r="H409" s="33"/>
    </row>
    <row r="410" spans="2:8" s="2" customFormat="1" ht="15" x14ac:dyDescent="0.25">
      <c r="B410" s="21"/>
      <c r="C410" s="22"/>
      <c r="D410" s="29" t="str">
        <f t="shared" si="6"/>
        <v/>
      </c>
      <c r="E410" s="22"/>
      <c r="F410" s="22" t="str">
        <f ca="1">auto_pop!H410</f>
        <v/>
      </c>
      <c r="G410" s="33"/>
      <c r="H410" s="33"/>
    </row>
    <row r="411" spans="2:8" s="2" customFormat="1" ht="15" x14ac:dyDescent="0.25">
      <c r="B411" s="21"/>
      <c r="C411" s="22"/>
      <c r="D411" s="29" t="str">
        <f t="shared" si="6"/>
        <v/>
      </c>
      <c r="E411" s="22"/>
      <c r="F411" s="22" t="str">
        <f ca="1">auto_pop!H411</f>
        <v/>
      </c>
      <c r="G411" s="33"/>
      <c r="H411" s="33"/>
    </row>
    <row r="412" spans="2:8" s="2" customFormat="1" ht="15" x14ac:dyDescent="0.25">
      <c r="B412" s="21"/>
      <c r="C412" s="22"/>
      <c r="D412" s="29" t="str">
        <f t="shared" si="6"/>
        <v/>
      </c>
      <c r="E412" s="22"/>
      <c r="F412" s="22" t="str">
        <f ca="1">auto_pop!H412</f>
        <v/>
      </c>
      <c r="G412" s="33"/>
      <c r="H412" s="33"/>
    </row>
    <row r="413" spans="2:8" s="2" customFormat="1" ht="15" x14ac:dyDescent="0.25">
      <c r="B413" s="21"/>
      <c r="C413" s="22"/>
      <c r="D413" s="29" t="str">
        <f t="shared" si="6"/>
        <v/>
      </c>
      <c r="E413" s="22"/>
      <c r="F413" s="22" t="str">
        <f ca="1">auto_pop!H413</f>
        <v/>
      </c>
      <c r="G413" s="33"/>
      <c r="H413" s="33"/>
    </row>
    <row r="414" spans="2:8" s="2" customFormat="1" ht="15" x14ac:dyDescent="0.25">
      <c r="B414" s="21"/>
      <c r="C414" s="22"/>
      <c r="D414" s="29" t="str">
        <f t="shared" si="6"/>
        <v/>
      </c>
      <c r="E414" s="22"/>
      <c r="F414" s="22" t="str">
        <f ca="1">auto_pop!H414</f>
        <v/>
      </c>
      <c r="G414" s="33"/>
      <c r="H414" s="33"/>
    </row>
    <row r="415" spans="2:8" s="2" customFormat="1" ht="15" x14ac:dyDescent="0.25">
      <c r="B415" s="21"/>
      <c r="C415" s="22"/>
      <c r="D415" s="29" t="str">
        <f t="shared" si="6"/>
        <v/>
      </c>
      <c r="E415" s="22"/>
      <c r="F415" s="22" t="str">
        <f ca="1">auto_pop!H415</f>
        <v/>
      </c>
      <c r="G415" s="33"/>
      <c r="H415" s="33"/>
    </row>
    <row r="416" spans="2:8" s="2" customFormat="1" ht="15" x14ac:dyDescent="0.25">
      <c r="B416" s="21"/>
      <c r="C416" s="22"/>
      <c r="D416" s="29" t="str">
        <f t="shared" si="6"/>
        <v/>
      </c>
      <c r="E416" s="22"/>
      <c r="F416" s="22" t="str">
        <f ca="1">auto_pop!H416</f>
        <v/>
      </c>
      <c r="G416" s="33"/>
      <c r="H416" s="33"/>
    </row>
    <row r="417" spans="2:8" s="2" customFormat="1" ht="15" x14ac:dyDescent="0.25">
      <c r="B417" s="21"/>
      <c r="C417" s="22"/>
      <c r="D417" s="29" t="str">
        <f t="shared" si="6"/>
        <v/>
      </c>
      <c r="E417" s="22"/>
      <c r="F417" s="22" t="str">
        <f ca="1">auto_pop!H417</f>
        <v/>
      </c>
      <c r="G417" s="33"/>
      <c r="H417" s="33"/>
    </row>
    <row r="418" spans="2:8" s="2" customFormat="1" ht="15" x14ac:dyDescent="0.25">
      <c r="B418" s="21"/>
      <c r="C418" s="22"/>
      <c r="D418" s="29" t="str">
        <f t="shared" si="6"/>
        <v/>
      </c>
      <c r="E418" s="22"/>
      <c r="F418" s="22" t="str">
        <f ca="1">auto_pop!H418</f>
        <v/>
      </c>
      <c r="G418" s="33"/>
      <c r="H418" s="33"/>
    </row>
    <row r="419" spans="2:8" s="2" customFormat="1" ht="15" x14ac:dyDescent="0.25">
      <c r="B419" s="21"/>
      <c r="C419" s="22"/>
      <c r="D419" s="29" t="str">
        <f t="shared" si="6"/>
        <v/>
      </c>
      <c r="E419" s="22"/>
      <c r="F419" s="22" t="str">
        <f ca="1">auto_pop!H419</f>
        <v/>
      </c>
      <c r="G419" s="33"/>
      <c r="H419" s="33"/>
    </row>
    <row r="420" spans="2:8" s="2" customFormat="1" ht="15" x14ac:dyDescent="0.25">
      <c r="B420" s="21"/>
      <c r="C420" s="22"/>
      <c r="D420" s="29" t="str">
        <f t="shared" si="6"/>
        <v/>
      </c>
      <c r="E420" s="22"/>
      <c r="F420" s="22" t="str">
        <f ca="1">auto_pop!H420</f>
        <v/>
      </c>
      <c r="G420" s="33"/>
      <c r="H420" s="33"/>
    </row>
    <row r="421" spans="2:8" s="2" customFormat="1" ht="15" x14ac:dyDescent="0.25">
      <c r="B421" s="21"/>
      <c r="C421" s="22"/>
      <c r="D421" s="29" t="str">
        <f t="shared" si="6"/>
        <v/>
      </c>
      <c r="E421" s="22"/>
      <c r="F421" s="22" t="str">
        <f ca="1">auto_pop!H421</f>
        <v/>
      </c>
      <c r="G421" s="33"/>
      <c r="H421" s="33"/>
    </row>
    <row r="422" spans="2:8" s="2" customFormat="1" ht="15" x14ac:dyDescent="0.25">
      <c r="B422" s="21"/>
      <c r="C422" s="22"/>
      <c r="D422" s="29" t="str">
        <f t="shared" si="6"/>
        <v/>
      </c>
      <c r="E422" s="22"/>
      <c r="F422" s="22" t="str">
        <f ca="1">auto_pop!H422</f>
        <v/>
      </c>
      <c r="G422" s="33"/>
      <c r="H422" s="33"/>
    </row>
    <row r="423" spans="2:8" s="2" customFormat="1" ht="15" x14ac:dyDescent="0.25">
      <c r="B423" s="21"/>
      <c r="C423" s="22"/>
      <c r="D423" s="29" t="str">
        <f t="shared" si="6"/>
        <v/>
      </c>
      <c r="E423" s="22"/>
      <c r="F423" s="22" t="str">
        <f ca="1">auto_pop!H423</f>
        <v/>
      </c>
      <c r="G423" s="33"/>
      <c r="H423" s="33"/>
    </row>
    <row r="424" spans="2:8" s="2" customFormat="1" ht="15" x14ac:dyDescent="0.25">
      <c r="B424" s="21"/>
      <c r="C424" s="22"/>
      <c r="D424" s="29" t="str">
        <f t="shared" si="6"/>
        <v/>
      </c>
      <c r="E424" s="22"/>
      <c r="F424" s="22" t="str">
        <f ca="1">auto_pop!H424</f>
        <v/>
      </c>
      <c r="G424" s="33"/>
      <c r="H424" s="33"/>
    </row>
    <row r="425" spans="2:8" s="2" customFormat="1" ht="15" x14ac:dyDescent="0.25">
      <c r="B425" s="21"/>
      <c r="C425" s="22"/>
      <c r="D425" s="29" t="str">
        <f t="shared" si="6"/>
        <v/>
      </c>
      <c r="E425" s="22"/>
      <c r="F425" s="22" t="str">
        <f ca="1">auto_pop!H425</f>
        <v/>
      </c>
      <c r="G425" s="33"/>
      <c r="H425" s="33"/>
    </row>
    <row r="426" spans="2:8" s="2" customFormat="1" ht="15" x14ac:dyDescent="0.25">
      <c r="B426" s="21"/>
      <c r="C426" s="22"/>
      <c r="D426" s="29" t="str">
        <f t="shared" si="6"/>
        <v/>
      </c>
      <c r="E426" s="22"/>
      <c r="F426" s="22" t="str">
        <f ca="1">auto_pop!H426</f>
        <v/>
      </c>
      <c r="G426" s="33"/>
      <c r="H426" s="33"/>
    </row>
    <row r="427" spans="2:8" s="2" customFormat="1" ht="15" x14ac:dyDescent="0.25">
      <c r="B427" s="21"/>
      <c r="C427" s="22"/>
      <c r="D427" s="29" t="str">
        <f t="shared" si="6"/>
        <v/>
      </c>
      <c r="E427" s="22"/>
      <c r="F427" s="22" t="str">
        <f ca="1">auto_pop!H427</f>
        <v/>
      </c>
      <c r="G427" s="33"/>
      <c r="H427" s="33"/>
    </row>
    <row r="428" spans="2:8" s="2" customFormat="1" ht="15" x14ac:dyDescent="0.25">
      <c r="B428" s="21"/>
      <c r="C428" s="22"/>
      <c r="D428" s="29" t="str">
        <f t="shared" si="6"/>
        <v/>
      </c>
      <c r="E428" s="22"/>
      <c r="F428" s="22" t="str">
        <f ca="1">auto_pop!H428</f>
        <v/>
      </c>
      <c r="G428" s="33"/>
      <c r="H428" s="33"/>
    </row>
    <row r="429" spans="2:8" s="2" customFormat="1" ht="15" x14ac:dyDescent="0.25">
      <c r="B429" s="21"/>
      <c r="C429" s="22"/>
      <c r="D429" s="29" t="str">
        <f t="shared" si="6"/>
        <v/>
      </c>
      <c r="E429" s="22"/>
      <c r="F429" s="22" t="str">
        <f ca="1">auto_pop!H429</f>
        <v/>
      </c>
      <c r="G429" s="33"/>
      <c r="H429" s="33"/>
    </row>
    <row r="430" spans="2:8" s="2" customFormat="1" ht="15" x14ac:dyDescent="0.25">
      <c r="B430" s="21"/>
      <c r="C430" s="22"/>
      <c r="D430" s="29" t="str">
        <f t="shared" si="6"/>
        <v/>
      </c>
      <c r="E430" s="22"/>
      <c r="F430" s="22" t="str">
        <f ca="1">auto_pop!H430</f>
        <v/>
      </c>
      <c r="G430" s="33"/>
      <c r="H430" s="33"/>
    </row>
    <row r="431" spans="2:8" s="2" customFormat="1" ht="15" x14ac:dyDescent="0.25">
      <c r="B431" s="21"/>
      <c r="C431" s="22"/>
      <c r="D431" s="29" t="str">
        <f t="shared" si="6"/>
        <v/>
      </c>
      <c r="E431" s="22"/>
      <c r="F431" s="22" t="str">
        <f ca="1">auto_pop!H431</f>
        <v/>
      </c>
      <c r="G431" s="33"/>
      <c r="H431" s="33"/>
    </row>
    <row r="432" spans="2:8" s="2" customFormat="1" ht="15" x14ac:dyDescent="0.25">
      <c r="B432" s="21"/>
      <c r="C432" s="22"/>
      <c r="D432" s="29" t="str">
        <f t="shared" si="6"/>
        <v/>
      </c>
      <c r="E432" s="22"/>
      <c r="F432" s="22" t="str">
        <f ca="1">auto_pop!H432</f>
        <v/>
      </c>
      <c r="G432" s="33"/>
      <c r="H432" s="33"/>
    </row>
    <row r="433" spans="2:8" s="2" customFormat="1" ht="15" x14ac:dyDescent="0.25">
      <c r="B433" s="21"/>
      <c r="C433" s="22"/>
      <c r="D433" s="29" t="str">
        <f t="shared" si="6"/>
        <v/>
      </c>
      <c r="E433" s="22"/>
      <c r="F433" s="22" t="str">
        <f ca="1">auto_pop!H433</f>
        <v/>
      </c>
      <c r="G433" s="33"/>
      <c r="H433" s="33"/>
    </row>
    <row r="434" spans="2:8" s="2" customFormat="1" ht="15" x14ac:dyDescent="0.25">
      <c r="B434" s="21"/>
      <c r="C434" s="22"/>
      <c r="D434" s="29" t="str">
        <f t="shared" si="6"/>
        <v/>
      </c>
      <c r="E434" s="22"/>
      <c r="F434" s="22" t="str">
        <f ca="1">auto_pop!H434</f>
        <v/>
      </c>
      <c r="G434" s="33"/>
      <c r="H434" s="33"/>
    </row>
    <row r="435" spans="2:8" s="2" customFormat="1" ht="15" x14ac:dyDescent="0.25">
      <c r="B435" s="21"/>
      <c r="C435" s="22"/>
      <c r="D435" s="29" t="str">
        <f t="shared" si="6"/>
        <v/>
      </c>
      <c r="E435" s="22"/>
      <c r="F435" s="22" t="str">
        <f ca="1">auto_pop!H435</f>
        <v/>
      </c>
      <c r="G435" s="33"/>
      <c r="H435" s="33"/>
    </row>
    <row r="436" spans="2:8" s="2" customFormat="1" ht="15" x14ac:dyDescent="0.25">
      <c r="B436" s="21"/>
      <c r="C436" s="22"/>
      <c r="D436" s="29" t="str">
        <f t="shared" si="6"/>
        <v/>
      </c>
      <c r="E436" s="22"/>
      <c r="F436" s="22" t="str">
        <f ca="1">auto_pop!H436</f>
        <v/>
      </c>
      <c r="G436" s="33"/>
      <c r="H436" s="33"/>
    </row>
    <row r="437" spans="2:8" s="2" customFormat="1" ht="15" x14ac:dyDescent="0.25">
      <c r="B437" s="21"/>
      <c r="C437" s="22"/>
      <c r="D437" s="29" t="str">
        <f t="shared" si="6"/>
        <v/>
      </c>
      <c r="E437" s="22"/>
      <c r="F437" s="22" t="str">
        <f ca="1">auto_pop!H437</f>
        <v/>
      </c>
      <c r="G437" s="33"/>
      <c r="H437" s="33"/>
    </row>
    <row r="438" spans="2:8" s="2" customFormat="1" ht="15" x14ac:dyDescent="0.25">
      <c r="B438" s="21"/>
      <c r="C438" s="22"/>
      <c r="D438" s="29" t="str">
        <f t="shared" si="6"/>
        <v/>
      </c>
      <c r="E438" s="22"/>
      <c r="F438" s="22" t="str">
        <f ca="1">auto_pop!H438</f>
        <v/>
      </c>
      <c r="G438" s="33"/>
      <c r="H438" s="33"/>
    </row>
    <row r="439" spans="2:8" s="2" customFormat="1" ht="15" x14ac:dyDescent="0.25">
      <c r="B439" s="21"/>
      <c r="C439" s="22"/>
      <c r="D439" s="29" t="str">
        <f t="shared" si="6"/>
        <v/>
      </c>
      <c r="E439" s="22"/>
      <c r="F439" s="22" t="str">
        <f ca="1">auto_pop!H439</f>
        <v/>
      </c>
      <c r="G439" s="33"/>
      <c r="H439" s="33"/>
    </row>
    <row r="440" spans="2:8" s="2" customFormat="1" ht="15" x14ac:dyDescent="0.25">
      <c r="B440" s="21"/>
      <c r="C440" s="22"/>
      <c r="D440" s="29" t="str">
        <f t="shared" si="6"/>
        <v/>
      </c>
      <c r="E440" s="22"/>
      <c r="F440" s="22" t="str">
        <f ca="1">auto_pop!H440</f>
        <v/>
      </c>
      <c r="G440" s="33"/>
      <c r="H440" s="33"/>
    </row>
    <row r="441" spans="2:8" s="2" customFormat="1" ht="15" x14ac:dyDescent="0.25">
      <c r="B441" s="21"/>
      <c r="C441" s="22"/>
      <c r="D441" s="29" t="str">
        <f t="shared" si="6"/>
        <v/>
      </c>
      <c r="E441" s="22"/>
      <c r="F441" s="22" t="str">
        <f ca="1">auto_pop!H441</f>
        <v/>
      </c>
      <c r="G441" s="33"/>
      <c r="H441" s="33"/>
    </row>
    <row r="442" spans="2:8" s="2" customFormat="1" ht="15" x14ac:dyDescent="0.25">
      <c r="B442" s="21"/>
      <c r="C442" s="22"/>
      <c r="D442" s="29" t="str">
        <f t="shared" si="6"/>
        <v/>
      </c>
      <c r="E442" s="22"/>
      <c r="F442" s="22" t="str">
        <f ca="1">auto_pop!H442</f>
        <v/>
      </c>
      <c r="G442" s="33"/>
      <c r="H442" s="33"/>
    </row>
    <row r="443" spans="2:8" s="2" customFormat="1" ht="15" x14ac:dyDescent="0.25">
      <c r="B443" s="21"/>
      <c r="C443" s="22"/>
      <c r="D443" s="29" t="str">
        <f t="shared" si="6"/>
        <v/>
      </c>
      <c r="E443" s="22"/>
      <c r="F443" s="22" t="str">
        <f ca="1">auto_pop!H443</f>
        <v/>
      </c>
      <c r="G443" s="33"/>
      <c r="H443" s="33"/>
    </row>
    <row r="444" spans="2:8" s="2" customFormat="1" ht="15" x14ac:dyDescent="0.25">
      <c r="B444" s="21"/>
      <c r="C444" s="22"/>
      <c r="D444" s="29" t="str">
        <f t="shared" si="6"/>
        <v/>
      </c>
      <c r="E444" s="22"/>
      <c r="F444" s="22" t="str">
        <f ca="1">auto_pop!H444</f>
        <v/>
      </c>
      <c r="G444" s="33"/>
      <c r="H444" s="33"/>
    </row>
    <row r="445" spans="2:8" s="2" customFormat="1" ht="15" x14ac:dyDescent="0.25">
      <c r="B445" s="21"/>
      <c r="C445" s="22"/>
      <c r="D445" s="29" t="str">
        <f t="shared" si="6"/>
        <v/>
      </c>
      <c r="E445" s="22"/>
      <c r="F445" s="22" t="str">
        <f ca="1">auto_pop!H445</f>
        <v/>
      </c>
      <c r="G445" s="33"/>
      <c r="H445" s="33"/>
    </row>
    <row r="446" spans="2:8" s="2" customFormat="1" ht="15" x14ac:dyDescent="0.25">
      <c r="B446" s="21"/>
      <c r="C446" s="22"/>
      <c r="D446" s="29" t="str">
        <f t="shared" si="6"/>
        <v/>
      </c>
      <c r="E446" s="22"/>
      <c r="F446" s="22" t="str">
        <f ca="1">auto_pop!H446</f>
        <v/>
      </c>
      <c r="G446" s="33"/>
      <c r="H446" s="33"/>
    </row>
    <row r="447" spans="2:8" s="2" customFormat="1" ht="15" x14ac:dyDescent="0.25">
      <c r="B447" s="21"/>
      <c r="C447" s="22"/>
      <c r="D447" s="29" t="str">
        <f t="shared" si="6"/>
        <v/>
      </c>
      <c r="E447" s="22"/>
      <c r="F447" s="22" t="str">
        <f ca="1">auto_pop!H447</f>
        <v/>
      </c>
      <c r="G447" s="33"/>
      <c r="H447" s="33"/>
    </row>
    <row r="448" spans="2:8" s="2" customFormat="1" ht="15" x14ac:dyDescent="0.25">
      <c r="B448" s="21"/>
      <c r="C448" s="22"/>
      <c r="D448" s="29" t="str">
        <f t="shared" si="6"/>
        <v/>
      </c>
      <c r="E448" s="22"/>
      <c r="F448" s="22" t="str">
        <f ca="1">auto_pop!H448</f>
        <v/>
      </c>
      <c r="G448" s="33"/>
      <c r="H448" s="33"/>
    </row>
    <row r="449" spans="2:8" s="2" customFormat="1" ht="15" x14ac:dyDescent="0.25">
      <c r="B449" s="21"/>
      <c r="C449" s="22"/>
      <c r="D449" s="29" t="str">
        <f t="shared" si="6"/>
        <v/>
      </c>
      <c r="E449" s="22"/>
      <c r="F449" s="22" t="str">
        <f ca="1">auto_pop!H449</f>
        <v/>
      </c>
      <c r="G449" s="33"/>
      <c r="H449" s="33"/>
    </row>
    <row r="450" spans="2:8" s="2" customFormat="1" ht="15" x14ac:dyDescent="0.25">
      <c r="B450" s="21"/>
      <c r="C450" s="22"/>
      <c r="D450" s="29" t="str">
        <f t="shared" si="6"/>
        <v/>
      </c>
      <c r="E450" s="22"/>
      <c r="F450" s="22" t="str">
        <f ca="1">auto_pop!H450</f>
        <v/>
      </c>
      <c r="G450" s="33"/>
      <c r="H450" s="33"/>
    </row>
    <row r="451" spans="2:8" s="2" customFormat="1" ht="15" x14ac:dyDescent="0.25">
      <c r="B451" s="21"/>
      <c r="C451" s="22"/>
      <c r="D451" s="29" t="str">
        <f t="shared" si="6"/>
        <v/>
      </c>
      <c r="E451" s="22"/>
      <c r="F451" s="22" t="str">
        <f ca="1">auto_pop!H451</f>
        <v/>
      </c>
      <c r="G451" s="33"/>
      <c r="H451" s="33"/>
    </row>
    <row r="452" spans="2:8" s="2" customFormat="1" ht="15" x14ac:dyDescent="0.25">
      <c r="B452" s="21"/>
      <c r="C452" s="22"/>
      <c r="D452" s="29" t="str">
        <f t="shared" ref="D452:D515" si="7">IF(C452&lt;&gt;"", IF(OR(C452="Chapin", C452="Oatka", C452="Seneca"), "", 1), "")</f>
        <v/>
      </c>
      <c r="E452" s="22"/>
      <c r="F452" s="22" t="str">
        <f ca="1">auto_pop!H452</f>
        <v/>
      </c>
      <c r="G452" s="33"/>
      <c r="H452" s="33"/>
    </row>
    <row r="453" spans="2:8" s="2" customFormat="1" ht="15" x14ac:dyDescent="0.25">
      <c r="B453" s="21"/>
      <c r="C453" s="22"/>
      <c r="D453" s="29" t="str">
        <f t="shared" si="7"/>
        <v/>
      </c>
      <c r="E453" s="22"/>
      <c r="F453" s="22" t="str">
        <f ca="1">auto_pop!H453</f>
        <v/>
      </c>
      <c r="G453" s="33"/>
      <c r="H453" s="33"/>
    </row>
    <row r="454" spans="2:8" s="2" customFormat="1" ht="15" x14ac:dyDescent="0.25">
      <c r="B454" s="21"/>
      <c r="C454" s="22"/>
      <c r="D454" s="29" t="str">
        <f t="shared" si="7"/>
        <v/>
      </c>
      <c r="E454" s="22"/>
      <c r="F454" s="22" t="str">
        <f ca="1">auto_pop!H454</f>
        <v/>
      </c>
      <c r="G454" s="33"/>
      <c r="H454" s="33"/>
    </row>
    <row r="455" spans="2:8" s="2" customFormat="1" ht="15" x14ac:dyDescent="0.25">
      <c r="B455" s="21"/>
      <c r="C455" s="22"/>
      <c r="D455" s="29" t="str">
        <f t="shared" si="7"/>
        <v/>
      </c>
      <c r="E455" s="22"/>
      <c r="F455" s="22" t="str">
        <f ca="1">auto_pop!H455</f>
        <v/>
      </c>
      <c r="G455" s="33"/>
      <c r="H455" s="33"/>
    </row>
    <row r="456" spans="2:8" s="2" customFormat="1" ht="15" x14ac:dyDescent="0.25">
      <c r="B456" s="21"/>
      <c r="C456" s="22"/>
      <c r="D456" s="29" t="str">
        <f t="shared" si="7"/>
        <v/>
      </c>
      <c r="E456" s="22"/>
      <c r="F456" s="22" t="str">
        <f ca="1">auto_pop!H456</f>
        <v/>
      </c>
      <c r="G456" s="33"/>
      <c r="H456" s="33"/>
    </row>
    <row r="457" spans="2:8" s="2" customFormat="1" ht="15" x14ac:dyDescent="0.25">
      <c r="B457" s="21"/>
      <c r="C457" s="22"/>
      <c r="D457" s="29" t="str">
        <f t="shared" si="7"/>
        <v/>
      </c>
      <c r="E457" s="22"/>
      <c r="F457" s="22" t="str">
        <f ca="1">auto_pop!H457</f>
        <v/>
      </c>
      <c r="G457" s="33"/>
      <c r="H457" s="33"/>
    </row>
    <row r="458" spans="2:8" s="2" customFormat="1" ht="15" x14ac:dyDescent="0.25">
      <c r="B458" s="21"/>
      <c r="C458" s="22"/>
      <c r="D458" s="29" t="str">
        <f t="shared" si="7"/>
        <v/>
      </c>
      <c r="E458" s="22"/>
      <c r="F458" s="22" t="str">
        <f ca="1">auto_pop!H458</f>
        <v/>
      </c>
      <c r="G458" s="33"/>
      <c r="H458" s="33"/>
    </row>
    <row r="459" spans="2:8" s="2" customFormat="1" ht="15" x14ac:dyDescent="0.25">
      <c r="B459" s="21"/>
      <c r="C459" s="22"/>
      <c r="D459" s="29" t="str">
        <f t="shared" si="7"/>
        <v/>
      </c>
      <c r="E459" s="22"/>
      <c r="F459" s="22" t="str">
        <f ca="1">auto_pop!H459</f>
        <v/>
      </c>
      <c r="G459" s="33"/>
      <c r="H459" s="33"/>
    </row>
    <row r="460" spans="2:8" s="2" customFormat="1" ht="15" x14ac:dyDescent="0.25">
      <c r="B460" s="21"/>
      <c r="C460" s="22"/>
      <c r="D460" s="29" t="str">
        <f t="shared" si="7"/>
        <v/>
      </c>
      <c r="E460" s="22"/>
      <c r="F460" s="22" t="str">
        <f ca="1">auto_pop!H460</f>
        <v/>
      </c>
      <c r="G460" s="33"/>
      <c r="H460" s="33"/>
    </row>
    <row r="461" spans="2:8" s="2" customFormat="1" ht="15" x14ac:dyDescent="0.25">
      <c r="B461" s="21"/>
      <c r="C461" s="22"/>
      <c r="D461" s="29" t="str">
        <f t="shared" si="7"/>
        <v/>
      </c>
      <c r="E461" s="22"/>
      <c r="F461" s="22" t="str">
        <f ca="1">auto_pop!H461</f>
        <v/>
      </c>
      <c r="G461" s="33"/>
      <c r="H461" s="33"/>
    </row>
    <row r="462" spans="2:8" s="2" customFormat="1" ht="15" x14ac:dyDescent="0.25">
      <c r="B462" s="21"/>
      <c r="C462" s="22"/>
      <c r="D462" s="29" t="str">
        <f t="shared" si="7"/>
        <v/>
      </c>
      <c r="E462" s="22"/>
      <c r="F462" s="22" t="str">
        <f ca="1">auto_pop!H462</f>
        <v/>
      </c>
      <c r="G462" s="33"/>
      <c r="H462" s="33"/>
    </row>
    <row r="463" spans="2:8" s="2" customFormat="1" ht="15" x14ac:dyDescent="0.25">
      <c r="B463" s="21"/>
      <c r="C463" s="22"/>
      <c r="D463" s="29" t="str">
        <f t="shared" si="7"/>
        <v/>
      </c>
      <c r="E463" s="22"/>
      <c r="F463" s="22" t="str">
        <f ca="1">auto_pop!H463</f>
        <v/>
      </c>
      <c r="G463" s="33"/>
      <c r="H463" s="33"/>
    </row>
    <row r="464" spans="2:8" s="2" customFormat="1" ht="15" x14ac:dyDescent="0.25">
      <c r="B464" s="21"/>
      <c r="C464" s="22"/>
      <c r="D464" s="29" t="str">
        <f t="shared" si="7"/>
        <v/>
      </c>
      <c r="E464" s="22"/>
      <c r="F464" s="22" t="str">
        <f ca="1">auto_pop!H464</f>
        <v/>
      </c>
      <c r="G464" s="33"/>
      <c r="H464" s="33"/>
    </row>
    <row r="465" spans="2:8" s="2" customFormat="1" ht="15" x14ac:dyDescent="0.25">
      <c r="B465" s="21"/>
      <c r="C465" s="22"/>
      <c r="D465" s="29" t="str">
        <f t="shared" si="7"/>
        <v/>
      </c>
      <c r="E465" s="22"/>
      <c r="F465" s="22" t="str">
        <f ca="1">auto_pop!H465</f>
        <v/>
      </c>
      <c r="G465" s="33"/>
      <c r="H465" s="33"/>
    </row>
    <row r="466" spans="2:8" s="2" customFormat="1" ht="15" x14ac:dyDescent="0.25">
      <c r="B466" s="21"/>
      <c r="C466" s="22"/>
      <c r="D466" s="29" t="str">
        <f t="shared" si="7"/>
        <v/>
      </c>
      <c r="E466" s="22"/>
      <c r="F466" s="22" t="str">
        <f ca="1">auto_pop!H466</f>
        <v/>
      </c>
      <c r="G466" s="33"/>
      <c r="H466" s="33"/>
    </row>
    <row r="467" spans="2:8" s="2" customFormat="1" ht="15" x14ac:dyDescent="0.25">
      <c r="B467" s="21"/>
      <c r="C467" s="22"/>
      <c r="D467" s="29" t="str">
        <f t="shared" si="7"/>
        <v/>
      </c>
      <c r="E467" s="22"/>
      <c r="F467" s="22" t="str">
        <f ca="1">auto_pop!H467</f>
        <v/>
      </c>
      <c r="G467" s="33"/>
      <c r="H467" s="33"/>
    </row>
    <row r="468" spans="2:8" s="2" customFormat="1" ht="15" x14ac:dyDescent="0.25">
      <c r="B468" s="21"/>
      <c r="C468" s="22"/>
      <c r="D468" s="29" t="str">
        <f t="shared" si="7"/>
        <v/>
      </c>
      <c r="E468" s="22"/>
      <c r="F468" s="22" t="str">
        <f ca="1">auto_pop!H468</f>
        <v/>
      </c>
      <c r="G468" s="33"/>
      <c r="H468" s="33"/>
    </row>
    <row r="469" spans="2:8" s="2" customFormat="1" ht="15" x14ac:dyDescent="0.25">
      <c r="B469" s="21"/>
      <c r="C469" s="22"/>
      <c r="D469" s="29" t="str">
        <f t="shared" si="7"/>
        <v/>
      </c>
      <c r="E469" s="22"/>
      <c r="F469" s="22" t="str">
        <f ca="1">auto_pop!H469</f>
        <v/>
      </c>
      <c r="G469" s="33"/>
      <c r="H469" s="33"/>
    </row>
    <row r="470" spans="2:8" s="2" customFormat="1" ht="15" x14ac:dyDescent="0.25">
      <c r="B470" s="21"/>
      <c r="C470" s="22"/>
      <c r="D470" s="29" t="str">
        <f t="shared" si="7"/>
        <v/>
      </c>
      <c r="E470" s="22"/>
      <c r="F470" s="22" t="str">
        <f ca="1">auto_pop!H470</f>
        <v/>
      </c>
      <c r="G470" s="33"/>
      <c r="H470" s="33"/>
    </row>
    <row r="471" spans="2:8" s="2" customFormat="1" ht="15" x14ac:dyDescent="0.25">
      <c r="B471" s="21"/>
      <c r="C471" s="22"/>
      <c r="D471" s="29" t="str">
        <f t="shared" si="7"/>
        <v/>
      </c>
      <c r="E471" s="22"/>
      <c r="F471" s="22" t="str">
        <f ca="1">auto_pop!H471</f>
        <v/>
      </c>
      <c r="G471" s="33"/>
      <c r="H471" s="33"/>
    </row>
    <row r="472" spans="2:8" s="2" customFormat="1" ht="15" x14ac:dyDescent="0.25">
      <c r="B472" s="21"/>
      <c r="C472" s="22"/>
      <c r="D472" s="29" t="str">
        <f t="shared" si="7"/>
        <v/>
      </c>
      <c r="E472" s="22"/>
      <c r="F472" s="22" t="str">
        <f ca="1">auto_pop!H472</f>
        <v/>
      </c>
      <c r="G472" s="33"/>
      <c r="H472" s="33"/>
    </row>
    <row r="473" spans="2:8" s="2" customFormat="1" ht="15" x14ac:dyDescent="0.25">
      <c r="B473" s="21"/>
      <c r="C473" s="22"/>
      <c r="D473" s="29" t="str">
        <f t="shared" si="7"/>
        <v/>
      </c>
      <c r="E473" s="22"/>
      <c r="F473" s="22" t="str">
        <f ca="1">auto_pop!H473</f>
        <v/>
      </c>
      <c r="G473" s="33"/>
      <c r="H473" s="33"/>
    </row>
    <row r="474" spans="2:8" s="2" customFormat="1" ht="15" x14ac:dyDescent="0.25">
      <c r="B474" s="21"/>
      <c r="C474" s="22"/>
      <c r="D474" s="29" t="str">
        <f t="shared" si="7"/>
        <v/>
      </c>
      <c r="E474" s="22"/>
      <c r="F474" s="22" t="str">
        <f ca="1">auto_pop!H474</f>
        <v/>
      </c>
      <c r="G474" s="33"/>
      <c r="H474" s="33"/>
    </row>
    <row r="475" spans="2:8" s="2" customFormat="1" ht="15" x14ac:dyDescent="0.25">
      <c r="B475" s="21"/>
      <c r="C475" s="22"/>
      <c r="D475" s="29" t="str">
        <f t="shared" si="7"/>
        <v/>
      </c>
      <c r="E475" s="22"/>
      <c r="F475" s="22" t="str">
        <f ca="1">auto_pop!H475</f>
        <v/>
      </c>
      <c r="G475" s="33"/>
      <c r="H475" s="33"/>
    </row>
    <row r="476" spans="2:8" s="2" customFormat="1" ht="15" x14ac:dyDescent="0.25">
      <c r="B476" s="21"/>
      <c r="C476" s="22"/>
      <c r="D476" s="29" t="str">
        <f t="shared" si="7"/>
        <v/>
      </c>
      <c r="E476" s="22"/>
      <c r="F476" s="22" t="str">
        <f ca="1">auto_pop!H476</f>
        <v/>
      </c>
      <c r="G476" s="33"/>
      <c r="H476" s="33"/>
    </row>
    <row r="477" spans="2:8" s="2" customFormat="1" ht="15" x14ac:dyDescent="0.25">
      <c r="B477" s="21"/>
      <c r="C477" s="22"/>
      <c r="D477" s="29" t="str">
        <f t="shared" si="7"/>
        <v/>
      </c>
      <c r="E477" s="22"/>
      <c r="F477" s="22" t="str">
        <f ca="1">auto_pop!H477</f>
        <v/>
      </c>
      <c r="G477" s="33"/>
      <c r="H477" s="33"/>
    </row>
    <row r="478" spans="2:8" s="2" customFormat="1" ht="15" x14ac:dyDescent="0.25">
      <c r="B478" s="21"/>
      <c r="C478" s="22"/>
      <c r="D478" s="29" t="str">
        <f t="shared" si="7"/>
        <v/>
      </c>
      <c r="E478" s="22"/>
      <c r="F478" s="22" t="str">
        <f ca="1">auto_pop!H478</f>
        <v/>
      </c>
      <c r="G478" s="33"/>
      <c r="H478" s="33"/>
    </row>
    <row r="479" spans="2:8" s="2" customFormat="1" ht="15" x14ac:dyDescent="0.25">
      <c r="B479" s="21"/>
      <c r="C479" s="22"/>
      <c r="D479" s="29" t="str">
        <f t="shared" si="7"/>
        <v/>
      </c>
      <c r="E479" s="22"/>
      <c r="F479" s="22" t="str">
        <f ca="1">auto_pop!H479</f>
        <v/>
      </c>
      <c r="G479" s="33"/>
      <c r="H479" s="33"/>
    </row>
    <row r="480" spans="2:8" s="2" customFormat="1" ht="15" x14ac:dyDescent="0.25">
      <c r="B480" s="21"/>
      <c r="C480" s="22"/>
      <c r="D480" s="29" t="str">
        <f t="shared" si="7"/>
        <v/>
      </c>
      <c r="E480" s="22"/>
      <c r="F480" s="22" t="str">
        <f ca="1">auto_pop!H480</f>
        <v/>
      </c>
      <c r="G480" s="33"/>
      <c r="H480" s="33"/>
    </row>
    <row r="481" spans="2:8" s="2" customFormat="1" ht="15" x14ac:dyDescent="0.25">
      <c r="B481" s="21"/>
      <c r="C481" s="22"/>
      <c r="D481" s="29" t="str">
        <f t="shared" si="7"/>
        <v/>
      </c>
      <c r="E481" s="22"/>
      <c r="F481" s="22" t="str">
        <f ca="1">auto_pop!H481</f>
        <v/>
      </c>
      <c r="G481" s="33"/>
      <c r="H481" s="33"/>
    </row>
    <row r="482" spans="2:8" s="2" customFormat="1" ht="15" x14ac:dyDescent="0.25">
      <c r="B482" s="21"/>
      <c r="C482" s="22"/>
      <c r="D482" s="29" t="str">
        <f t="shared" si="7"/>
        <v/>
      </c>
      <c r="E482" s="22"/>
      <c r="F482" s="22" t="str">
        <f ca="1">auto_pop!H482</f>
        <v/>
      </c>
      <c r="G482" s="33"/>
      <c r="H482" s="33"/>
    </row>
    <row r="483" spans="2:8" s="2" customFormat="1" ht="15" x14ac:dyDescent="0.25">
      <c r="B483" s="21"/>
      <c r="C483" s="22"/>
      <c r="D483" s="29" t="str">
        <f t="shared" si="7"/>
        <v/>
      </c>
      <c r="E483" s="22"/>
      <c r="F483" s="22" t="str">
        <f ca="1">auto_pop!H483</f>
        <v/>
      </c>
      <c r="G483" s="33"/>
      <c r="H483" s="33"/>
    </row>
    <row r="484" spans="2:8" s="2" customFormat="1" ht="15" x14ac:dyDescent="0.25">
      <c r="B484" s="21"/>
      <c r="C484" s="22"/>
      <c r="D484" s="29" t="str">
        <f t="shared" si="7"/>
        <v/>
      </c>
      <c r="E484" s="22"/>
      <c r="F484" s="22" t="str">
        <f ca="1">auto_pop!H484</f>
        <v/>
      </c>
      <c r="G484" s="33"/>
      <c r="H484" s="33"/>
    </row>
    <row r="485" spans="2:8" s="2" customFormat="1" ht="15" x14ac:dyDescent="0.25">
      <c r="B485" s="21"/>
      <c r="C485" s="22"/>
      <c r="D485" s="29" t="str">
        <f t="shared" si="7"/>
        <v/>
      </c>
      <c r="E485" s="22"/>
      <c r="F485" s="22" t="str">
        <f ca="1">auto_pop!H485</f>
        <v/>
      </c>
      <c r="G485" s="33"/>
      <c r="H485" s="33"/>
    </row>
    <row r="486" spans="2:8" s="2" customFormat="1" ht="15" x14ac:dyDescent="0.25">
      <c r="B486" s="21"/>
      <c r="C486" s="22"/>
      <c r="D486" s="29" t="str">
        <f t="shared" si="7"/>
        <v/>
      </c>
      <c r="E486" s="22"/>
      <c r="F486" s="22" t="str">
        <f ca="1">auto_pop!H486</f>
        <v/>
      </c>
      <c r="G486" s="33"/>
      <c r="H486" s="33"/>
    </row>
    <row r="487" spans="2:8" s="2" customFormat="1" ht="15" x14ac:dyDescent="0.25">
      <c r="B487" s="21"/>
      <c r="C487" s="22"/>
      <c r="D487" s="29" t="str">
        <f t="shared" si="7"/>
        <v/>
      </c>
      <c r="E487" s="22"/>
      <c r="F487" s="22" t="str">
        <f ca="1">auto_pop!H487</f>
        <v/>
      </c>
      <c r="G487" s="33"/>
      <c r="H487" s="33"/>
    </row>
    <row r="488" spans="2:8" s="2" customFormat="1" ht="15" x14ac:dyDescent="0.25">
      <c r="B488" s="21"/>
      <c r="C488" s="22"/>
      <c r="D488" s="29" t="str">
        <f t="shared" si="7"/>
        <v/>
      </c>
      <c r="E488" s="22"/>
      <c r="F488" s="22" t="str">
        <f ca="1">auto_pop!H488</f>
        <v/>
      </c>
      <c r="G488" s="33"/>
      <c r="H488" s="33"/>
    </row>
    <row r="489" spans="2:8" s="2" customFormat="1" ht="15" x14ac:dyDescent="0.25">
      <c r="B489" s="21"/>
      <c r="C489" s="22"/>
      <c r="D489" s="29" t="str">
        <f t="shared" si="7"/>
        <v/>
      </c>
      <c r="E489" s="22"/>
      <c r="F489" s="22" t="str">
        <f ca="1">auto_pop!H489</f>
        <v/>
      </c>
      <c r="G489" s="33"/>
      <c r="H489" s="33"/>
    </row>
    <row r="490" spans="2:8" s="2" customFormat="1" ht="15" x14ac:dyDescent="0.25">
      <c r="B490" s="21"/>
      <c r="C490" s="22"/>
      <c r="D490" s="29" t="str">
        <f t="shared" si="7"/>
        <v/>
      </c>
      <c r="E490" s="22"/>
      <c r="F490" s="22" t="str">
        <f ca="1">auto_pop!H490</f>
        <v/>
      </c>
      <c r="G490" s="33"/>
      <c r="H490" s="33"/>
    </row>
    <row r="491" spans="2:8" s="2" customFormat="1" ht="15" x14ac:dyDescent="0.25">
      <c r="B491" s="21"/>
      <c r="C491" s="22"/>
      <c r="D491" s="29" t="str">
        <f t="shared" si="7"/>
        <v/>
      </c>
      <c r="E491" s="22"/>
      <c r="F491" s="22" t="str">
        <f ca="1">auto_pop!H491</f>
        <v/>
      </c>
      <c r="G491" s="33"/>
      <c r="H491" s="33"/>
    </row>
    <row r="492" spans="2:8" s="2" customFormat="1" ht="15" x14ac:dyDescent="0.25">
      <c r="B492" s="21"/>
      <c r="C492" s="22"/>
      <c r="D492" s="29" t="str">
        <f t="shared" si="7"/>
        <v/>
      </c>
      <c r="E492" s="22"/>
      <c r="F492" s="22" t="str">
        <f ca="1">auto_pop!H492</f>
        <v/>
      </c>
      <c r="G492" s="33"/>
      <c r="H492" s="33"/>
    </row>
    <row r="493" spans="2:8" s="2" customFormat="1" ht="15" x14ac:dyDescent="0.25">
      <c r="B493" s="21"/>
      <c r="C493" s="22"/>
      <c r="D493" s="29" t="str">
        <f t="shared" si="7"/>
        <v/>
      </c>
      <c r="E493" s="22"/>
      <c r="F493" s="22" t="str">
        <f ca="1">auto_pop!H493</f>
        <v/>
      </c>
      <c r="G493" s="33"/>
      <c r="H493" s="33"/>
    </row>
    <row r="494" spans="2:8" s="2" customFormat="1" ht="15" x14ac:dyDescent="0.25">
      <c r="B494" s="21"/>
      <c r="C494" s="22"/>
      <c r="D494" s="29" t="str">
        <f t="shared" si="7"/>
        <v/>
      </c>
      <c r="E494" s="22"/>
      <c r="F494" s="22" t="str">
        <f ca="1">auto_pop!H494</f>
        <v/>
      </c>
      <c r="G494" s="33"/>
      <c r="H494" s="33"/>
    </row>
    <row r="495" spans="2:8" s="2" customFormat="1" ht="15" x14ac:dyDescent="0.25">
      <c r="B495" s="21"/>
      <c r="C495" s="22"/>
      <c r="D495" s="29" t="str">
        <f t="shared" si="7"/>
        <v/>
      </c>
      <c r="E495" s="22"/>
      <c r="F495" s="22" t="str">
        <f ca="1">auto_pop!H495</f>
        <v/>
      </c>
      <c r="G495" s="33"/>
      <c r="H495" s="33"/>
    </row>
    <row r="496" spans="2:8" s="2" customFormat="1" ht="15" x14ac:dyDescent="0.25">
      <c r="B496" s="21"/>
      <c r="C496" s="22"/>
      <c r="D496" s="29" t="str">
        <f t="shared" si="7"/>
        <v/>
      </c>
      <c r="E496" s="22"/>
      <c r="F496" s="22" t="str">
        <f ca="1">auto_pop!H496</f>
        <v/>
      </c>
      <c r="G496" s="33"/>
      <c r="H496" s="33"/>
    </row>
    <row r="497" spans="2:8" s="2" customFormat="1" ht="15" x14ac:dyDescent="0.25">
      <c r="B497" s="21"/>
      <c r="C497" s="22"/>
      <c r="D497" s="29" t="str">
        <f t="shared" si="7"/>
        <v/>
      </c>
      <c r="E497" s="22"/>
      <c r="F497" s="22" t="str">
        <f ca="1">auto_pop!H497</f>
        <v/>
      </c>
      <c r="G497" s="33"/>
      <c r="H497" s="33"/>
    </row>
    <row r="498" spans="2:8" s="2" customFormat="1" ht="15" x14ac:dyDescent="0.25">
      <c r="B498" s="21"/>
      <c r="C498" s="22"/>
      <c r="D498" s="29" t="str">
        <f t="shared" si="7"/>
        <v/>
      </c>
      <c r="E498" s="22"/>
      <c r="F498" s="22" t="str">
        <f ca="1">auto_pop!H498</f>
        <v/>
      </c>
      <c r="G498" s="33"/>
      <c r="H498" s="33"/>
    </row>
    <row r="499" spans="2:8" s="2" customFormat="1" ht="15" x14ac:dyDescent="0.25">
      <c r="B499" s="21"/>
      <c r="C499" s="22"/>
      <c r="D499" s="29" t="str">
        <f t="shared" si="7"/>
        <v/>
      </c>
      <c r="E499" s="22"/>
      <c r="F499" s="22" t="str">
        <f ca="1">auto_pop!H499</f>
        <v/>
      </c>
      <c r="G499" s="33"/>
      <c r="H499" s="33"/>
    </row>
    <row r="500" spans="2:8" s="2" customFormat="1" ht="15" x14ac:dyDescent="0.25">
      <c r="B500" s="21"/>
      <c r="C500" s="22"/>
      <c r="D500" s="29" t="str">
        <f t="shared" si="7"/>
        <v/>
      </c>
      <c r="E500" s="22"/>
      <c r="F500" s="22" t="str">
        <f ca="1">auto_pop!H500</f>
        <v/>
      </c>
      <c r="G500" s="33"/>
      <c r="H500" s="33"/>
    </row>
    <row r="501" spans="2:8" s="2" customFormat="1" ht="15" x14ac:dyDescent="0.25">
      <c r="B501" s="21"/>
      <c r="C501" s="22"/>
      <c r="D501" s="29" t="str">
        <f t="shared" si="7"/>
        <v/>
      </c>
      <c r="E501" s="22"/>
      <c r="F501" s="22" t="str">
        <f ca="1">auto_pop!H501</f>
        <v/>
      </c>
      <c r="G501" s="33"/>
      <c r="H501" s="33"/>
    </row>
    <row r="502" spans="2:8" s="2" customFormat="1" ht="15" x14ac:dyDescent="0.25">
      <c r="B502" s="21"/>
      <c r="C502" s="23"/>
      <c r="D502" s="29" t="str">
        <f t="shared" si="7"/>
        <v/>
      </c>
      <c r="E502" s="22"/>
      <c r="F502" s="22" t="str">
        <f ca="1">auto_pop!H502</f>
        <v/>
      </c>
      <c r="G502" s="33"/>
      <c r="H502" s="33"/>
    </row>
    <row r="503" spans="2:8" s="2" customFormat="1" ht="15" x14ac:dyDescent="0.25">
      <c r="B503" s="21"/>
      <c r="C503" s="22"/>
      <c r="D503" s="29" t="str">
        <f t="shared" si="7"/>
        <v/>
      </c>
      <c r="E503" s="22"/>
      <c r="F503" s="22" t="str">
        <f ca="1">auto_pop!H503</f>
        <v/>
      </c>
      <c r="G503" s="33"/>
      <c r="H503" s="33"/>
    </row>
    <row r="504" spans="2:8" s="2" customFormat="1" ht="15" x14ac:dyDescent="0.25">
      <c r="B504" s="21"/>
      <c r="C504" s="23"/>
      <c r="D504" s="29" t="str">
        <f t="shared" si="7"/>
        <v/>
      </c>
      <c r="E504" s="22"/>
      <c r="F504" s="22" t="str">
        <f ca="1">auto_pop!H504</f>
        <v/>
      </c>
      <c r="G504" s="33"/>
      <c r="H504" s="33"/>
    </row>
    <row r="505" spans="2:8" s="2" customFormat="1" ht="15" x14ac:dyDescent="0.25">
      <c r="B505" s="21"/>
      <c r="C505" s="22"/>
      <c r="D505" s="29" t="str">
        <f t="shared" si="7"/>
        <v/>
      </c>
      <c r="E505" s="22"/>
      <c r="F505" s="22" t="str">
        <f ca="1">auto_pop!H505</f>
        <v/>
      </c>
      <c r="G505" s="33"/>
      <c r="H505" s="33"/>
    </row>
    <row r="506" spans="2:8" s="2" customFormat="1" ht="15" x14ac:dyDescent="0.25">
      <c r="B506" s="21"/>
      <c r="C506" s="22"/>
      <c r="D506" s="29" t="str">
        <f t="shared" si="7"/>
        <v/>
      </c>
      <c r="E506" s="22"/>
      <c r="F506" s="22" t="str">
        <f ca="1">auto_pop!H506</f>
        <v/>
      </c>
      <c r="G506" s="33"/>
      <c r="H506" s="33"/>
    </row>
    <row r="507" spans="2:8" s="2" customFormat="1" ht="15" x14ac:dyDescent="0.25">
      <c r="B507" s="21"/>
      <c r="C507" s="22"/>
      <c r="D507" s="29" t="str">
        <f t="shared" si="7"/>
        <v/>
      </c>
      <c r="E507" s="22"/>
      <c r="F507" s="22" t="str">
        <f ca="1">auto_pop!H507</f>
        <v/>
      </c>
      <c r="G507" s="33"/>
      <c r="H507" s="33"/>
    </row>
    <row r="508" spans="2:8" s="2" customFormat="1" ht="15" x14ac:dyDescent="0.25">
      <c r="B508" s="21"/>
      <c r="C508" s="22"/>
      <c r="D508" s="29" t="str">
        <f t="shared" si="7"/>
        <v/>
      </c>
      <c r="E508" s="22"/>
      <c r="F508" s="22" t="str">
        <f ca="1">auto_pop!H508</f>
        <v/>
      </c>
      <c r="G508" s="33"/>
      <c r="H508" s="33"/>
    </row>
    <row r="509" spans="2:8" s="2" customFormat="1" ht="15" x14ac:dyDescent="0.25">
      <c r="B509" s="21"/>
      <c r="C509" s="22"/>
      <c r="D509" s="29" t="str">
        <f t="shared" si="7"/>
        <v/>
      </c>
      <c r="E509" s="22"/>
      <c r="F509" s="22" t="str">
        <f ca="1">auto_pop!H509</f>
        <v/>
      </c>
      <c r="G509" s="33"/>
      <c r="H509" s="33"/>
    </row>
    <row r="510" spans="2:8" s="2" customFormat="1" ht="15" x14ac:dyDescent="0.25">
      <c r="B510" s="21"/>
      <c r="C510" s="22"/>
      <c r="D510" s="29" t="str">
        <f t="shared" si="7"/>
        <v/>
      </c>
      <c r="E510" s="22"/>
      <c r="F510" s="22" t="str">
        <f ca="1">auto_pop!H510</f>
        <v/>
      </c>
      <c r="G510" s="33"/>
      <c r="H510" s="33"/>
    </row>
    <row r="511" spans="2:8" s="2" customFormat="1" ht="15" x14ac:dyDescent="0.25">
      <c r="B511" s="21"/>
      <c r="C511" s="22"/>
      <c r="D511" s="29" t="str">
        <f t="shared" si="7"/>
        <v/>
      </c>
      <c r="E511" s="22"/>
      <c r="F511" s="22" t="str">
        <f ca="1">auto_pop!H511</f>
        <v/>
      </c>
      <c r="G511" s="33"/>
      <c r="H511" s="33"/>
    </row>
    <row r="512" spans="2:8" s="2" customFormat="1" ht="15" x14ac:dyDescent="0.25">
      <c r="B512" s="21"/>
      <c r="C512" s="22"/>
      <c r="D512" s="29" t="str">
        <f t="shared" si="7"/>
        <v/>
      </c>
      <c r="E512" s="22"/>
      <c r="F512" s="22" t="str">
        <f ca="1">auto_pop!H512</f>
        <v/>
      </c>
      <c r="G512" s="33"/>
      <c r="H512" s="33"/>
    </row>
    <row r="513" spans="2:8" s="2" customFormat="1" ht="15" x14ac:dyDescent="0.25">
      <c r="B513" s="21"/>
      <c r="C513" s="22"/>
      <c r="D513" s="29" t="str">
        <f t="shared" si="7"/>
        <v/>
      </c>
      <c r="E513" s="22"/>
      <c r="F513" s="22" t="str">
        <f ca="1">auto_pop!H513</f>
        <v/>
      </c>
      <c r="G513" s="33"/>
      <c r="H513" s="33"/>
    </row>
    <row r="514" spans="2:8" s="2" customFormat="1" ht="15" x14ac:dyDescent="0.25">
      <c r="B514" s="21"/>
      <c r="C514" s="22"/>
      <c r="D514" s="29" t="str">
        <f t="shared" si="7"/>
        <v/>
      </c>
      <c r="E514" s="22"/>
      <c r="F514" s="22" t="str">
        <f ca="1">auto_pop!H514</f>
        <v/>
      </c>
      <c r="G514" s="33"/>
      <c r="H514" s="33"/>
    </row>
    <row r="515" spans="2:8" s="2" customFormat="1" ht="15" x14ac:dyDescent="0.25">
      <c r="B515" s="21"/>
      <c r="C515" s="22"/>
      <c r="D515" s="29" t="str">
        <f t="shared" si="7"/>
        <v/>
      </c>
      <c r="E515" s="22"/>
      <c r="F515" s="22" t="str">
        <f ca="1">auto_pop!H515</f>
        <v/>
      </c>
      <c r="G515" s="33"/>
      <c r="H515" s="33"/>
    </row>
    <row r="516" spans="2:8" s="2" customFormat="1" ht="15" x14ac:dyDescent="0.25">
      <c r="B516" s="21"/>
      <c r="C516" s="22"/>
      <c r="D516" s="29" t="str">
        <f t="shared" ref="D516:D579" si="8">IF(C516&lt;&gt;"", IF(OR(C516="Chapin", C516="Oatka", C516="Seneca"), "", 1), "")</f>
        <v/>
      </c>
      <c r="E516" s="22"/>
      <c r="F516" s="22" t="str">
        <f ca="1">auto_pop!H516</f>
        <v/>
      </c>
      <c r="G516" s="33"/>
      <c r="H516" s="33"/>
    </row>
    <row r="517" spans="2:8" s="2" customFormat="1" ht="15" x14ac:dyDescent="0.25">
      <c r="B517" s="21"/>
      <c r="C517" s="22"/>
      <c r="D517" s="29" t="str">
        <f t="shared" si="8"/>
        <v/>
      </c>
      <c r="E517" s="22"/>
      <c r="F517" s="22" t="str">
        <f ca="1">auto_pop!H517</f>
        <v/>
      </c>
      <c r="G517" s="33"/>
      <c r="H517" s="33"/>
    </row>
    <row r="518" spans="2:8" s="2" customFormat="1" ht="15" x14ac:dyDescent="0.25">
      <c r="B518" s="21"/>
      <c r="C518" s="22"/>
      <c r="D518" s="29" t="str">
        <f t="shared" si="8"/>
        <v/>
      </c>
      <c r="E518" s="22"/>
      <c r="F518" s="22" t="str">
        <f ca="1">auto_pop!H518</f>
        <v/>
      </c>
      <c r="G518" s="33"/>
      <c r="H518" s="33"/>
    </row>
    <row r="519" spans="2:8" s="2" customFormat="1" ht="15" x14ac:dyDescent="0.25">
      <c r="B519" s="21"/>
      <c r="C519" s="22"/>
      <c r="D519" s="29" t="str">
        <f t="shared" si="8"/>
        <v/>
      </c>
      <c r="E519" s="22"/>
      <c r="F519" s="22" t="str">
        <f ca="1">auto_pop!H519</f>
        <v/>
      </c>
      <c r="G519" s="33"/>
      <c r="H519" s="33"/>
    </row>
    <row r="520" spans="2:8" s="2" customFormat="1" ht="15" x14ac:dyDescent="0.25">
      <c r="B520" s="21"/>
      <c r="C520" s="22"/>
      <c r="D520" s="29" t="str">
        <f t="shared" si="8"/>
        <v/>
      </c>
      <c r="E520" s="22"/>
      <c r="F520" s="22" t="str">
        <f ca="1">auto_pop!H520</f>
        <v/>
      </c>
      <c r="G520" s="33"/>
      <c r="H520" s="33"/>
    </row>
    <row r="521" spans="2:8" s="2" customFormat="1" ht="15" x14ac:dyDescent="0.25">
      <c r="B521" s="21"/>
      <c r="C521" s="22"/>
      <c r="D521" s="29" t="str">
        <f t="shared" si="8"/>
        <v/>
      </c>
      <c r="E521" s="22"/>
      <c r="F521" s="22" t="str">
        <f ca="1">auto_pop!H521</f>
        <v/>
      </c>
      <c r="G521" s="33"/>
      <c r="H521" s="33"/>
    </row>
    <row r="522" spans="2:8" s="2" customFormat="1" ht="15" x14ac:dyDescent="0.25">
      <c r="B522" s="21"/>
      <c r="C522" s="22"/>
      <c r="D522" s="29" t="str">
        <f t="shared" si="8"/>
        <v/>
      </c>
      <c r="E522" s="22"/>
      <c r="F522" s="22" t="str">
        <f ca="1">auto_pop!H522</f>
        <v/>
      </c>
      <c r="G522" s="33"/>
      <c r="H522" s="33"/>
    </row>
    <row r="523" spans="2:8" s="2" customFormat="1" ht="15" x14ac:dyDescent="0.25">
      <c r="B523" s="21"/>
      <c r="C523" s="22"/>
      <c r="D523" s="29" t="str">
        <f t="shared" si="8"/>
        <v/>
      </c>
      <c r="E523" s="22"/>
      <c r="F523" s="22" t="str">
        <f ca="1">auto_pop!H523</f>
        <v/>
      </c>
      <c r="G523" s="33"/>
      <c r="H523" s="33"/>
    </row>
    <row r="524" spans="2:8" s="2" customFormat="1" ht="15" x14ac:dyDescent="0.25">
      <c r="B524" s="21"/>
      <c r="C524" s="22"/>
      <c r="D524" s="29" t="str">
        <f t="shared" si="8"/>
        <v/>
      </c>
      <c r="E524" s="22"/>
      <c r="F524" s="22" t="str">
        <f ca="1">auto_pop!H524</f>
        <v/>
      </c>
      <c r="G524" s="33"/>
      <c r="H524" s="33"/>
    </row>
    <row r="525" spans="2:8" s="2" customFormat="1" ht="15" x14ac:dyDescent="0.25">
      <c r="B525" s="21"/>
      <c r="C525" s="22"/>
      <c r="D525" s="29" t="str">
        <f t="shared" si="8"/>
        <v/>
      </c>
      <c r="E525" s="22"/>
      <c r="F525" s="22" t="str">
        <f ca="1">auto_pop!H525</f>
        <v/>
      </c>
      <c r="G525" s="33"/>
      <c r="H525" s="33"/>
    </row>
    <row r="526" spans="2:8" s="2" customFormat="1" ht="15" x14ac:dyDescent="0.25">
      <c r="B526" s="21"/>
      <c r="C526" s="22"/>
      <c r="D526" s="29" t="str">
        <f t="shared" si="8"/>
        <v/>
      </c>
      <c r="E526" s="22"/>
      <c r="F526" s="22" t="str">
        <f ca="1">auto_pop!H526</f>
        <v/>
      </c>
      <c r="G526" s="33"/>
      <c r="H526" s="33"/>
    </row>
    <row r="527" spans="2:8" s="2" customFormat="1" ht="15" x14ac:dyDescent="0.25">
      <c r="B527" s="21"/>
      <c r="C527" s="22"/>
      <c r="D527" s="29" t="str">
        <f t="shared" si="8"/>
        <v/>
      </c>
      <c r="E527" s="22"/>
      <c r="F527" s="22" t="str">
        <f ca="1">auto_pop!H527</f>
        <v/>
      </c>
      <c r="G527" s="33"/>
      <c r="H527" s="33"/>
    </row>
    <row r="528" spans="2:8" s="2" customFormat="1" ht="15" x14ac:dyDescent="0.25">
      <c r="B528" s="21"/>
      <c r="C528" s="22"/>
      <c r="D528" s="29" t="str">
        <f t="shared" si="8"/>
        <v/>
      </c>
      <c r="E528" s="22"/>
      <c r="F528" s="22" t="str">
        <f ca="1">auto_pop!H528</f>
        <v/>
      </c>
      <c r="G528" s="33"/>
      <c r="H528" s="33"/>
    </row>
    <row r="529" spans="2:8" s="2" customFormat="1" ht="15" x14ac:dyDescent="0.25">
      <c r="B529" s="21"/>
      <c r="C529" s="22"/>
      <c r="D529" s="29" t="str">
        <f t="shared" si="8"/>
        <v/>
      </c>
      <c r="E529" s="22"/>
      <c r="F529" s="22" t="str">
        <f ca="1">auto_pop!H529</f>
        <v/>
      </c>
      <c r="G529" s="33"/>
      <c r="H529" s="33"/>
    </row>
    <row r="530" spans="2:8" s="2" customFormat="1" ht="15" x14ac:dyDescent="0.25">
      <c r="B530" s="21"/>
      <c r="C530" s="22"/>
      <c r="D530" s="29" t="str">
        <f t="shared" si="8"/>
        <v/>
      </c>
      <c r="E530" s="22"/>
      <c r="F530" s="22" t="str">
        <f ca="1">auto_pop!H530</f>
        <v/>
      </c>
      <c r="G530" s="33"/>
      <c r="H530" s="33"/>
    </row>
    <row r="531" spans="2:8" s="2" customFormat="1" ht="15" x14ac:dyDescent="0.25">
      <c r="B531" s="21"/>
      <c r="C531" s="22"/>
      <c r="D531" s="29" t="str">
        <f t="shared" si="8"/>
        <v/>
      </c>
      <c r="E531" s="22"/>
      <c r="F531" s="22" t="str">
        <f ca="1">auto_pop!H531</f>
        <v/>
      </c>
      <c r="G531" s="33"/>
      <c r="H531" s="33"/>
    </row>
    <row r="532" spans="2:8" s="2" customFormat="1" ht="15" x14ac:dyDescent="0.25">
      <c r="B532" s="21"/>
      <c r="C532" s="22"/>
      <c r="D532" s="29" t="str">
        <f t="shared" si="8"/>
        <v/>
      </c>
      <c r="E532" s="22"/>
      <c r="F532" s="22" t="str">
        <f ca="1">auto_pop!H532</f>
        <v/>
      </c>
      <c r="G532" s="33"/>
      <c r="H532" s="33"/>
    </row>
    <row r="533" spans="2:8" s="2" customFormat="1" ht="15" x14ac:dyDescent="0.25">
      <c r="B533" s="21"/>
      <c r="C533" s="22"/>
      <c r="D533" s="29" t="str">
        <f t="shared" si="8"/>
        <v/>
      </c>
      <c r="E533" s="22"/>
      <c r="F533" s="22" t="str">
        <f ca="1">auto_pop!H533</f>
        <v/>
      </c>
      <c r="G533" s="33"/>
      <c r="H533" s="33"/>
    </row>
    <row r="534" spans="2:8" s="2" customFormat="1" ht="15" x14ac:dyDescent="0.25">
      <c r="B534" s="21"/>
      <c r="C534" s="22"/>
      <c r="D534" s="29" t="str">
        <f t="shared" si="8"/>
        <v/>
      </c>
      <c r="E534" s="22"/>
      <c r="F534" s="22" t="str">
        <f ca="1">auto_pop!H534</f>
        <v/>
      </c>
      <c r="G534" s="33"/>
      <c r="H534" s="33"/>
    </row>
    <row r="535" spans="2:8" s="2" customFormat="1" ht="15" x14ac:dyDescent="0.25">
      <c r="B535" s="21"/>
      <c r="C535" s="22"/>
      <c r="D535" s="29" t="str">
        <f t="shared" si="8"/>
        <v/>
      </c>
      <c r="E535" s="22"/>
      <c r="F535" s="22" t="str">
        <f ca="1">auto_pop!H535</f>
        <v/>
      </c>
      <c r="G535" s="33"/>
      <c r="H535" s="33"/>
    </row>
    <row r="536" spans="2:8" s="2" customFormat="1" ht="15" x14ac:dyDescent="0.25">
      <c r="B536" s="21"/>
      <c r="C536" s="22"/>
      <c r="D536" s="29" t="str">
        <f t="shared" si="8"/>
        <v/>
      </c>
      <c r="E536" s="22"/>
      <c r="F536" s="22" t="str">
        <f ca="1">auto_pop!H536</f>
        <v/>
      </c>
      <c r="G536" s="33"/>
      <c r="H536" s="33"/>
    </row>
    <row r="537" spans="2:8" s="2" customFormat="1" ht="15" x14ac:dyDescent="0.25">
      <c r="B537" s="21"/>
      <c r="C537" s="22"/>
      <c r="D537" s="29" t="str">
        <f t="shared" si="8"/>
        <v/>
      </c>
      <c r="E537" s="22"/>
      <c r="F537" s="22" t="str">
        <f ca="1">auto_pop!H537</f>
        <v/>
      </c>
      <c r="G537" s="33"/>
      <c r="H537" s="33"/>
    </row>
    <row r="538" spans="2:8" s="2" customFormat="1" ht="15" x14ac:dyDescent="0.25">
      <c r="B538" s="21"/>
      <c r="C538" s="22"/>
      <c r="D538" s="29" t="str">
        <f t="shared" si="8"/>
        <v/>
      </c>
      <c r="E538" s="22"/>
      <c r="F538" s="22" t="str">
        <f ca="1">auto_pop!H538</f>
        <v/>
      </c>
      <c r="G538" s="33"/>
      <c r="H538" s="33"/>
    </row>
    <row r="539" spans="2:8" s="2" customFormat="1" ht="15" x14ac:dyDescent="0.25">
      <c r="B539" s="21"/>
      <c r="C539" s="22"/>
      <c r="D539" s="29" t="str">
        <f t="shared" si="8"/>
        <v/>
      </c>
      <c r="E539" s="22"/>
      <c r="F539" s="22" t="str">
        <f ca="1">auto_pop!H539</f>
        <v/>
      </c>
      <c r="G539" s="33"/>
      <c r="H539" s="33"/>
    </row>
    <row r="540" spans="2:8" s="2" customFormat="1" ht="15" x14ac:dyDescent="0.25">
      <c r="B540" s="21"/>
      <c r="C540" s="22"/>
      <c r="D540" s="29" t="str">
        <f t="shared" si="8"/>
        <v/>
      </c>
      <c r="E540" s="22"/>
      <c r="F540" s="22" t="str">
        <f ca="1">auto_pop!H540</f>
        <v/>
      </c>
      <c r="G540" s="33"/>
      <c r="H540" s="33"/>
    </row>
    <row r="541" spans="2:8" s="2" customFormat="1" ht="15" x14ac:dyDescent="0.25">
      <c r="B541" s="21"/>
      <c r="C541" s="22"/>
      <c r="D541" s="29" t="str">
        <f t="shared" si="8"/>
        <v/>
      </c>
      <c r="E541" s="22"/>
      <c r="F541" s="22" t="str">
        <f ca="1">auto_pop!H541</f>
        <v/>
      </c>
      <c r="G541" s="33"/>
      <c r="H541" s="33"/>
    </row>
    <row r="542" spans="2:8" s="2" customFormat="1" ht="15" x14ac:dyDescent="0.25">
      <c r="B542" s="21"/>
      <c r="C542" s="22"/>
      <c r="D542" s="29" t="str">
        <f t="shared" si="8"/>
        <v/>
      </c>
      <c r="E542" s="22"/>
      <c r="F542" s="22" t="str">
        <f ca="1">auto_pop!H542</f>
        <v/>
      </c>
      <c r="G542" s="33"/>
      <c r="H542" s="33"/>
    </row>
    <row r="543" spans="2:8" s="2" customFormat="1" ht="15" x14ac:dyDescent="0.25">
      <c r="B543" s="21"/>
      <c r="C543" s="22"/>
      <c r="D543" s="29" t="str">
        <f t="shared" si="8"/>
        <v/>
      </c>
      <c r="E543" s="22"/>
      <c r="F543" s="22" t="str">
        <f ca="1">auto_pop!H543</f>
        <v/>
      </c>
      <c r="G543" s="33"/>
      <c r="H543" s="33"/>
    </row>
    <row r="544" spans="2:8" s="2" customFormat="1" ht="15" x14ac:dyDescent="0.25">
      <c r="B544" s="21"/>
      <c r="C544" s="22"/>
      <c r="D544" s="29" t="str">
        <f t="shared" si="8"/>
        <v/>
      </c>
      <c r="E544" s="22"/>
      <c r="F544" s="22" t="str">
        <f ca="1">auto_pop!H544</f>
        <v/>
      </c>
      <c r="G544" s="33"/>
      <c r="H544" s="33"/>
    </row>
    <row r="545" spans="2:8" s="2" customFormat="1" ht="15" x14ac:dyDescent="0.25">
      <c r="B545" s="21"/>
      <c r="C545" s="22"/>
      <c r="D545" s="29" t="str">
        <f t="shared" si="8"/>
        <v/>
      </c>
      <c r="E545" s="22"/>
      <c r="F545" s="22" t="str">
        <f ca="1">auto_pop!H545</f>
        <v/>
      </c>
      <c r="G545" s="33"/>
      <c r="H545" s="33"/>
    </row>
    <row r="546" spans="2:8" s="2" customFormat="1" ht="15" x14ac:dyDescent="0.25">
      <c r="B546" s="21"/>
      <c r="C546" s="22"/>
      <c r="D546" s="29" t="str">
        <f t="shared" si="8"/>
        <v/>
      </c>
      <c r="E546" s="22"/>
      <c r="F546" s="22" t="str">
        <f ca="1">auto_pop!H546</f>
        <v/>
      </c>
      <c r="G546" s="33"/>
      <c r="H546" s="33"/>
    </row>
    <row r="547" spans="2:8" s="2" customFormat="1" ht="15" x14ac:dyDescent="0.25">
      <c r="B547" s="21"/>
      <c r="C547" s="22"/>
      <c r="D547" s="29" t="str">
        <f t="shared" si="8"/>
        <v/>
      </c>
      <c r="E547" s="22"/>
      <c r="F547" s="22" t="str">
        <f ca="1">auto_pop!H547</f>
        <v/>
      </c>
      <c r="G547" s="33"/>
      <c r="H547" s="33"/>
    </row>
    <row r="548" spans="2:8" s="2" customFormat="1" ht="15" x14ac:dyDescent="0.25">
      <c r="B548" s="21"/>
      <c r="C548" s="22"/>
      <c r="D548" s="29" t="str">
        <f t="shared" si="8"/>
        <v/>
      </c>
      <c r="E548" s="22"/>
      <c r="F548" s="22" t="str">
        <f ca="1">auto_pop!H548</f>
        <v/>
      </c>
      <c r="G548" s="33"/>
      <c r="H548" s="33"/>
    </row>
    <row r="549" spans="2:8" s="2" customFormat="1" ht="15" x14ac:dyDescent="0.25">
      <c r="B549" s="21"/>
      <c r="C549" s="22"/>
      <c r="D549" s="29" t="str">
        <f t="shared" si="8"/>
        <v/>
      </c>
      <c r="E549" s="22"/>
      <c r="F549" s="22" t="str">
        <f ca="1">auto_pop!H549</f>
        <v/>
      </c>
      <c r="G549" s="33"/>
      <c r="H549" s="33"/>
    </row>
    <row r="550" spans="2:8" s="2" customFormat="1" ht="15" x14ac:dyDescent="0.25">
      <c r="B550" s="21"/>
      <c r="C550" s="22"/>
      <c r="D550" s="29" t="str">
        <f t="shared" si="8"/>
        <v/>
      </c>
      <c r="E550" s="22"/>
      <c r="F550" s="22" t="str">
        <f ca="1">auto_pop!H550</f>
        <v/>
      </c>
      <c r="G550" s="33"/>
      <c r="H550" s="33"/>
    </row>
    <row r="551" spans="2:8" s="2" customFormat="1" ht="15" x14ac:dyDescent="0.25">
      <c r="B551" s="21"/>
      <c r="C551" s="22"/>
      <c r="D551" s="29" t="str">
        <f t="shared" si="8"/>
        <v/>
      </c>
      <c r="E551" s="22"/>
      <c r="F551" s="22" t="str">
        <f ca="1">auto_pop!H551</f>
        <v/>
      </c>
      <c r="G551" s="33"/>
      <c r="H551" s="33"/>
    </row>
    <row r="552" spans="2:8" s="2" customFormat="1" ht="15" x14ac:dyDescent="0.25">
      <c r="B552" s="21"/>
      <c r="C552" s="22"/>
      <c r="D552" s="29" t="str">
        <f t="shared" si="8"/>
        <v/>
      </c>
      <c r="E552" s="22"/>
      <c r="F552" s="22" t="str">
        <f ca="1">auto_pop!H552</f>
        <v/>
      </c>
      <c r="G552" s="33"/>
      <c r="H552" s="33"/>
    </row>
    <row r="553" spans="2:8" s="2" customFormat="1" ht="15" x14ac:dyDescent="0.25">
      <c r="B553" s="21"/>
      <c r="C553" s="22"/>
      <c r="D553" s="29" t="str">
        <f t="shared" si="8"/>
        <v/>
      </c>
      <c r="E553" s="22"/>
      <c r="F553" s="22" t="str">
        <f ca="1">auto_pop!H553</f>
        <v/>
      </c>
      <c r="G553" s="33"/>
      <c r="H553" s="33"/>
    </row>
    <row r="554" spans="2:8" s="2" customFormat="1" ht="15" x14ac:dyDescent="0.25">
      <c r="B554" s="21"/>
      <c r="C554" s="22"/>
      <c r="D554" s="29" t="str">
        <f t="shared" si="8"/>
        <v/>
      </c>
      <c r="E554" s="22"/>
      <c r="F554" s="22" t="str">
        <f ca="1">auto_pop!H554</f>
        <v/>
      </c>
      <c r="G554" s="33"/>
      <c r="H554" s="33"/>
    </row>
    <row r="555" spans="2:8" s="2" customFormat="1" ht="15" x14ac:dyDescent="0.25">
      <c r="B555" s="21"/>
      <c r="C555" s="22"/>
      <c r="D555" s="29" t="str">
        <f t="shared" si="8"/>
        <v/>
      </c>
      <c r="E555" s="22"/>
      <c r="F555" s="22" t="str">
        <f ca="1">auto_pop!H555</f>
        <v/>
      </c>
      <c r="G555" s="33"/>
      <c r="H555" s="33"/>
    </row>
    <row r="556" spans="2:8" s="2" customFormat="1" ht="15" x14ac:dyDescent="0.25">
      <c r="B556" s="21"/>
      <c r="C556" s="22"/>
      <c r="D556" s="29" t="str">
        <f t="shared" si="8"/>
        <v/>
      </c>
      <c r="E556" s="22"/>
      <c r="F556" s="22" t="str">
        <f ca="1">auto_pop!H556</f>
        <v/>
      </c>
      <c r="G556" s="33"/>
      <c r="H556" s="33"/>
    </row>
    <row r="557" spans="2:8" s="2" customFormat="1" ht="15" x14ac:dyDescent="0.25">
      <c r="B557" s="21"/>
      <c r="C557" s="22"/>
      <c r="D557" s="29" t="str">
        <f t="shared" si="8"/>
        <v/>
      </c>
      <c r="E557" s="22"/>
      <c r="F557" s="22" t="str">
        <f ca="1">auto_pop!H557</f>
        <v/>
      </c>
      <c r="G557" s="33"/>
      <c r="H557" s="33"/>
    </row>
    <row r="558" spans="2:8" s="2" customFormat="1" ht="15" x14ac:dyDescent="0.25">
      <c r="B558" s="21"/>
      <c r="C558" s="22"/>
      <c r="D558" s="29" t="str">
        <f t="shared" si="8"/>
        <v/>
      </c>
      <c r="E558" s="22"/>
      <c r="F558" s="22" t="str">
        <f ca="1">auto_pop!H558</f>
        <v/>
      </c>
      <c r="G558" s="33"/>
      <c r="H558" s="33"/>
    </row>
    <row r="559" spans="2:8" s="2" customFormat="1" ht="15" x14ac:dyDescent="0.25">
      <c r="B559" s="21"/>
      <c r="C559" s="22"/>
      <c r="D559" s="29" t="str">
        <f t="shared" si="8"/>
        <v/>
      </c>
      <c r="E559" s="22"/>
      <c r="F559" s="22" t="str">
        <f ca="1">auto_pop!H559</f>
        <v/>
      </c>
      <c r="G559" s="33"/>
      <c r="H559" s="33"/>
    </row>
    <row r="560" spans="2:8" s="2" customFormat="1" ht="15" x14ac:dyDescent="0.25">
      <c r="B560" s="21"/>
      <c r="C560" s="22"/>
      <c r="D560" s="29" t="str">
        <f t="shared" si="8"/>
        <v/>
      </c>
      <c r="E560" s="22"/>
      <c r="F560" s="22" t="str">
        <f ca="1">auto_pop!H560</f>
        <v/>
      </c>
      <c r="G560" s="33"/>
      <c r="H560" s="33"/>
    </row>
    <row r="561" spans="2:8" s="2" customFormat="1" ht="15" x14ac:dyDescent="0.25">
      <c r="B561" s="21"/>
      <c r="C561" s="22"/>
      <c r="D561" s="29" t="str">
        <f t="shared" si="8"/>
        <v/>
      </c>
      <c r="E561" s="22"/>
      <c r="F561" s="22" t="str">
        <f ca="1">auto_pop!H561</f>
        <v/>
      </c>
      <c r="G561" s="33"/>
      <c r="H561" s="33"/>
    </row>
    <row r="562" spans="2:8" s="2" customFormat="1" ht="15" x14ac:dyDescent="0.25">
      <c r="B562" s="21"/>
      <c r="C562" s="22"/>
      <c r="D562" s="29" t="str">
        <f t="shared" si="8"/>
        <v/>
      </c>
      <c r="E562" s="22"/>
      <c r="F562" s="22" t="str">
        <f ca="1">auto_pop!H562</f>
        <v/>
      </c>
      <c r="G562" s="33"/>
      <c r="H562" s="33"/>
    </row>
    <row r="563" spans="2:8" s="2" customFormat="1" ht="15" x14ac:dyDescent="0.25">
      <c r="B563" s="21"/>
      <c r="C563" s="22"/>
      <c r="D563" s="29" t="str">
        <f t="shared" si="8"/>
        <v/>
      </c>
      <c r="E563" s="22"/>
      <c r="F563" s="22" t="str">
        <f ca="1">auto_pop!H563</f>
        <v/>
      </c>
      <c r="G563" s="33"/>
      <c r="H563" s="33"/>
    </row>
    <row r="564" spans="2:8" s="2" customFormat="1" ht="15" x14ac:dyDescent="0.25">
      <c r="B564" s="21"/>
      <c r="C564" s="22"/>
      <c r="D564" s="29" t="str">
        <f t="shared" si="8"/>
        <v/>
      </c>
      <c r="E564" s="22"/>
      <c r="F564" s="22" t="str">
        <f ca="1">auto_pop!H564</f>
        <v/>
      </c>
      <c r="G564" s="33"/>
      <c r="H564" s="33"/>
    </row>
    <row r="565" spans="2:8" s="2" customFormat="1" ht="15" x14ac:dyDescent="0.25">
      <c r="B565" s="21"/>
      <c r="C565" s="22"/>
      <c r="D565" s="29" t="str">
        <f t="shared" si="8"/>
        <v/>
      </c>
      <c r="E565" s="22"/>
      <c r="F565" s="22" t="str">
        <f ca="1">auto_pop!H565</f>
        <v/>
      </c>
      <c r="G565" s="33"/>
      <c r="H565" s="33"/>
    </row>
    <row r="566" spans="2:8" s="2" customFormat="1" ht="15" x14ac:dyDescent="0.25">
      <c r="B566" s="21"/>
      <c r="C566" s="22"/>
      <c r="D566" s="29" t="str">
        <f t="shared" si="8"/>
        <v/>
      </c>
      <c r="E566" s="22"/>
      <c r="F566" s="22" t="str">
        <f ca="1">auto_pop!H566</f>
        <v/>
      </c>
      <c r="G566" s="33"/>
      <c r="H566" s="33"/>
    </row>
    <row r="567" spans="2:8" s="2" customFormat="1" ht="15" x14ac:dyDescent="0.25">
      <c r="B567" s="21"/>
      <c r="C567" s="22"/>
      <c r="D567" s="29" t="str">
        <f t="shared" si="8"/>
        <v/>
      </c>
      <c r="E567" s="22"/>
      <c r="F567" s="22" t="str">
        <f ca="1">auto_pop!H567</f>
        <v/>
      </c>
      <c r="G567" s="33"/>
      <c r="H567" s="33"/>
    </row>
    <row r="568" spans="2:8" s="2" customFormat="1" ht="15" x14ac:dyDescent="0.25">
      <c r="B568" s="21"/>
      <c r="C568" s="22"/>
      <c r="D568" s="29" t="str">
        <f t="shared" si="8"/>
        <v/>
      </c>
      <c r="E568" s="22"/>
      <c r="F568" s="22" t="str">
        <f ca="1">auto_pop!H568</f>
        <v/>
      </c>
      <c r="G568" s="33"/>
      <c r="H568" s="33"/>
    </row>
    <row r="569" spans="2:8" s="2" customFormat="1" ht="15" x14ac:dyDescent="0.25">
      <c r="B569" s="21"/>
      <c r="C569" s="22"/>
      <c r="D569" s="29" t="str">
        <f t="shared" si="8"/>
        <v/>
      </c>
      <c r="E569" s="22"/>
      <c r="F569" s="22" t="str">
        <f ca="1">auto_pop!H569</f>
        <v/>
      </c>
      <c r="G569" s="33"/>
      <c r="H569" s="33"/>
    </row>
    <row r="570" spans="2:8" s="2" customFormat="1" ht="15" x14ac:dyDescent="0.25">
      <c r="B570" s="21"/>
      <c r="C570" s="22"/>
      <c r="D570" s="29" t="str">
        <f t="shared" si="8"/>
        <v/>
      </c>
      <c r="E570" s="22"/>
      <c r="F570" s="22" t="str">
        <f ca="1">auto_pop!H570</f>
        <v/>
      </c>
      <c r="G570" s="33"/>
      <c r="H570" s="33"/>
    </row>
    <row r="571" spans="2:8" s="2" customFormat="1" ht="15" x14ac:dyDescent="0.25">
      <c r="B571" s="21"/>
      <c r="C571" s="22"/>
      <c r="D571" s="29" t="str">
        <f t="shared" si="8"/>
        <v/>
      </c>
      <c r="E571" s="22"/>
      <c r="F571" s="22" t="str">
        <f ca="1">auto_pop!H571</f>
        <v/>
      </c>
      <c r="G571" s="33"/>
      <c r="H571" s="33"/>
    </row>
    <row r="572" spans="2:8" s="2" customFormat="1" ht="15" x14ac:dyDescent="0.25">
      <c r="B572" s="21"/>
      <c r="C572" s="22"/>
      <c r="D572" s="29" t="str">
        <f t="shared" si="8"/>
        <v/>
      </c>
      <c r="E572" s="22"/>
      <c r="F572" s="22" t="str">
        <f ca="1">auto_pop!H572</f>
        <v/>
      </c>
      <c r="G572" s="33"/>
      <c r="H572" s="33"/>
    </row>
    <row r="573" spans="2:8" s="2" customFormat="1" ht="15" x14ac:dyDescent="0.25">
      <c r="B573" s="21"/>
      <c r="C573" s="22"/>
      <c r="D573" s="29" t="str">
        <f t="shared" si="8"/>
        <v/>
      </c>
      <c r="E573" s="22"/>
      <c r="F573" s="22" t="str">
        <f ca="1">auto_pop!H573</f>
        <v/>
      </c>
      <c r="G573" s="33"/>
      <c r="H573" s="33"/>
    </row>
    <row r="574" spans="2:8" s="2" customFormat="1" ht="15" x14ac:dyDescent="0.25">
      <c r="B574" s="21"/>
      <c r="C574" s="22"/>
      <c r="D574" s="29" t="str">
        <f t="shared" si="8"/>
        <v/>
      </c>
      <c r="E574" s="22"/>
      <c r="F574" s="22" t="str">
        <f ca="1">auto_pop!H574</f>
        <v/>
      </c>
      <c r="G574" s="33"/>
      <c r="H574" s="33"/>
    </row>
    <row r="575" spans="2:8" s="2" customFormat="1" ht="15" x14ac:dyDescent="0.25">
      <c r="B575" s="21"/>
      <c r="C575" s="22"/>
      <c r="D575" s="29" t="str">
        <f t="shared" si="8"/>
        <v/>
      </c>
      <c r="E575" s="22"/>
      <c r="F575" s="22" t="str">
        <f ca="1">auto_pop!H575</f>
        <v/>
      </c>
      <c r="G575" s="33"/>
      <c r="H575" s="33"/>
    </row>
    <row r="576" spans="2:8" s="2" customFormat="1" ht="15" x14ac:dyDescent="0.25">
      <c r="B576" s="21"/>
      <c r="C576" s="22"/>
      <c r="D576" s="29" t="str">
        <f t="shared" si="8"/>
        <v/>
      </c>
      <c r="E576" s="22"/>
      <c r="F576" s="22" t="str">
        <f ca="1">auto_pop!H576</f>
        <v/>
      </c>
      <c r="G576" s="33"/>
      <c r="H576" s="33"/>
    </row>
    <row r="577" spans="2:8" s="2" customFormat="1" ht="15" x14ac:dyDescent="0.25">
      <c r="B577" s="21"/>
      <c r="C577" s="22"/>
      <c r="D577" s="29" t="str">
        <f t="shared" si="8"/>
        <v/>
      </c>
      <c r="E577" s="22"/>
      <c r="F577" s="22" t="str">
        <f ca="1">auto_pop!H577</f>
        <v/>
      </c>
      <c r="G577" s="33"/>
      <c r="H577" s="33"/>
    </row>
    <row r="578" spans="2:8" s="2" customFormat="1" ht="15" x14ac:dyDescent="0.25">
      <c r="B578" s="21"/>
      <c r="C578" s="22"/>
      <c r="D578" s="29" t="str">
        <f t="shared" si="8"/>
        <v/>
      </c>
      <c r="E578" s="22"/>
      <c r="F578" s="22" t="str">
        <f ca="1">auto_pop!H578</f>
        <v/>
      </c>
      <c r="G578" s="33"/>
      <c r="H578" s="33"/>
    </row>
    <row r="579" spans="2:8" s="2" customFormat="1" ht="15" x14ac:dyDescent="0.25">
      <c r="B579" s="21"/>
      <c r="C579" s="22"/>
      <c r="D579" s="29" t="str">
        <f t="shared" si="8"/>
        <v/>
      </c>
      <c r="E579" s="22"/>
      <c r="F579" s="22" t="str">
        <f ca="1">auto_pop!H579</f>
        <v/>
      </c>
      <c r="G579" s="33"/>
      <c r="H579" s="33"/>
    </row>
    <row r="580" spans="2:8" s="2" customFormat="1" ht="15" x14ac:dyDescent="0.25">
      <c r="B580" s="21"/>
      <c r="C580" s="22"/>
      <c r="D580" s="29" t="str">
        <f t="shared" ref="D580:D643" si="9">IF(C580&lt;&gt;"", IF(OR(C580="Chapin", C580="Oatka", C580="Seneca"), "", 1), "")</f>
        <v/>
      </c>
      <c r="E580" s="22"/>
      <c r="F580" s="22" t="str">
        <f ca="1">auto_pop!H580</f>
        <v/>
      </c>
      <c r="G580" s="33"/>
      <c r="H580" s="33"/>
    </row>
    <row r="581" spans="2:8" s="2" customFormat="1" ht="15" x14ac:dyDescent="0.25">
      <c r="B581" s="21"/>
      <c r="C581" s="22"/>
      <c r="D581" s="29" t="str">
        <f t="shared" si="9"/>
        <v/>
      </c>
      <c r="E581" s="22"/>
      <c r="F581" s="22" t="str">
        <f ca="1">auto_pop!H581</f>
        <v/>
      </c>
      <c r="G581" s="33"/>
      <c r="H581" s="33"/>
    </row>
    <row r="582" spans="2:8" s="2" customFormat="1" ht="15" x14ac:dyDescent="0.25">
      <c r="B582" s="21"/>
      <c r="C582" s="22"/>
      <c r="D582" s="29" t="str">
        <f t="shared" si="9"/>
        <v/>
      </c>
      <c r="E582" s="22"/>
      <c r="F582" s="22" t="str">
        <f ca="1">auto_pop!H582</f>
        <v/>
      </c>
      <c r="G582" s="33"/>
      <c r="H582" s="33"/>
    </row>
    <row r="583" spans="2:8" s="2" customFormat="1" ht="15" x14ac:dyDescent="0.25">
      <c r="B583" s="21"/>
      <c r="C583" s="22"/>
      <c r="D583" s="29" t="str">
        <f t="shared" si="9"/>
        <v/>
      </c>
      <c r="E583" s="22"/>
      <c r="F583" s="22" t="str">
        <f ca="1">auto_pop!H583</f>
        <v/>
      </c>
      <c r="G583" s="33"/>
      <c r="H583" s="33"/>
    </row>
    <row r="584" spans="2:8" s="2" customFormat="1" ht="15" x14ac:dyDescent="0.25">
      <c r="B584" s="21"/>
      <c r="C584" s="22"/>
      <c r="D584" s="29" t="str">
        <f t="shared" si="9"/>
        <v/>
      </c>
      <c r="E584" s="22"/>
      <c r="F584" s="22" t="str">
        <f ca="1">auto_pop!H584</f>
        <v/>
      </c>
      <c r="G584" s="33"/>
      <c r="H584" s="33"/>
    </row>
    <row r="585" spans="2:8" s="2" customFormat="1" ht="15" x14ac:dyDescent="0.25">
      <c r="B585" s="21"/>
      <c r="C585" s="22"/>
      <c r="D585" s="29" t="str">
        <f t="shared" si="9"/>
        <v/>
      </c>
      <c r="E585" s="22"/>
      <c r="F585" s="22" t="str">
        <f ca="1">auto_pop!H585</f>
        <v/>
      </c>
      <c r="G585" s="33"/>
      <c r="H585" s="33"/>
    </row>
    <row r="586" spans="2:8" s="2" customFormat="1" ht="15" x14ac:dyDescent="0.25">
      <c r="B586" s="21"/>
      <c r="C586" s="22"/>
      <c r="D586" s="29" t="str">
        <f t="shared" si="9"/>
        <v/>
      </c>
      <c r="E586" s="22"/>
      <c r="F586" s="22" t="str">
        <f ca="1">auto_pop!H586</f>
        <v/>
      </c>
      <c r="G586" s="33"/>
      <c r="H586" s="33"/>
    </row>
    <row r="587" spans="2:8" s="2" customFormat="1" ht="15" x14ac:dyDescent="0.25">
      <c r="B587" s="21"/>
      <c r="C587" s="22"/>
      <c r="D587" s="29" t="str">
        <f t="shared" si="9"/>
        <v/>
      </c>
      <c r="E587" s="22"/>
      <c r="F587" s="22" t="str">
        <f ca="1">auto_pop!H587</f>
        <v/>
      </c>
      <c r="G587" s="33"/>
      <c r="H587" s="33"/>
    </row>
    <row r="588" spans="2:8" s="2" customFormat="1" ht="15" x14ac:dyDescent="0.25">
      <c r="B588" s="21"/>
      <c r="C588" s="22"/>
      <c r="D588" s="29" t="str">
        <f t="shared" si="9"/>
        <v/>
      </c>
      <c r="E588" s="22"/>
      <c r="F588" s="22" t="str">
        <f ca="1">auto_pop!H588</f>
        <v/>
      </c>
      <c r="G588" s="33"/>
      <c r="H588" s="33"/>
    </row>
    <row r="589" spans="2:8" s="2" customFormat="1" ht="15" x14ac:dyDescent="0.25">
      <c r="B589" s="21"/>
      <c r="C589" s="22"/>
      <c r="D589" s="29" t="str">
        <f t="shared" si="9"/>
        <v/>
      </c>
      <c r="E589" s="22"/>
      <c r="F589" s="22" t="str">
        <f ca="1">auto_pop!H589</f>
        <v/>
      </c>
      <c r="G589" s="33"/>
      <c r="H589" s="33"/>
    </row>
    <row r="590" spans="2:8" s="2" customFormat="1" ht="15" x14ac:dyDescent="0.25">
      <c r="B590" s="21"/>
      <c r="C590" s="22"/>
      <c r="D590" s="29" t="str">
        <f t="shared" si="9"/>
        <v/>
      </c>
      <c r="E590" s="22"/>
      <c r="F590" s="22" t="str">
        <f ca="1">auto_pop!H590</f>
        <v/>
      </c>
      <c r="G590" s="33"/>
      <c r="H590" s="33"/>
    </row>
    <row r="591" spans="2:8" s="2" customFormat="1" ht="15" x14ac:dyDescent="0.25">
      <c r="B591" s="21"/>
      <c r="C591" s="22"/>
      <c r="D591" s="29" t="str">
        <f t="shared" si="9"/>
        <v/>
      </c>
      <c r="E591" s="22"/>
      <c r="F591" s="22" t="str">
        <f ca="1">auto_pop!H591</f>
        <v/>
      </c>
      <c r="G591" s="33"/>
      <c r="H591" s="33"/>
    </row>
    <row r="592" spans="2:8" s="2" customFormat="1" ht="15" x14ac:dyDescent="0.25">
      <c r="B592" s="21"/>
      <c r="C592" s="22"/>
      <c r="D592" s="29" t="str">
        <f t="shared" si="9"/>
        <v/>
      </c>
      <c r="E592" s="22"/>
      <c r="F592" s="22" t="str">
        <f ca="1">auto_pop!H592</f>
        <v/>
      </c>
      <c r="G592" s="33"/>
      <c r="H592" s="33"/>
    </row>
    <row r="593" spans="2:8" s="2" customFormat="1" ht="15" x14ac:dyDescent="0.25">
      <c r="B593" s="21"/>
      <c r="C593" s="22"/>
      <c r="D593" s="29" t="str">
        <f t="shared" si="9"/>
        <v/>
      </c>
      <c r="E593" s="22"/>
      <c r="F593" s="22" t="str">
        <f ca="1">auto_pop!H593</f>
        <v/>
      </c>
      <c r="G593" s="33"/>
      <c r="H593" s="33"/>
    </row>
    <row r="594" spans="2:8" s="2" customFormat="1" ht="15" x14ac:dyDescent="0.25">
      <c r="B594" s="21"/>
      <c r="C594" s="22"/>
      <c r="D594" s="29" t="str">
        <f t="shared" si="9"/>
        <v/>
      </c>
      <c r="E594" s="22"/>
      <c r="F594" s="22" t="str">
        <f ca="1">auto_pop!H594</f>
        <v/>
      </c>
      <c r="G594" s="33"/>
      <c r="H594" s="33"/>
    </row>
    <row r="595" spans="2:8" s="2" customFormat="1" ht="15" x14ac:dyDescent="0.25">
      <c r="B595" s="21"/>
      <c r="C595" s="22"/>
      <c r="D595" s="29" t="str">
        <f t="shared" si="9"/>
        <v/>
      </c>
      <c r="E595" s="22"/>
      <c r="F595" s="22" t="str">
        <f ca="1">auto_pop!H595</f>
        <v/>
      </c>
      <c r="G595" s="33"/>
      <c r="H595" s="33"/>
    </row>
    <row r="596" spans="2:8" s="2" customFormat="1" ht="15" x14ac:dyDescent="0.25">
      <c r="B596" s="21"/>
      <c r="C596" s="22"/>
      <c r="D596" s="29" t="str">
        <f t="shared" si="9"/>
        <v/>
      </c>
      <c r="E596" s="22"/>
      <c r="F596" s="22" t="str">
        <f ca="1">auto_pop!H596</f>
        <v/>
      </c>
      <c r="G596" s="33"/>
      <c r="H596" s="33"/>
    </row>
    <row r="597" spans="2:8" s="2" customFormat="1" ht="15" x14ac:dyDescent="0.25">
      <c r="B597" s="21"/>
      <c r="C597" s="22"/>
      <c r="D597" s="29" t="str">
        <f t="shared" si="9"/>
        <v/>
      </c>
      <c r="E597" s="22"/>
      <c r="F597" s="22" t="str">
        <f ca="1">auto_pop!H597</f>
        <v/>
      </c>
      <c r="G597" s="33"/>
      <c r="H597" s="33"/>
    </row>
    <row r="598" spans="2:8" s="2" customFormat="1" ht="15" x14ac:dyDescent="0.25">
      <c r="B598" s="21"/>
      <c r="C598" s="22"/>
      <c r="D598" s="29" t="str">
        <f t="shared" si="9"/>
        <v/>
      </c>
      <c r="E598" s="22"/>
      <c r="F598" s="22" t="str">
        <f ca="1">auto_pop!H598</f>
        <v/>
      </c>
      <c r="G598" s="33"/>
      <c r="H598" s="33"/>
    </row>
    <row r="599" spans="2:8" s="2" customFormat="1" ht="15" x14ac:dyDescent="0.25">
      <c r="B599" s="21"/>
      <c r="C599" s="22"/>
      <c r="D599" s="29" t="str">
        <f t="shared" si="9"/>
        <v/>
      </c>
      <c r="E599" s="22"/>
      <c r="F599" s="22" t="str">
        <f ca="1">auto_pop!H599</f>
        <v/>
      </c>
      <c r="G599" s="33"/>
      <c r="H599" s="33"/>
    </row>
    <row r="600" spans="2:8" s="2" customFormat="1" ht="15" x14ac:dyDescent="0.25">
      <c r="B600" s="21"/>
      <c r="C600" s="22"/>
      <c r="D600" s="29" t="str">
        <f t="shared" si="9"/>
        <v/>
      </c>
      <c r="E600" s="22"/>
      <c r="F600" s="22" t="str">
        <f ca="1">auto_pop!H600</f>
        <v/>
      </c>
      <c r="G600" s="33"/>
      <c r="H600" s="33"/>
    </row>
    <row r="601" spans="2:8" s="2" customFormat="1" ht="15" x14ac:dyDescent="0.25">
      <c r="B601" s="21"/>
      <c r="C601" s="22"/>
      <c r="D601" s="29" t="str">
        <f t="shared" si="9"/>
        <v/>
      </c>
      <c r="E601" s="22"/>
      <c r="F601" s="22" t="str">
        <f ca="1">auto_pop!H601</f>
        <v/>
      </c>
      <c r="G601" s="33"/>
      <c r="H601" s="33"/>
    </row>
    <row r="602" spans="2:8" s="2" customFormat="1" ht="15" x14ac:dyDescent="0.25">
      <c r="B602" s="21"/>
      <c r="C602" s="22"/>
      <c r="D602" s="29" t="str">
        <f t="shared" si="9"/>
        <v/>
      </c>
      <c r="E602" s="22"/>
      <c r="F602" s="22" t="str">
        <f ca="1">auto_pop!H602</f>
        <v/>
      </c>
      <c r="G602" s="33"/>
      <c r="H602" s="33"/>
    </row>
    <row r="603" spans="2:8" s="2" customFormat="1" ht="15" x14ac:dyDescent="0.25">
      <c r="B603" s="21"/>
      <c r="C603" s="22"/>
      <c r="D603" s="29" t="str">
        <f t="shared" si="9"/>
        <v/>
      </c>
      <c r="E603" s="22"/>
      <c r="F603" s="22" t="str">
        <f ca="1">auto_pop!H603</f>
        <v/>
      </c>
      <c r="G603" s="33"/>
      <c r="H603" s="33"/>
    </row>
    <row r="604" spans="2:8" s="2" customFormat="1" ht="15" x14ac:dyDescent="0.25">
      <c r="B604" s="21"/>
      <c r="C604" s="22"/>
      <c r="D604" s="29" t="str">
        <f t="shared" si="9"/>
        <v/>
      </c>
      <c r="E604" s="22"/>
      <c r="F604" s="22" t="str">
        <f ca="1">auto_pop!H604</f>
        <v/>
      </c>
      <c r="G604" s="33"/>
      <c r="H604" s="33"/>
    </row>
    <row r="605" spans="2:8" s="2" customFormat="1" ht="15" x14ac:dyDescent="0.25">
      <c r="B605" s="21"/>
      <c r="C605" s="22"/>
      <c r="D605" s="29" t="str">
        <f t="shared" si="9"/>
        <v/>
      </c>
      <c r="E605" s="22"/>
      <c r="F605" s="22" t="str">
        <f ca="1">auto_pop!H605</f>
        <v/>
      </c>
      <c r="G605" s="33"/>
      <c r="H605" s="33"/>
    </row>
    <row r="606" spans="2:8" s="2" customFormat="1" ht="15" x14ac:dyDescent="0.25">
      <c r="B606" s="21"/>
      <c r="C606" s="22"/>
      <c r="D606" s="29" t="str">
        <f t="shared" si="9"/>
        <v/>
      </c>
      <c r="E606" s="22"/>
      <c r="F606" s="22" t="str">
        <f ca="1">auto_pop!H606</f>
        <v/>
      </c>
      <c r="G606" s="33"/>
      <c r="H606" s="33"/>
    </row>
    <row r="607" spans="2:8" s="2" customFormat="1" ht="15" x14ac:dyDescent="0.25">
      <c r="B607" s="21"/>
      <c r="C607" s="22"/>
      <c r="D607" s="29" t="str">
        <f t="shared" si="9"/>
        <v/>
      </c>
      <c r="E607" s="22"/>
      <c r="F607" s="22" t="str">
        <f ca="1">auto_pop!H607</f>
        <v/>
      </c>
      <c r="G607" s="33"/>
      <c r="H607" s="33"/>
    </row>
    <row r="608" spans="2:8" s="2" customFormat="1" ht="15" x14ac:dyDescent="0.25">
      <c r="B608" s="21"/>
      <c r="C608" s="22"/>
      <c r="D608" s="29" t="str">
        <f t="shared" si="9"/>
        <v/>
      </c>
      <c r="E608" s="22"/>
      <c r="F608" s="22" t="str">
        <f ca="1">auto_pop!H608</f>
        <v/>
      </c>
      <c r="G608" s="33"/>
      <c r="H608" s="33"/>
    </row>
    <row r="609" spans="2:8" s="2" customFormat="1" ht="15" x14ac:dyDescent="0.25">
      <c r="B609" s="21"/>
      <c r="C609" s="22"/>
      <c r="D609" s="29" t="str">
        <f t="shared" si="9"/>
        <v/>
      </c>
      <c r="E609" s="22"/>
      <c r="F609" s="22" t="str">
        <f ca="1">auto_pop!H609</f>
        <v/>
      </c>
      <c r="G609" s="33"/>
      <c r="H609" s="33"/>
    </row>
    <row r="610" spans="2:8" s="2" customFormat="1" ht="15" x14ac:dyDescent="0.25">
      <c r="B610" s="21"/>
      <c r="C610" s="22"/>
      <c r="D610" s="29" t="str">
        <f t="shared" si="9"/>
        <v/>
      </c>
      <c r="E610" s="22"/>
      <c r="F610" s="22" t="str">
        <f ca="1">auto_pop!H610</f>
        <v/>
      </c>
      <c r="G610" s="33"/>
      <c r="H610" s="33"/>
    </row>
    <row r="611" spans="2:8" s="2" customFormat="1" ht="15" x14ac:dyDescent="0.25">
      <c r="B611" s="21"/>
      <c r="C611" s="22"/>
      <c r="D611" s="29" t="str">
        <f t="shared" si="9"/>
        <v/>
      </c>
      <c r="E611" s="22"/>
      <c r="F611" s="22" t="str">
        <f ca="1">auto_pop!H611</f>
        <v/>
      </c>
      <c r="G611" s="33"/>
      <c r="H611" s="33"/>
    </row>
    <row r="612" spans="2:8" s="2" customFormat="1" ht="15" x14ac:dyDescent="0.25">
      <c r="B612" s="21"/>
      <c r="C612" s="22"/>
      <c r="D612" s="29" t="str">
        <f t="shared" si="9"/>
        <v/>
      </c>
      <c r="E612" s="22"/>
      <c r="F612" s="22" t="str">
        <f ca="1">auto_pop!H612</f>
        <v/>
      </c>
      <c r="G612" s="33"/>
      <c r="H612" s="33"/>
    </row>
    <row r="613" spans="2:8" s="2" customFormat="1" ht="15" x14ac:dyDescent="0.25">
      <c r="B613" s="21"/>
      <c r="C613" s="22"/>
      <c r="D613" s="29" t="str">
        <f t="shared" si="9"/>
        <v/>
      </c>
      <c r="E613" s="22"/>
      <c r="F613" s="22" t="str">
        <f ca="1">auto_pop!H613</f>
        <v/>
      </c>
      <c r="G613" s="33"/>
      <c r="H613" s="33"/>
    </row>
    <row r="614" spans="2:8" s="2" customFormat="1" ht="15" x14ac:dyDescent="0.25">
      <c r="B614" s="21"/>
      <c r="C614" s="22"/>
      <c r="D614" s="29" t="str">
        <f t="shared" si="9"/>
        <v/>
      </c>
      <c r="E614" s="22"/>
      <c r="F614" s="22" t="str">
        <f ca="1">auto_pop!H614</f>
        <v/>
      </c>
      <c r="G614" s="33"/>
      <c r="H614" s="33"/>
    </row>
    <row r="615" spans="2:8" s="2" customFormat="1" ht="15" x14ac:dyDescent="0.25">
      <c r="B615" s="21"/>
      <c r="C615" s="22"/>
      <c r="D615" s="29" t="str">
        <f t="shared" si="9"/>
        <v/>
      </c>
      <c r="E615" s="22"/>
      <c r="F615" s="22" t="str">
        <f ca="1">auto_pop!H615</f>
        <v/>
      </c>
      <c r="G615" s="33"/>
      <c r="H615" s="33"/>
    </row>
    <row r="616" spans="2:8" s="2" customFormat="1" ht="15" x14ac:dyDescent="0.25">
      <c r="B616" s="21"/>
      <c r="C616" s="22"/>
      <c r="D616" s="29" t="str">
        <f t="shared" si="9"/>
        <v/>
      </c>
      <c r="E616" s="22"/>
      <c r="F616" s="22" t="str">
        <f ca="1">auto_pop!H616</f>
        <v/>
      </c>
      <c r="G616" s="33"/>
      <c r="H616" s="33"/>
    </row>
    <row r="617" spans="2:8" s="2" customFormat="1" ht="15" x14ac:dyDescent="0.25">
      <c r="B617" s="21"/>
      <c r="C617" s="22"/>
      <c r="D617" s="29" t="str">
        <f t="shared" si="9"/>
        <v/>
      </c>
      <c r="E617" s="22"/>
      <c r="F617" s="22" t="str">
        <f ca="1">auto_pop!H617</f>
        <v/>
      </c>
      <c r="G617" s="33"/>
      <c r="H617" s="33"/>
    </row>
    <row r="618" spans="2:8" s="2" customFormat="1" ht="15" x14ac:dyDescent="0.25">
      <c r="B618" s="21"/>
      <c r="C618" s="22"/>
      <c r="D618" s="29" t="str">
        <f t="shared" si="9"/>
        <v/>
      </c>
      <c r="E618" s="22"/>
      <c r="F618" s="22" t="str">
        <f ca="1">auto_pop!H618</f>
        <v/>
      </c>
      <c r="G618" s="33"/>
      <c r="H618" s="33"/>
    </row>
    <row r="619" spans="2:8" s="2" customFormat="1" ht="15" x14ac:dyDescent="0.25">
      <c r="B619" s="21"/>
      <c r="C619" s="22"/>
      <c r="D619" s="29" t="str">
        <f t="shared" si="9"/>
        <v/>
      </c>
      <c r="E619" s="22"/>
      <c r="F619" s="22" t="str">
        <f ca="1">auto_pop!H619</f>
        <v/>
      </c>
      <c r="G619" s="33"/>
      <c r="H619" s="33"/>
    </row>
    <row r="620" spans="2:8" s="2" customFormat="1" ht="15" x14ac:dyDescent="0.25">
      <c r="B620" s="21"/>
      <c r="C620" s="22"/>
      <c r="D620" s="29" t="str">
        <f t="shared" si="9"/>
        <v/>
      </c>
      <c r="E620" s="22"/>
      <c r="F620" s="22" t="str">
        <f ca="1">auto_pop!H620</f>
        <v/>
      </c>
      <c r="G620" s="33"/>
      <c r="H620" s="33"/>
    </row>
    <row r="621" spans="2:8" s="2" customFormat="1" ht="15" x14ac:dyDescent="0.25">
      <c r="B621" s="21"/>
      <c r="C621" s="22"/>
      <c r="D621" s="29" t="str">
        <f t="shared" si="9"/>
        <v/>
      </c>
      <c r="E621" s="22"/>
      <c r="F621" s="22" t="str">
        <f ca="1">auto_pop!H621</f>
        <v/>
      </c>
      <c r="G621" s="33"/>
      <c r="H621" s="33"/>
    </row>
    <row r="622" spans="2:8" s="2" customFormat="1" ht="15" x14ac:dyDescent="0.25">
      <c r="B622" s="21"/>
      <c r="C622" s="22"/>
      <c r="D622" s="29" t="str">
        <f t="shared" si="9"/>
        <v/>
      </c>
      <c r="E622" s="22"/>
      <c r="F622" s="22" t="str">
        <f ca="1">auto_pop!H622</f>
        <v/>
      </c>
      <c r="G622" s="33"/>
      <c r="H622" s="33"/>
    </row>
    <row r="623" spans="2:8" s="2" customFormat="1" ht="15" x14ac:dyDescent="0.25">
      <c r="B623" s="21"/>
      <c r="C623" s="22"/>
      <c r="D623" s="29" t="str">
        <f t="shared" si="9"/>
        <v/>
      </c>
      <c r="E623" s="22"/>
      <c r="F623" s="22" t="str">
        <f ca="1">auto_pop!H623</f>
        <v/>
      </c>
      <c r="G623" s="33"/>
      <c r="H623" s="33"/>
    </row>
    <row r="624" spans="2:8" s="2" customFormat="1" ht="15" x14ac:dyDescent="0.25">
      <c r="B624" s="21"/>
      <c r="C624" s="22"/>
      <c r="D624" s="29" t="str">
        <f t="shared" si="9"/>
        <v/>
      </c>
      <c r="E624" s="22"/>
      <c r="F624" s="22" t="str">
        <f ca="1">auto_pop!H624</f>
        <v/>
      </c>
      <c r="G624" s="33"/>
      <c r="H624" s="33"/>
    </row>
    <row r="625" spans="2:8" s="2" customFormat="1" ht="15" x14ac:dyDescent="0.25">
      <c r="B625" s="21"/>
      <c r="C625" s="22"/>
      <c r="D625" s="29" t="str">
        <f t="shared" si="9"/>
        <v/>
      </c>
      <c r="E625" s="22"/>
      <c r="F625" s="22" t="str">
        <f ca="1">auto_pop!H625</f>
        <v/>
      </c>
      <c r="G625" s="33"/>
      <c r="H625" s="33"/>
    </row>
    <row r="626" spans="2:8" s="2" customFormat="1" ht="15" x14ac:dyDescent="0.25">
      <c r="B626" s="21"/>
      <c r="C626" s="22"/>
      <c r="D626" s="29" t="str">
        <f t="shared" si="9"/>
        <v/>
      </c>
      <c r="E626" s="22"/>
      <c r="F626" s="22" t="str">
        <f ca="1">auto_pop!H626</f>
        <v/>
      </c>
      <c r="G626" s="33"/>
      <c r="H626" s="33"/>
    </row>
    <row r="627" spans="2:8" s="2" customFormat="1" ht="15" x14ac:dyDescent="0.25">
      <c r="B627" s="21"/>
      <c r="C627" s="22"/>
      <c r="D627" s="29" t="str">
        <f t="shared" si="9"/>
        <v/>
      </c>
      <c r="E627" s="22"/>
      <c r="F627" s="22" t="str">
        <f ca="1">auto_pop!H627</f>
        <v/>
      </c>
      <c r="G627" s="33"/>
      <c r="H627" s="33"/>
    </row>
    <row r="628" spans="2:8" s="2" customFormat="1" ht="15" x14ac:dyDescent="0.25">
      <c r="B628" s="21"/>
      <c r="C628" s="22"/>
      <c r="D628" s="29" t="str">
        <f t="shared" si="9"/>
        <v/>
      </c>
      <c r="E628" s="22"/>
      <c r="F628" s="22" t="str">
        <f ca="1">auto_pop!H628</f>
        <v/>
      </c>
      <c r="G628" s="33"/>
      <c r="H628" s="33"/>
    </row>
    <row r="629" spans="2:8" s="2" customFormat="1" ht="15" x14ac:dyDescent="0.25">
      <c r="B629" s="21"/>
      <c r="C629" s="22"/>
      <c r="D629" s="29" t="str">
        <f t="shared" si="9"/>
        <v/>
      </c>
      <c r="E629" s="22"/>
      <c r="F629" s="22" t="str">
        <f ca="1">auto_pop!H629</f>
        <v/>
      </c>
      <c r="G629" s="33"/>
      <c r="H629" s="33"/>
    </row>
    <row r="630" spans="2:8" s="2" customFormat="1" ht="15" x14ac:dyDescent="0.25">
      <c r="B630" s="21"/>
      <c r="C630" s="22"/>
      <c r="D630" s="29" t="str">
        <f t="shared" si="9"/>
        <v/>
      </c>
      <c r="E630" s="22"/>
      <c r="F630" s="22" t="str">
        <f ca="1">auto_pop!H630</f>
        <v/>
      </c>
      <c r="G630" s="33"/>
      <c r="H630" s="33"/>
    </row>
    <row r="631" spans="2:8" s="2" customFormat="1" ht="15" x14ac:dyDescent="0.25">
      <c r="B631" s="21"/>
      <c r="C631" s="22"/>
      <c r="D631" s="29" t="str">
        <f t="shared" si="9"/>
        <v/>
      </c>
      <c r="E631" s="22"/>
      <c r="F631" s="22" t="str">
        <f ca="1">auto_pop!H631</f>
        <v/>
      </c>
      <c r="G631" s="33"/>
      <c r="H631" s="33"/>
    </row>
    <row r="632" spans="2:8" s="2" customFormat="1" ht="15" x14ac:dyDescent="0.25">
      <c r="B632" s="21"/>
      <c r="C632" s="22"/>
      <c r="D632" s="29" t="str">
        <f t="shared" si="9"/>
        <v/>
      </c>
      <c r="E632" s="22"/>
      <c r="F632" s="22" t="str">
        <f ca="1">auto_pop!H632</f>
        <v/>
      </c>
      <c r="G632" s="33"/>
      <c r="H632" s="33"/>
    </row>
    <row r="633" spans="2:8" s="2" customFormat="1" ht="15" x14ac:dyDescent="0.25">
      <c r="B633" s="21"/>
      <c r="C633" s="22"/>
      <c r="D633" s="29" t="str">
        <f t="shared" si="9"/>
        <v/>
      </c>
      <c r="E633" s="22"/>
      <c r="F633" s="22" t="str">
        <f ca="1">auto_pop!H633</f>
        <v/>
      </c>
      <c r="G633" s="33"/>
      <c r="H633" s="33"/>
    </row>
    <row r="634" spans="2:8" s="2" customFormat="1" ht="15" x14ac:dyDescent="0.25">
      <c r="B634" s="21"/>
      <c r="C634" s="22"/>
      <c r="D634" s="29" t="str">
        <f t="shared" si="9"/>
        <v/>
      </c>
      <c r="E634" s="22"/>
      <c r="F634" s="22" t="str">
        <f ca="1">auto_pop!H634</f>
        <v/>
      </c>
      <c r="G634" s="33"/>
      <c r="H634" s="33"/>
    </row>
    <row r="635" spans="2:8" s="2" customFormat="1" ht="15" x14ac:dyDescent="0.25">
      <c r="B635" s="21"/>
      <c r="C635" s="22"/>
      <c r="D635" s="29" t="str">
        <f t="shared" si="9"/>
        <v/>
      </c>
      <c r="E635" s="22"/>
      <c r="F635" s="22" t="str">
        <f ca="1">auto_pop!H635</f>
        <v/>
      </c>
      <c r="G635" s="33"/>
      <c r="H635" s="33"/>
    </row>
    <row r="636" spans="2:8" s="2" customFormat="1" ht="15" x14ac:dyDescent="0.25">
      <c r="B636" s="21"/>
      <c r="C636" s="22"/>
      <c r="D636" s="29" t="str">
        <f t="shared" si="9"/>
        <v/>
      </c>
      <c r="E636" s="22"/>
      <c r="F636" s="22" t="str">
        <f ca="1">auto_pop!H636</f>
        <v/>
      </c>
      <c r="G636" s="33"/>
      <c r="H636" s="33"/>
    </row>
    <row r="637" spans="2:8" s="2" customFormat="1" ht="15" x14ac:dyDescent="0.25">
      <c r="B637" s="21"/>
      <c r="C637" s="22"/>
      <c r="D637" s="29" t="str">
        <f t="shared" si="9"/>
        <v/>
      </c>
      <c r="E637" s="22"/>
      <c r="F637" s="22" t="str">
        <f ca="1">auto_pop!H637</f>
        <v/>
      </c>
      <c r="G637" s="33"/>
      <c r="H637" s="33"/>
    </row>
    <row r="638" spans="2:8" s="2" customFormat="1" ht="15" x14ac:dyDescent="0.25">
      <c r="B638" s="21"/>
      <c r="C638" s="22"/>
      <c r="D638" s="29" t="str">
        <f t="shared" si="9"/>
        <v/>
      </c>
      <c r="E638" s="22"/>
      <c r="F638" s="22" t="str">
        <f ca="1">auto_pop!H638</f>
        <v/>
      </c>
      <c r="G638" s="33"/>
      <c r="H638" s="33"/>
    </row>
    <row r="639" spans="2:8" s="2" customFormat="1" ht="15" x14ac:dyDescent="0.25">
      <c r="B639" s="21"/>
      <c r="C639" s="22"/>
      <c r="D639" s="29" t="str">
        <f t="shared" si="9"/>
        <v/>
      </c>
      <c r="E639" s="22"/>
      <c r="F639" s="22" t="str">
        <f ca="1">auto_pop!H639</f>
        <v/>
      </c>
      <c r="G639" s="33"/>
      <c r="H639" s="33"/>
    </row>
    <row r="640" spans="2:8" s="2" customFormat="1" ht="15" x14ac:dyDescent="0.25">
      <c r="B640" s="21"/>
      <c r="C640" s="22"/>
      <c r="D640" s="29" t="str">
        <f t="shared" si="9"/>
        <v/>
      </c>
      <c r="E640" s="22"/>
      <c r="F640" s="22" t="str">
        <f ca="1">auto_pop!H640</f>
        <v/>
      </c>
      <c r="G640" s="33"/>
      <c r="H640" s="33"/>
    </row>
    <row r="641" spans="2:8" s="2" customFormat="1" ht="15" x14ac:dyDescent="0.25">
      <c r="B641" s="21"/>
      <c r="C641" s="22"/>
      <c r="D641" s="29" t="str">
        <f t="shared" si="9"/>
        <v/>
      </c>
      <c r="E641" s="22"/>
      <c r="F641" s="22" t="str">
        <f ca="1">auto_pop!H641</f>
        <v/>
      </c>
      <c r="G641" s="33"/>
      <c r="H641" s="33"/>
    </row>
    <row r="642" spans="2:8" s="2" customFormat="1" ht="15" x14ac:dyDescent="0.25">
      <c r="B642" s="21"/>
      <c r="C642" s="22"/>
      <c r="D642" s="29" t="str">
        <f t="shared" si="9"/>
        <v/>
      </c>
      <c r="E642" s="22"/>
      <c r="F642" s="22" t="str">
        <f ca="1">auto_pop!H642</f>
        <v/>
      </c>
      <c r="G642" s="33"/>
      <c r="H642" s="33"/>
    </row>
    <row r="643" spans="2:8" s="2" customFormat="1" ht="15" x14ac:dyDescent="0.25">
      <c r="B643" s="21"/>
      <c r="C643" s="22"/>
      <c r="D643" s="29" t="str">
        <f t="shared" si="9"/>
        <v/>
      </c>
      <c r="E643" s="22"/>
      <c r="F643" s="22" t="str">
        <f ca="1">auto_pop!H643</f>
        <v/>
      </c>
      <c r="G643" s="33"/>
      <c r="H643" s="33"/>
    </row>
    <row r="644" spans="2:8" s="2" customFormat="1" ht="15" x14ac:dyDescent="0.25">
      <c r="B644" s="21"/>
      <c r="C644" s="22"/>
      <c r="D644" s="29" t="str">
        <f t="shared" ref="D644:D707" si="10">IF(C644&lt;&gt;"", IF(OR(C644="Chapin", C644="Oatka", C644="Seneca"), "", 1), "")</f>
        <v/>
      </c>
      <c r="E644" s="22"/>
      <c r="F644" s="22" t="str">
        <f ca="1">auto_pop!H644</f>
        <v/>
      </c>
      <c r="G644" s="33"/>
      <c r="H644" s="33"/>
    </row>
    <row r="645" spans="2:8" s="2" customFormat="1" ht="15" x14ac:dyDescent="0.25">
      <c r="B645" s="21"/>
      <c r="C645" s="22"/>
      <c r="D645" s="29" t="str">
        <f t="shared" si="10"/>
        <v/>
      </c>
      <c r="E645" s="22"/>
      <c r="F645" s="22" t="str">
        <f ca="1">auto_pop!H645</f>
        <v/>
      </c>
      <c r="G645" s="33"/>
      <c r="H645" s="33"/>
    </row>
    <row r="646" spans="2:8" s="2" customFormat="1" ht="15" x14ac:dyDescent="0.25">
      <c r="B646" s="21"/>
      <c r="C646" s="22"/>
      <c r="D646" s="29" t="str">
        <f t="shared" si="10"/>
        <v/>
      </c>
      <c r="E646" s="22"/>
      <c r="F646" s="22" t="str">
        <f ca="1">auto_pop!H646</f>
        <v/>
      </c>
      <c r="G646" s="33"/>
      <c r="H646" s="33"/>
    </row>
    <row r="647" spans="2:8" s="2" customFormat="1" ht="15" x14ac:dyDescent="0.25">
      <c r="B647" s="21"/>
      <c r="C647" s="22"/>
      <c r="D647" s="29" t="str">
        <f t="shared" si="10"/>
        <v/>
      </c>
      <c r="E647" s="22"/>
      <c r="F647" s="22" t="str">
        <f ca="1">auto_pop!H647</f>
        <v/>
      </c>
      <c r="G647" s="33"/>
      <c r="H647" s="33"/>
    </row>
    <row r="648" spans="2:8" s="2" customFormat="1" ht="15" x14ac:dyDescent="0.25">
      <c r="B648" s="21"/>
      <c r="C648" s="22"/>
      <c r="D648" s="29" t="str">
        <f t="shared" si="10"/>
        <v/>
      </c>
      <c r="E648" s="22"/>
      <c r="F648" s="22" t="str">
        <f ca="1">auto_pop!H648</f>
        <v/>
      </c>
      <c r="G648" s="33"/>
      <c r="H648" s="33"/>
    </row>
    <row r="649" spans="2:8" s="2" customFormat="1" ht="15" x14ac:dyDescent="0.25">
      <c r="B649" s="21"/>
      <c r="C649" s="22"/>
      <c r="D649" s="29" t="str">
        <f t="shared" si="10"/>
        <v/>
      </c>
      <c r="E649" s="22"/>
      <c r="F649" s="22" t="str">
        <f ca="1">auto_pop!H649</f>
        <v/>
      </c>
      <c r="G649" s="33"/>
      <c r="H649" s="33"/>
    </row>
    <row r="650" spans="2:8" s="2" customFormat="1" ht="15" x14ac:dyDescent="0.25">
      <c r="B650" s="21"/>
      <c r="C650" s="22"/>
      <c r="D650" s="29" t="str">
        <f t="shared" si="10"/>
        <v/>
      </c>
      <c r="E650" s="22"/>
      <c r="F650" s="22" t="str">
        <f ca="1">auto_pop!H650</f>
        <v/>
      </c>
      <c r="G650" s="33"/>
      <c r="H650" s="33"/>
    </row>
    <row r="651" spans="2:8" s="2" customFormat="1" ht="15" x14ac:dyDescent="0.25">
      <c r="B651" s="21"/>
      <c r="C651" s="22"/>
      <c r="D651" s="29" t="str">
        <f t="shared" si="10"/>
        <v/>
      </c>
      <c r="E651" s="22"/>
      <c r="F651" s="22" t="str">
        <f ca="1">auto_pop!H651</f>
        <v/>
      </c>
      <c r="G651" s="33"/>
      <c r="H651" s="33"/>
    </row>
    <row r="652" spans="2:8" s="2" customFormat="1" ht="15" x14ac:dyDescent="0.25">
      <c r="B652" s="21"/>
      <c r="C652" s="22"/>
      <c r="D652" s="29" t="str">
        <f t="shared" si="10"/>
        <v/>
      </c>
      <c r="E652" s="22"/>
      <c r="F652" s="22" t="str">
        <f ca="1">auto_pop!H652</f>
        <v/>
      </c>
      <c r="G652" s="33"/>
      <c r="H652" s="33"/>
    </row>
    <row r="653" spans="2:8" s="2" customFormat="1" ht="15" x14ac:dyDescent="0.25">
      <c r="B653" s="21"/>
      <c r="C653" s="22"/>
      <c r="D653" s="29" t="str">
        <f t="shared" si="10"/>
        <v/>
      </c>
      <c r="E653" s="22"/>
      <c r="F653" s="22" t="str">
        <f ca="1">auto_pop!H653</f>
        <v/>
      </c>
      <c r="G653" s="33"/>
      <c r="H653" s="33"/>
    </row>
    <row r="654" spans="2:8" s="2" customFormat="1" ht="15" x14ac:dyDescent="0.25">
      <c r="B654" s="21"/>
      <c r="C654" s="22"/>
      <c r="D654" s="29" t="str">
        <f t="shared" si="10"/>
        <v/>
      </c>
      <c r="E654" s="22"/>
      <c r="F654" s="22" t="str">
        <f ca="1">auto_pop!H654</f>
        <v/>
      </c>
      <c r="G654" s="33"/>
      <c r="H654" s="33"/>
    </row>
    <row r="655" spans="2:8" s="2" customFormat="1" ht="15" x14ac:dyDescent="0.25">
      <c r="B655" s="21"/>
      <c r="C655" s="22"/>
      <c r="D655" s="29" t="str">
        <f t="shared" si="10"/>
        <v/>
      </c>
      <c r="E655" s="22"/>
      <c r="F655" s="22" t="str">
        <f ca="1">auto_pop!H655</f>
        <v/>
      </c>
      <c r="G655" s="33"/>
      <c r="H655" s="33"/>
    </row>
    <row r="656" spans="2:8" s="2" customFormat="1" ht="15" x14ac:dyDescent="0.25">
      <c r="B656" s="21"/>
      <c r="C656" s="22"/>
      <c r="D656" s="29" t="str">
        <f t="shared" si="10"/>
        <v/>
      </c>
      <c r="E656" s="22"/>
      <c r="F656" s="22" t="str">
        <f ca="1">auto_pop!H656</f>
        <v/>
      </c>
      <c r="G656" s="33"/>
      <c r="H656" s="33"/>
    </row>
    <row r="657" spans="2:8" s="2" customFormat="1" ht="15" x14ac:dyDescent="0.25">
      <c r="B657" s="21"/>
      <c r="C657" s="22"/>
      <c r="D657" s="29" t="str">
        <f t="shared" si="10"/>
        <v/>
      </c>
      <c r="E657" s="22"/>
      <c r="F657" s="22" t="str">
        <f ca="1">auto_pop!H657</f>
        <v/>
      </c>
      <c r="G657" s="33"/>
      <c r="H657" s="33"/>
    </row>
    <row r="658" spans="2:8" s="2" customFormat="1" ht="15" x14ac:dyDescent="0.25">
      <c r="B658" s="21"/>
      <c r="C658" s="22"/>
      <c r="D658" s="29" t="str">
        <f t="shared" si="10"/>
        <v/>
      </c>
      <c r="E658" s="22"/>
      <c r="F658" s="22" t="str">
        <f ca="1">auto_pop!H658</f>
        <v/>
      </c>
      <c r="G658" s="33"/>
      <c r="H658" s="33"/>
    </row>
    <row r="659" spans="2:8" s="2" customFormat="1" ht="15" x14ac:dyDescent="0.25">
      <c r="B659" s="21"/>
      <c r="C659" s="22"/>
      <c r="D659" s="29" t="str">
        <f t="shared" si="10"/>
        <v/>
      </c>
      <c r="E659" s="22"/>
      <c r="F659" s="22" t="str">
        <f ca="1">auto_pop!H659</f>
        <v/>
      </c>
      <c r="G659" s="33"/>
      <c r="H659" s="33"/>
    </row>
    <row r="660" spans="2:8" s="2" customFormat="1" ht="15" x14ac:dyDescent="0.25">
      <c r="B660" s="21"/>
      <c r="C660" s="22"/>
      <c r="D660" s="29" t="str">
        <f t="shared" si="10"/>
        <v/>
      </c>
      <c r="E660" s="22"/>
      <c r="F660" s="22" t="str">
        <f ca="1">auto_pop!H660</f>
        <v/>
      </c>
      <c r="G660" s="33"/>
      <c r="H660" s="33"/>
    </row>
    <row r="661" spans="2:8" s="2" customFormat="1" ht="15" x14ac:dyDescent="0.25">
      <c r="B661" s="21"/>
      <c r="C661" s="22"/>
      <c r="D661" s="29" t="str">
        <f t="shared" si="10"/>
        <v/>
      </c>
      <c r="E661" s="22"/>
      <c r="F661" s="22" t="str">
        <f ca="1">auto_pop!H661</f>
        <v/>
      </c>
      <c r="G661" s="33"/>
      <c r="H661" s="33"/>
    </row>
    <row r="662" spans="2:8" s="2" customFormat="1" ht="15" x14ac:dyDescent="0.25">
      <c r="B662" s="21"/>
      <c r="C662" s="22"/>
      <c r="D662" s="29" t="str">
        <f t="shared" si="10"/>
        <v/>
      </c>
      <c r="E662" s="22"/>
      <c r="F662" s="22" t="str">
        <f ca="1">auto_pop!H662</f>
        <v/>
      </c>
      <c r="G662" s="33"/>
      <c r="H662" s="33"/>
    </row>
    <row r="663" spans="2:8" s="2" customFormat="1" ht="15" x14ac:dyDescent="0.25">
      <c r="B663" s="21"/>
      <c r="C663" s="22"/>
      <c r="D663" s="29" t="str">
        <f t="shared" si="10"/>
        <v/>
      </c>
      <c r="E663" s="22"/>
      <c r="F663" s="22" t="str">
        <f ca="1">auto_pop!H663</f>
        <v/>
      </c>
      <c r="G663" s="33"/>
      <c r="H663" s="33"/>
    </row>
    <row r="664" spans="2:8" s="2" customFormat="1" ht="15" x14ac:dyDescent="0.25">
      <c r="B664" s="21"/>
      <c r="C664" s="22"/>
      <c r="D664" s="29" t="str">
        <f t="shared" si="10"/>
        <v/>
      </c>
      <c r="E664" s="22"/>
      <c r="F664" s="22" t="str">
        <f ca="1">auto_pop!H664</f>
        <v/>
      </c>
      <c r="G664" s="33"/>
      <c r="H664" s="33"/>
    </row>
    <row r="665" spans="2:8" s="2" customFormat="1" ht="15" x14ac:dyDescent="0.25">
      <c r="B665" s="21"/>
      <c r="C665" s="22"/>
      <c r="D665" s="29" t="str">
        <f t="shared" si="10"/>
        <v/>
      </c>
      <c r="E665" s="22"/>
      <c r="F665" s="22" t="str">
        <f ca="1">auto_pop!H665</f>
        <v/>
      </c>
      <c r="G665" s="33"/>
      <c r="H665" s="33"/>
    </row>
    <row r="666" spans="2:8" s="2" customFormat="1" ht="15" x14ac:dyDescent="0.25">
      <c r="B666" s="21"/>
      <c r="C666" s="22"/>
      <c r="D666" s="29" t="str">
        <f t="shared" si="10"/>
        <v/>
      </c>
      <c r="E666" s="22"/>
      <c r="F666" s="22" t="str">
        <f ca="1">auto_pop!H666</f>
        <v/>
      </c>
      <c r="G666" s="33"/>
      <c r="H666" s="33"/>
    </row>
    <row r="667" spans="2:8" s="2" customFormat="1" ht="15" x14ac:dyDescent="0.25">
      <c r="B667" s="21"/>
      <c r="C667" s="22"/>
      <c r="D667" s="29" t="str">
        <f t="shared" si="10"/>
        <v/>
      </c>
      <c r="E667" s="22"/>
      <c r="F667" s="22" t="str">
        <f ca="1">auto_pop!H667</f>
        <v/>
      </c>
      <c r="G667" s="33"/>
      <c r="H667" s="33"/>
    </row>
    <row r="668" spans="2:8" s="2" customFormat="1" ht="15" x14ac:dyDescent="0.25">
      <c r="B668" s="21"/>
      <c r="C668" s="22"/>
      <c r="D668" s="29" t="str">
        <f t="shared" si="10"/>
        <v/>
      </c>
      <c r="E668" s="22"/>
      <c r="F668" s="22" t="str">
        <f ca="1">auto_pop!H668</f>
        <v/>
      </c>
      <c r="G668" s="33"/>
      <c r="H668" s="33"/>
    </row>
    <row r="669" spans="2:8" s="2" customFormat="1" ht="15" x14ac:dyDescent="0.25">
      <c r="B669" s="21"/>
      <c r="C669" s="22"/>
      <c r="D669" s="29" t="str">
        <f t="shared" si="10"/>
        <v/>
      </c>
      <c r="E669" s="22"/>
      <c r="F669" s="22" t="str">
        <f ca="1">auto_pop!H669</f>
        <v/>
      </c>
      <c r="G669" s="33"/>
      <c r="H669" s="33"/>
    </row>
    <row r="670" spans="2:8" s="2" customFormat="1" ht="15" x14ac:dyDescent="0.25">
      <c r="B670" s="21"/>
      <c r="C670" s="22"/>
      <c r="D670" s="29" t="str">
        <f t="shared" si="10"/>
        <v/>
      </c>
      <c r="E670" s="22"/>
      <c r="F670" s="22" t="str">
        <f ca="1">auto_pop!H670</f>
        <v/>
      </c>
      <c r="G670" s="33"/>
      <c r="H670" s="33"/>
    </row>
    <row r="671" spans="2:8" s="2" customFormat="1" ht="15" x14ac:dyDescent="0.25">
      <c r="B671" s="21"/>
      <c r="C671" s="22"/>
      <c r="D671" s="29" t="str">
        <f t="shared" si="10"/>
        <v/>
      </c>
      <c r="E671" s="22"/>
      <c r="F671" s="22" t="str">
        <f ca="1">auto_pop!H671</f>
        <v/>
      </c>
      <c r="G671" s="33"/>
      <c r="H671" s="33"/>
    </row>
    <row r="672" spans="2:8" s="2" customFormat="1" ht="15" x14ac:dyDescent="0.25">
      <c r="B672" s="21"/>
      <c r="C672" s="22"/>
      <c r="D672" s="29" t="str">
        <f t="shared" si="10"/>
        <v/>
      </c>
      <c r="E672" s="22"/>
      <c r="F672" s="22" t="str">
        <f ca="1">auto_pop!H672</f>
        <v/>
      </c>
      <c r="G672" s="33"/>
      <c r="H672" s="33"/>
    </row>
    <row r="673" spans="2:8" s="2" customFormat="1" ht="15" x14ac:dyDescent="0.25">
      <c r="B673" s="21"/>
      <c r="C673" s="22"/>
      <c r="D673" s="29" t="str">
        <f t="shared" si="10"/>
        <v/>
      </c>
      <c r="E673" s="22"/>
      <c r="F673" s="22" t="str">
        <f ca="1">auto_pop!H673</f>
        <v/>
      </c>
      <c r="G673" s="33"/>
      <c r="H673" s="33"/>
    </row>
    <row r="674" spans="2:8" s="2" customFormat="1" ht="15" x14ac:dyDescent="0.25">
      <c r="B674" s="21"/>
      <c r="C674" s="22"/>
      <c r="D674" s="29" t="str">
        <f t="shared" si="10"/>
        <v/>
      </c>
      <c r="E674" s="22"/>
      <c r="F674" s="22" t="str">
        <f ca="1">auto_pop!H674</f>
        <v/>
      </c>
      <c r="G674" s="33"/>
      <c r="H674" s="33"/>
    </row>
    <row r="675" spans="2:8" s="2" customFormat="1" ht="15" x14ac:dyDescent="0.25">
      <c r="B675" s="21"/>
      <c r="C675" s="22"/>
      <c r="D675" s="29" t="str">
        <f t="shared" si="10"/>
        <v/>
      </c>
      <c r="E675" s="22"/>
      <c r="F675" s="22" t="str">
        <f ca="1">auto_pop!H675</f>
        <v/>
      </c>
      <c r="G675" s="33"/>
      <c r="H675" s="33"/>
    </row>
    <row r="676" spans="2:8" s="2" customFormat="1" ht="15" x14ac:dyDescent="0.25">
      <c r="B676" s="21"/>
      <c r="C676" s="22"/>
      <c r="D676" s="29" t="str">
        <f t="shared" si="10"/>
        <v/>
      </c>
      <c r="E676" s="22"/>
      <c r="F676" s="22" t="str">
        <f ca="1">auto_pop!H676</f>
        <v/>
      </c>
      <c r="G676" s="33"/>
      <c r="H676" s="33"/>
    </row>
    <row r="677" spans="2:8" s="2" customFormat="1" ht="15" x14ac:dyDescent="0.25">
      <c r="B677" s="21"/>
      <c r="C677" s="22"/>
      <c r="D677" s="29" t="str">
        <f t="shared" si="10"/>
        <v/>
      </c>
      <c r="E677" s="22"/>
      <c r="F677" s="22" t="str">
        <f ca="1">auto_pop!H677</f>
        <v/>
      </c>
      <c r="G677" s="33"/>
      <c r="H677" s="33"/>
    </row>
    <row r="678" spans="2:8" s="2" customFormat="1" ht="15" x14ac:dyDescent="0.25">
      <c r="B678" s="21"/>
      <c r="C678" s="22"/>
      <c r="D678" s="29" t="str">
        <f t="shared" si="10"/>
        <v/>
      </c>
      <c r="E678" s="22"/>
      <c r="F678" s="22" t="str">
        <f ca="1">auto_pop!H678</f>
        <v/>
      </c>
      <c r="G678" s="33"/>
      <c r="H678" s="33"/>
    </row>
    <row r="679" spans="2:8" s="2" customFormat="1" ht="15" x14ac:dyDescent="0.25">
      <c r="B679" s="21"/>
      <c r="C679" s="22"/>
      <c r="D679" s="29" t="str">
        <f t="shared" si="10"/>
        <v/>
      </c>
      <c r="E679" s="22"/>
      <c r="F679" s="22" t="str">
        <f ca="1">auto_pop!H679</f>
        <v/>
      </c>
      <c r="G679" s="33"/>
      <c r="H679" s="33"/>
    </row>
    <row r="680" spans="2:8" s="2" customFormat="1" ht="15" x14ac:dyDescent="0.25">
      <c r="B680" s="21"/>
      <c r="C680" s="22"/>
      <c r="D680" s="29" t="str">
        <f t="shared" si="10"/>
        <v/>
      </c>
      <c r="E680" s="22"/>
      <c r="F680" s="22" t="str">
        <f ca="1">auto_pop!H680</f>
        <v/>
      </c>
      <c r="G680" s="33"/>
      <c r="H680" s="33"/>
    </row>
    <row r="681" spans="2:8" s="2" customFormat="1" ht="15" x14ac:dyDescent="0.25">
      <c r="B681" s="21"/>
      <c r="C681" s="22"/>
      <c r="D681" s="29" t="str">
        <f t="shared" si="10"/>
        <v/>
      </c>
      <c r="E681" s="22"/>
      <c r="F681" s="22" t="str">
        <f ca="1">auto_pop!H681</f>
        <v/>
      </c>
      <c r="G681" s="33"/>
      <c r="H681" s="33"/>
    </row>
    <row r="682" spans="2:8" s="2" customFormat="1" ht="15" x14ac:dyDescent="0.25">
      <c r="B682" s="21"/>
      <c r="C682" s="22"/>
      <c r="D682" s="29" t="str">
        <f t="shared" si="10"/>
        <v/>
      </c>
      <c r="E682" s="22"/>
      <c r="F682" s="22" t="str">
        <f ca="1">auto_pop!H682</f>
        <v/>
      </c>
      <c r="G682" s="33"/>
      <c r="H682" s="33"/>
    </row>
    <row r="683" spans="2:8" s="2" customFormat="1" ht="15" x14ac:dyDescent="0.25">
      <c r="B683" s="21"/>
      <c r="C683" s="22"/>
      <c r="D683" s="29" t="str">
        <f t="shared" si="10"/>
        <v/>
      </c>
      <c r="E683" s="22"/>
      <c r="F683" s="22" t="str">
        <f ca="1">auto_pop!H683</f>
        <v/>
      </c>
      <c r="G683" s="33"/>
      <c r="H683" s="33"/>
    </row>
    <row r="684" spans="2:8" s="2" customFormat="1" ht="15" x14ac:dyDescent="0.25">
      <c r="B684" s="21"/>
      <c r="C684" s="22"/>
      <c r="D684" s="29" t="str">
        <f t="shared" si="10"/>
        <v/>
      </c>
      <c r="E684" s="22"/>
      <c r="F684" s="22" t="str">
        <f ca="1">auto_pop!H684</f>
        <v/>
      </c>
      <c r="G684" s="33"/>
      <c r="H684" s="33"/>
    </row>
    <row r="685" spans="2:8" s="2" customFormat="1" ht="15" x14ac:dyDescent="0.25">
      <c r="B685" s="21"/>
      <c r="C685" s="22"/>
      <c r="D685" s="29" t="str">
        <f t="shared" si="10"/>
        <v/>
      </c>
      <c r="E685" s="22"/>
      <c r="F685" s="22" t="str">
        <f ca="1">auto_pop!H685</f>
        <v/>
      </c>
      <c r="G685" s="33"/>
      <c r="H685" s="33"/>
    </row>
    <row r="686" spans="2:8" s="2" customFormat="1" ht="15" x14ac:dyDescent="0.25">
      <c r="B686" s="21"/>
      <c r="C686" s="22"/>
      <c r="D686" s="29" t="str">
        <f t="shared" si="10"/>
        <v/>
      </c>
      <c r="E686" s="22"/>
      <c r="F686" s="22" t="str">
        <f ca="1">auto_pop!H686</f>
        <v/>
      </c>
      <c r="G686" s="33"/>
      <c r="H686" s="33"/>
    </row>
    <row r="687" spans="2:8" s="2" customFormat="1" ht="15" x14ac:dyDescent="0.25">
      <c r="B687" s="21"/>
      <c r="C687" s="22"/>
      <c r="D687" s="29" t="str">
        <f t="shared" si="10"/>
        <v/>
      </c>
      <c r="E687" s="22"/>
      <c r="F687" s="22" t="str">
        <f ca="1">auto_pop!H687</f>
        <v/>
      </c>
      <c r="G687" s="33"/>
      <c r="H687" s="33"/>
    </row>
    <row r="688" spans="2:8" s="2" customFormat="1" ht="15" x14ac:dyDescent="0.25">
      <c r="B688" s="21"/>
      <c r="C688" s="22"/>
      <c r="D688" s="29" t="str">
        <f t="shared" si="10"/>
        <v/>
      </c>
      <c r="E688" s="22"/>
      <c r="F688" s="22" t="str">
        <f ca="1">auto_pop!H688</f>
        <v/>
      </c>
      <c r="G688" s="33"/>
      <c r="H688" s="33"/>
    </row>
    <row r="689" spans="2:8" s="2" customFormat="1" ht="15" x14ac:dyDescent="0.25">
      <c r="B689" s="21"/>
      <c r="C689" s="22"/>
      <c r="D689" s="29" t="str">
        <f t="shared" si="10"/>
        <v/>
      </c>
      <c r="E689" s="22"/>
      <c r="F689" s="22" t="str">
        <f ca="1">auto_pop!H689</f>
        <v/>
      </c>
      <c r="G689" s="33"/>
      <c r="H689" s="33"/>
    </row>
    <row r="690" spans="2:8" s="2" customFormat="1" ht="15" x14ac:dyDescent="0.25">
      <c r="B690" s="21"/>
      <c r="C690" s="22"/>
      <c r="D690" s="29" t="str">
        <f t="shared" si="10"/>
        <v/>
      </c>
      <c r="E690" s="22"/>
      <c r="F690" s="22" t="str">
        <f ca="1">auto_pop!H690</f>
        <v/>
      </c>
      <c r="G690" s="33"/>
      <c r="H690" s="33"/>
    </row>
    <row r="691" spans="2:8" s="2" customFormat="1" ht="15" x14ac:dyDescent="0.25">
      <c r="B691" s="21"/>
      <c r="C691" s="22"/>
      <c r="D691" s="29" t="str">
        <f t="shared" si="10"/>
        <v/>
      </c>
      <c r="E691" s="22"/>
      <c r="F691" s="22" t="str">
        <f ca="1">auto_pop!H691</f>
        <v/>
      </c>
      <c r="G691" s="33"/>
      <c r="H691" s="33"/>
    </row>
    <row r="692" spans="2:8" s="2" customFormat="1" ht="15" x14ac:dyDescent="0.25">
      <c r="B692" s="21"/>
      <c r="C692" s="22"/>
      <c r="D692" s="29" t="str">
        <f t="shared" si="10"/>
        <v/>
      </c>
      <c r="E692" s="22"/>
      <c r="F692" s="22" t="str">
        <f ca="1">auto_pop!H692</f>
        <v/>
      </c>
      <c r="G692" s="33"/>
      <c r="H692" s="33"/>
    </row>
    <row r="693" spans="2:8" s="2" customFormat="1" ht="15" x14ac:dyDescent="0.25">
      <c r="B693" s="21"/>
      <c r="C693" s="22"/>
      <c r="D693" s="29" t="str">
        <f t="shared" si="10"/>
        <v/>
      </c>
      <c r="E693" s="22"/>
      <c r="F693" s="22" t="str">
        <f ca="1">auto_pop!H693</f>
        <v/>
      </c>
      <c r="G693" s="33"/>
      <c r="H693" s="33"/>
    </row>
    <row r="694" spans="2:8" s="2" customFormat="1" ht="15" x14ac:dyDescent="0.25">
      <c r="B694" s="21"/>
      <c r="C694" s="22"/>
      <c r="D694" s="29" t="str">
        <f t="shared" si="10"/>
        <v/>
      </c>
      <c r="E694" s="22"/>
      <c r="F694" s="22" t="str">
        <f ca="1">auto_pop!H694</f>
        <v/>
      </c>
      <c r="G694" s="33"/>
      <c r="H694" s="33"/>
    </row>
    <row r="695" spans="2:8" s="2" customFormat="1" ht="15" x14ac:dyDescent="0.25">
      <c r="B695" s="21"/>
      <c r="C695" s="22"/>
      <c r="D695" s="29" t="str">
        <f t="shared" si="10"/>
        <v/>
      </c>
      <c r="E695" s="22"/>
      <c r="F695" s="22" t="str">
        <f ca="1">auto_pop!H695</f>
        <v/>
      </c>
      <c r="G695" s="33"/>
      <c r="H695" s="33"/>
    </row>
    <row r="696" spans="2:8" s="2" customFormat="1" ht="15" x14ac:dyDescent="0.25">
      <c r="B696" s="21"/>
      <c r="C696" s="22"/>
      <c r="D696" s="29" t="str">
        <f t="shared" si="10"/>
        <v/>
      </c>
      <c r="E696" s="22"/>
      <c r="F696" s="22" t="str">
        <f ca="1">auto_pop!H696</f>
        <v/>
      </c>
      <c r="G696" s="33"/>
      <c r="H696" s="33"/>
    </row>
    <row r="697" spans="2:8" s="2" customFormat="1" ht="15" x14ac:dyDescent="0.25">
      <c r="B697" s="21"/>
      <c r="C697" s="22"/>
      <c r="D697" s="29" t="str">
        <f t="shared" si="10"/>
        <v/>
      </c>
      <c r="E697" s="22"/>
      <c r="F697" s="22" t="str">
        <f ca="1">auto_pop!H697</f>
        <v/>
      </c>
      <c r="G697" s="33"/>
      <c r="H697" s="33"/>
    </row>
    <row r="698" spans="2:8" s="2" customFormat="1" ht="15" x14ac:dyDescent="0.25">
      <c r="B698" s="21"/>
      <c r="C698" s="22"/>
      <c r="D698" s="29" t="str">
        <f t="shared" si="10"/>
        <v/>
      </c>
      <c r="E698" s="22"/>
      <c r="F698" s="22" t="str">
        <f ca="1">auto_pop!H698</f>
        <v/>
      </c>
      <c r="G698" s="33"/>
      <c r="H698" s="33"/>
    </row>
    <row r="699" spans="2:8" s="2" customFormat="1" ht="15" x14ac:dyDescent="0.25">
      <c r="B699" s="21"/>
      <c r="C699" s="22"/>
      <c r="D699" s="29" t="str">
        <f t="shared" si="10"/>
        <v/>
      </c>
      <c r="E699" s="22"/>
      <c r="F699" s="22" t="str">
        <f ca="1">auto_pop!H699</f>
        <v/>
      </c>
      <c r="G699" s="33"/>
      <c r="H699" s="33"/>
    </row>
    <row r="700" spans="2:8" s="2" customFormat="1" ht="15" x14ac:dyDescent="0.25">
      <c r="B700" s="21"/>
      <c r="C700" s="22"/>
      <c r="D700" s="29" t="str">
        <f t="shared" si="10"/>
        <v/>
      </c>
      <c r="E700" s="22"/>
      <c r="F700" s="22" t="str">
        <f ca="1">auto_pop!H700</f>
        <v/>
      </c>
      <c r="G700" s="33"/>
      <c r="H700" s="33"/>
    </row>
    <row r="701" spans="2:8" s="2" customFormat="1" ht="15" x14ac:dyDescent="0.25">
      <c r="B701" s="21"/>
      <c r="C701" s="22"/>
      <c r="D701" s="29" t="str">
        <f t="shared" si="10"/>
        <v/>
      </c>
      <c r="E701" s="22"/>
      <c r="F701" s="22" t="str">
        <f ca="1">auto_pop!H701</f>
        <v/>
      </c>
      <c r="G701" s="33"/>
      <c r="H701" s="33"/>
    </row>
    <row r="702" spans="2:8" s="2" customFormat="1" ht="15" x14ac:dyDescent="0.25">
      <c r="B702" s="21"/>
      <c r="C702" s="22"/>
      <c r="D702" s="29" t="str">
        <f t="shared" si="10"/>
        <v/>
      </c>
      <c r="E702" s="22"/>
      <c r="F702" s="22" t="str">
        <f ca="1">auto_pop!H702</f>
        <v/>
      </c>
      <c r="G702" s="33"/>
      <c r="H702" s="33"/>
    </row>
    <row r="703" spans="2:8" s="2" customFormat="1" ht="15" x14ac:dyDescent="0.25">
      <c r="B703" s="21"/>
      <c r="C703" s="22"/>
      <c r="D703" s="29" t="str">
        <f t="shared" si="10"/>
        <v/>
      </c>
      <c r="E703" s="22"/>
      <c r="F703" s="22" t="str">
        <f ca="1">auto_pop!H703</f>
        <v/>
      </c>
      <c r="G703" s="33"/>
      <c r="H703" s="33"/>
    </row>
    <row r="704" spans="2:8" s="2" customFormat="1" ht="15" x14ac:dyDescent="0.25">
      <c r="B704" s="21"/>
      <c r="C704" s="22"/>
      <c r="D704" s="29" t="str">
        <f t="shared" si="10"/>
        <v/>
      </c>
      <c r="E704" s="22"/>
      <c r="F704" s="22" t="str">
        <f ca="1">auto_pop!H704</f>
        <v/>
      </c>
      <c r="G704" s="33"/>
      <c r="H704" s="33"/>
    </row>
    <row r="705" spans="2:8" s="2" customFormat="1" ht="15" x14ac:dyDescent="0.25">
      <c r="B705" s="21"/>
      <c r="C705" s="22"/>
      <c r="D705" s="29" t="str">
        <f t="shared" si="10"/>
        <v/>
      </c>
      <c r="E705" s="22"/>
      <c r="F705" s="22" t="str">
        <f ca="1">auto_pop!H705</f>
        <v/>
      </c>
      <c r="G705" s="33"/>
      <c r="H705" s="33"/>
    </row>
    <row r="706" spans="2:8" s="2" customFormat="1" ht="15" x14ac:dyDescent="0.25">
      <c r="B706" s="21"/>
      <c r="C706" s="22"/>
      <c r="D706" s="29" t="str">
        <f t="shared" si="10"/>
        <v/>
      </c>
      <c r="E706" s="22"/>
      <c r="F706" s="22" t="str">
        <f ca="1">auto_pop!H706</f>
        <v/>
      </c>
      <c r="G706" s="33"/>
      <c r="H706" s="33"/>
    </row>
    <row r="707" spans="2:8" s="2" customFormat="1" ht="15" x14ac:dyDescent="0.25">
      <c r="B707" s="21"/>
      <c r="C707" s="22"/>
      <c r="D707" s="29" t="str">
        <f t="shared" si="10"/>
        <v/>
      </c>
      <c r="E707" s="22"/>
      <c r="F707" s="22" t="str">
        <f ca="1">auto_pop!H707</f>
        <v/>
      </c>
      <c r="G707" s="33"/>
      <c r="H707" s="33"/>
    </row>
    <row r="708" spans="2:8" s="2" customFormat="1" ht="15" x14ac:dyDescent="0.25">
      <c r="B708" s="21"/>
      <c r="C708" s="22"/>
      <c r="D708" s="29" t="str">
        <f t="shared" ref="D708:D771" si="11">IF(C708&lt;&gt;"", IF(OR(C708="Chapin", C708="Oatka", C708="Seneca"), "", 1), "")</f>
        <v/>
      </c>
      <c r="E708" s="22"/>
      <c r="F708" s="22" t="str">
        <f ca="1">auto_pop!H708</f>
        <v/>
      </c>
      <c r="G708" s="33"/>
      <c r="H708" s="33"/>
    </row>
    <row r="709" spans="2:8" s="2" customFormat="1" ht="15" x14ac:dyDescent="0.25">
      <c r="B709" s="21"/>
      <c r="C709" s="22"/>
      <c r="D709" s="29" t="str">
        <f t="shared" si="11"/>
        <v/>
      </c>
      <c r="E709" s="22"/>
      <c r="F709" s="22" t="str">
        <f ca="1">auto_pop!H709</f>
        <v/>
      </c>
      <c r="G709" s="33"/>
      <c r="H709" s="33"/>
    </row>
    <row r="710" spans="2:8" s="2" customFormat="1" ht="15" x14ac:dyDescent="0.25">
      <c r="B710" s="21"/>
      <c r="C710" s="22"/>
      <c r="D710" s="29" t="str">
        <f t="shared" si="11"/>
        <v/>
      </c>
      <c r="E710" s="22"/>
      <c r="F710" s="22" t="str">
        <f ca="1">auto_pop!H710</f>
        <v/>
      </c>
      <c r="G710" s="33"/>
      <c r="H710" s="33"/>
    </row>
    <row r="711" spans="2:8" s="2" customFormat="1" ht="15" x14ac:dyDescent="0.25">
      <c r="B711" s="21"/>
      <c r="C711" s="22"/>
      <c r="D711" s="29" t="str">
        <f t="shared" si="11"/>
        <v/>
      </c>
      <c r="E711" s="22"/>
      <c r="F711" s="22" t="str">
        <f ca="1">auto_pop!H711</f>
        <v/>
      </c>
      <c r="G711" s="33"/>
      <c r="H711" s="33"/>
    </row>
    <row r="712" spans="2:8" s="2" customFormat="1" ht="15" x14ac:dyDescent="0.25">
      <c r="B712" s="21"/>
      <c r="C712" s="22"/>
      <c r="D712" s="29" t="str">
        <f t="shared" si="11"/>
        <v/>
      </c>
      <c r="E712" s="22"/>
      <c r="F712" s="22" t="str">
        <f ca="1">auto_pop!H712</f>
        <v/>
      </c>
      <c r="G712" s="33"/>
      <c r="H712" s="33"/>
    </row>
    <row r="713" spans="2:8" s="2" customFormat="1" ht="15" x14ac:dyDescent="0.25">
      <c r="B713" s="21"/>
      <c r="C713" s="22"/>
      <c r="D713" s="29" t="str">
        <f t="shared" si="11"/>
        <v/>
      </c>
      <c r="E713" s="22"/>
      <c r="F713" s="22" t="str">
        <f ca="1">auto_pop!H713</f>
        <v/>
      </c>
      <c r="G713" s="33"/>
      <c r="H713" s="33"/>
    </row>
    <row r="714" spans="2:8" s="2" customFormat="1" ht="15" x14ac:dyDescent="0.25">
      <c r="B714" s="21"/>
      <c r="C714" s="22"/>
      <c r="D714" s="29" t="str">
        <f t="shared" si="11"/>
        <v/>
      </c>
      <c r="E714" s="22"/>
      <c r="F714" s="22" t="str">
        <f ca="1">auto_pop!H714</f>
        <v/>
      </c>
      <c r="G714" s="33"/>
      <c r="H714" s="33"/>
    </row>
    <row r="715" spans="2:8" s="2" customFormat="1" ht="15" x14ac:dyDescent="0.25">
      <c r="B715" s="21"/>
      <c r="C715" s="22"/>
      <c r="D715" s="29" t="str">
        <f t="shared" si="11"/>
        <v/>
      </c>
      <c r="E715" s="22"/>
      <c r="F715" s="22" t="str">
        <f ca="1">auto_pop!H715</f>
        <v/>
      </c>
      <c r="G715" s="33"/>
      <c r="H715" s="33"/>
    </row>
    <row r="716" spans="2:8" s="2" customFormat="1" ht="15" x14ac:dyDescent="0.25">
      <c r="B716" s="21"/>
      <c r="C716" s="22"/>
      <c r="D716" s="29" t="str">
        <f t="shared" si="11"/>
        <v/>
      </c>
      <c r="E716" s="22"/>
      <c r="F716" s="22" t="str">
        <f ca="1">auto_pop!H716</f>
        <v/>
      </c>
      <c r="G716" s="33"/>
      <c r="H716" s="33"/>
    </row>
    <row r="717" spans="2:8" s="2" customFormat="1" ht="15" x14ac:dyDescent="0.25">
      <c r="B717" s="21"/>
      <c r="C717" s="22"/>
      <c r="D717" s="29" t="str">
        <f t="shared" si="11"/>
        <v/>
      </c>
      <c r="E717" s="22"/>
      <c r="F717" s="22" t="str">
        <f ca="1">auto_pop!H717</f>
        <v/>
      </c>
      <c r="G717" s="33"/>
      <c r="H717" s="33"/>
    </row>
    <row r="718" spans="2:8" s="2" customFormat="1" ht="15" x14ac:dyDescent="0.25">
      <c r="B718" s="21"/>
      <c r="C718" s="22"/>
      <c r="D718" s="29" t="str">
        <f t="shared" si="11"/>
        <v/>
      </c>
      <c r="E718" s="22"/>
      <c r="F718" s="22" t="str">
        <f ca="1">auto_pop!H718</f>
        <v/>
      </c>
      <c r="G718" s="33"/>
      <c r="H718" s="33"/>
    </row>
    <row r="719" spans="2:8" s="2" customFormat="1" ht="15" x14ac:dyDescent="0.25">
      <c r="B719" s="21"/>
      <c r="C719" s="22"/>
      <c r="D719" s="29" t="str">
        <f t="shared" si="11"/>
        <v/>
      </c>
      <c r="E719" s="22"/>
      <c r="F719" s="22" t="str">
        <f ca="1">auto_pop!H719</f>
        <v/>
      </c>
      <c r="G719" s="33"/>
      <c r="H719" s="33"/>
    </row>
    <row r="720" spans="2:8" s="2" customFormat="1" ht="15" x14ac:dyDescent="0.25">
      <c r="B720" s="21"/>
      <c r="C720" s="22"/>
      <c r="D720" s="29" t="str">
        <f t="shared" si="11"/>
        <v/>
      </c>
      <c r="E720" s="22"/>
      <c r="F720" s="22" t="str">
        <f ca="1">auto_pop!H720</f>
        <v/>
      </c>
      <c r="G720" s="33"/>
      <c r="H720" s="33"/>
    </row>
    <row r="721" spans="2:8" s="2" customFormat="1" ht="15" x14ac:dyDescent="0.25">
      <c r="B721" s="21"/>
      <c r="C721" s="22"/>
      <c r="D721" s="29" t="str">
        <f t="shared" si="11"/>
        <v/>
      </c>
      <c r="E721" s="22"/>
      <c r="F721" s="22" t="str">
        <f ca="1">auto_pop!H721</f>
        <v/>
      </c>
      <c r="G721" s="33"/>
      <c r="H721" s="33"/>
    </row>
    <row r="722" spans="2:8" s="2" customFormat="1" ht="15" x14ac:dyDescent="0.25">
      <c r="B722" s="21"/>
      <c r="C722" s="22"/>
      <c r="D722" s="29" t="str">
        <f t="shared" si="11"/>
        <v/>
      </c>
      <c r="E722" s="22"/>
      <c r="F722" s="22" t="str">
        <f ca="1">auto_pop!H722</f>
        <v/>
      </c>
      <c r="G722" s="33"/>
      <c r="H722" s="33"/>
    </row>
    <row r="723" spans="2:8" s="2" customFormat="1" ht="15" x14ac:dyDescent="0.25">
      <c r="B723" s="21"/>
      <c r="C723" s="22"/>
      <c r="D723" s="29" t="str">
        <f t="shared" si="11"/>
        <v/>
      </c>
      <c r="E723" s="22"/>
      <c r="F723" s="22" t="str">
        <f ca="1">auto_pop!H723</f>
        <v/>
      </c>
      <c r="G723" s="33"/>
      <c r="H723" s="33"/>
    </row>
    <row r="724" spans="2:8" s="2" customFormat="1" ht="15" x14ac:dyDescent="0.25">
      <c r="B724" s="21"/>
      <c r="C724" s="22"/>
      <c r="D724" s="29" t="str">
        <f t="shared" si="11"/>
        <v/>
      </c>
      <c r="E724" s="22"/>
      <c r="F724" s="22" t="str">
        <f ca="1">auto_pop!H724</f>
        <v/>
      </c>
      <c r="G724" s="33"/>
      <c r="H724" s="33"/>
    </row>
    <row r="725" spans="2:8" s="2" customFormat="1" ht="15" x14ac:dyDescent="0.25">
      <c r="B725" s="21"/>
      <c r="C725" s="22"/>
      <c r="D725" s="29" t="str">
        <f t="shared" si="11"/>
        <v/>
      </c>
      <c r="E725" s="22"/>
      <c r="F725" s="22" t="str">
        <f ca="1">auto_pop!H725</f>
        <v/>
      </c>
      <c r="G725" s="33"/>
      <c r="H725" s="33"/>
    </row>
    <row r="726" spans="2:8" s="2" customFormat="1" ht="15" x14ac:dyDescent="0.25">
      <c r="B726" s="21"/>
      <c r="C726" s="22"/>
      <c r="D726" s="29" t="str">
        <f t="shared" si="11"/>
        <v/>
      </c>
      <c r="E726" s="22"/>
      <c r="F726" s="22" t="str">
        <f ca="1">auto_pop!H726</f>
        <v/>
      </c>
      <c r="G726" s="33"/>
      <c r="H726" s="33"/>
    </row>
    <row r="727" spans="2:8" s="2" customFormat="1" ht="15" x14ac:dyDescent="0.25">
      <c r="B727" s="21"/>
      <c r="C727" s="22"/>
      <c r="D727" s="29" t="str">
        <f t="shared" si="11"/>
        <v/>
      </c>
      <c r="E727" s="22"/>
      <c r="F727" s="22" t="str">
        <f ca="1">auto_pop!H727</f>
        <v/>
      </c>
      <c r="G727" s="33"/>
      <c r="H727" s="33"/>
    </row>
    <row r="728" spans="2:8" s="2" customFormat="1" ht="15" x14ac:dyDescent="0.25">
      <c r="B728" s="21"/>
      <c r="C728" s="22"/>
      <c r="D728" s="29" t="str">
        <f t="shared" si="11"/>
        <v/>
      </c>
      <c r="E728" s="22"/>
      <c r="F728" s="22" t="str">
        <f ca="1">auto_pop!H728</f>
        <v/>
      </c>
      <c r="G728" s="33"/>
      <c r="H728" s="33"/>
    </row>
    <row r="729" spans="2:8" s="2" customFormat="1" ht="15" x14ac:dyDescent="0.25">
      <c r="B729" s="21"/>
      <c r="C729" s="22"/>
      <c r="D729" s="29" t="str">
        <f t="shared" si="11"/>
        <v/>
      </c>
      <c r="E729" s="22"/>
      <c r="F729" s="22" t="str">
        <f ca="1">auto_pop!H729</f>
        <v/>
      </c>
      <c r="G729" s="33"/>
      <c r="H729" s="33"/>
    </row>
    <row r="730" spans="2:8" s="2" customFormat="1" ht="15" x14ac:dyDescent="0.25">
      <c r="B730" s="21"/>
      <c r="C730" s="22"/>
      <c r="D730" s="29" t="str">
        <f t="shared" si="11"/>
        <v/>
      </c>
      <c r="E730" s="22"/>
      <c r="F730" s="22" t="str">
        <f ca="1">auto_pop!H730</f>
        <v/>
      </c>
      <c r="G730" s="33"/>
      <c r="H730" s="33"/>
    </row>
    <row r="731" spans="2:8" s="2" customFormat="1" ht="15" x14ac:dyDescent="0.25">
      <c r="B731" s="21"/>
      <c r="C731" s="22"/>
      <c r="D731" s="29" t="str">
        <f t="shared" si="11"/>
        <v/>
      </c>
      <c r="E731" s="22"/>
      <c r="F731" s="22" t="str">
        <f ca="1">auto_pop!H731</f>
        <v/>
      </c>
      <c r="G731" s="33"/>
      <c r="H731" s="33"/>
    </row>
    <row r="732" spans="2:8" s="2" customFormat="1" ht="15" x14ac:dyDescent="0.25">
      <c r="B732" s="21"/>
      <c r="C732" s="22"/>
      <c r="D732" s="29" t="str">
        <f t="shared" si="11"/>
        <v/>
      </c>
      <c r="E732" s="22"/>
      <c r="F732" s="22" t="str">
        <f ca="1">auto_pop!H732</f>
        <v/>
      </c>
      <c r="G732" s="33"/>
      <c r="H732" s="33"/>
    </row>
    <row r="733" spans="2:8" s="2" customFormat="1" ht="15" x14ac:dyDescent="0.25">
      <c r="B733" s="21"/>
      <c r="C733" s="22"/>
      <c r="D733" s="29" t="str">
        <f t="shared" si="11"/>
        <v/>
      </c>
      <c r="E733" s="22"/>
      <c r="F733" s="22" t="str">
        <f ca="1">auto_pop!H733</f>
        <v/>
      </c>
      <c r="G733" s="33"/>
      <c r="H733" s="33"/>
    </row>
    <row r="734" spans="2:8" s="2" customFormat="1" ht="15" x14ac:dyDescent="0.25">
      <c r="B734" s="21"/>
      <c r="C734" s="22"/>
      <c r="D734" s="29" t="str">
        <f t="shared" si="11"/>
        <v/>
      </c>
      <c r="E734" s="22"/>
      <c r="F734" s="22" t="str">
        <f ca="1">auto_pop!H734</f>
        <v/>
      </c>
      <c r="G734" s="33"/>
      <c r="H734" s="33"/>
    </row>
    <row r="735" spans="2:8" s="2" customFormat="1" ht="15" x14ac:dyDescent="0.25">
      <c r="B735" s="21"/>
      <c r="C735" s="22"/>
      <c r="D735" s="29" t="str">
        <f t="shared" si="11"/>
        <v/>
      </c>
      <c r="E735" s="22"/>
      <c r="F735" s="22" t="str">
        <f ca="1">auto_pop!H735</f>
        <v/>
      </c>
      <c r="G735" s="33"/>
      <c r="H735" s="33"/>
    </row>
    <row r="736" spans="2:8" s="2" customFormat="1" ht="15" x14ac:dyDescent="0.25">
      <c r="B736" s="21"/>
      <c r="C736" s="22"/>
      <c r="D736" s="29" t="str">
        <f t="shared" si="11"/>
        <v/>
      </c>
      <c r="E736" s="22"/>
      <c r="F736" s="22" t="str">
        <f ca="1">auto_pop!H736</f>
        <v/>
      </c>
      <c r="G736" s="33"/>
      <c r="H736" s="33"/>
    </row>
    <row r="737" spans="2:8" s="2" customFormat="1" ht="15" x14ac:dyDescent="0.25">
      <c r="B737" s="21"/>
      <c r="C737" s="22"/>
      <c r="D737" s="29" t="str">
        <f t="shared" si="11"/>
        <v/>
      </c>
      <c r="E737" s="22"/>
      <c r="F737" s="22" t="str">
        <f ca="1">auto_pop!H737</f>
        <v/>
      </c>
      <c r="G737" s="33"/>
      <c r="H737" s="33"/>
    </row>
    <row r="738" spans="2:8" s="2" customFormat="1" ht="15" x14ac:dyDescent="0.25">
      <c r="B738" s="21"/>
      <c r="C738" s="22"/>
      <c r="D738" s="29" t="str">
        <f t="shared" si="11"/>
        <v/>
      </c>
      <c r="E738" s="22"/>
      <c r="F738" s="22" t="str">
        <f ca="1">auto_pop!H738</f>
        <v/>
      </c>
      <c r="G738" s="33"/>
      <c r="H738" s="33"/>
    </row>
    <row r="739" spans="2:8" s="2" customFormat="1" ht="15" x14ac:dyDescent="0.25">
      <c r="B739" s="21"/>
      <c r="C739" s="22"/>
      <c r="D739" s="29" t="str">
        <f t="shared" si="11"/>
        <v/>
      </c>
      <c r="E739" s="22"/>
      <c r="F739" s="22" t="str">
        <f ca="1">auto_pop!H739</f>
        <v/>
      </c>
      <c r="G739" s="33"/>
      <c r="H739" s="33"/>
    </row>
    <row r="740" spans="2:8" s="2" customFormat="1" ht="15" x14ac:dyDescent="0.25">
      <c r="B740" s="21"/>
      <c r="C740" s="22"/>
      <c r="D740" s="29" t="str">
        <f t="shared" si="11"/>
        <v/>
      </c>
      <c r="E740" s="22"/>
      <c r="F740" s="22" t="str">
        <f ca="1">auto_pop!H740</f>
        <v/>
      </c>
      <c r="G740" s="33"/>
      <c r="H740" s="33"/>
    </row>
    <row r="741" spans="2:8" s="2" customFormat="1" ht="15" x14ac:dyDescent="0.25">
      <c r="B741" s="21"/>
      <c r="C741" s="22"/>
      <c r="D741" s="29" t="str">
        <f t="shared" si="11"/>
        <v/>
      </c>
      <c r="E741" s="22"/>
      <c r="F741" s="22" t="str">
        <f ca="1">auto_pop!H741</f>
        <v/>
      </c>
      <c r="G741" s="33"/>
      <c r="H741" s="33"/>
    </row>
    <row r="742" spans="2:8" s="2" customFormat="1" ht="15" x14ac:dyDescent="0.25">
      <c r="B742" s="21"/>
      <c r="C742" s="22"/>
      <c r="D742" s="29" t="str">
        <f t="shared" si="11"/>
        <v/>
      </c>
      <c r="E742" s="22"/>
      <c r="F742" s="22" t="str">
        <f ca="1">auto_pop!H742</f>
        <v/>
      </c>
      <c r="G742" s="33"/>
      <c r="H742" s="33"/>
    </row>
    <row r="743" spans="2:8" s="2" customFormat="1" ht="15" x14ac:dyDescent="0.25">
      <c r="B743" s="21"/>
      <c r="C743" s="22"/>
      <c r="D743" s="29" t="str">
        <f t="shared" si="11"/>
        <v/>
      </c>
      <c r="E743" s="22"/>
      <c r="F743" s="22" t="str">
        <f ca="1">auto_pop!H743</f>
        <v/>
      </c>
      <c r="G743" s="33"/>
      <c r="H743" s="33"/>
    </row>
    <row r="744" spans="2:8" s="2" customFormat="1" ht="15" x14ac:dyDescent="0.25">
      <c r="B744" s="21"/>
      <c r="C744" s="22"/>
      <c r="D744" s="29" t="str">
        <f t="shared" si="11"/>
        <v/>
      </c>
      <c r="E744" s="22"/>
      <c r="F744" s="22" t="str">
        <f ca="1">auto_pop!H744</f>
        <v/>
      </c>
      <c r="G744" s="33"/>
      <c r="H744" s="33"/>
    </row>
    <row r="745" spans="2:8" s="2" customFormat="1" ht="15" x14ac:dyDescent="0.25">
      <c r="B745" s="21"/>
      <c r="C745" s="22"/>
      <c r="D745" s="29" t="str">
        <f t="shared" si="11"/>
        <v/>
      </c>
      <c r="E745" s="22"/>
      <c r="F745" s="22" t="str">
        <f ca="1">auto_pop!H745</f>
        <v/>
      </c>
      <c r="G745" s="33"/>
      <c r="H745" s="33"/>
    </row>
    <row r="746" spans="2:8" s="2" customFormat="1" ht="15" x14ac:dyDescent="0.25">
      <c r="B746" s="21"/>
      <c r="C746" s="22"/>
      <c r="D746" s="29" t="str">
        <f t="shared" si="11"/>
        <v/>
      </c>
      <c r="E746" s="22"/>
      <c r="F746" s="22" t="str">
        <f ca="1">auto_pop!H746</f>
        <v/>
      </c>
      <c r="G746" s="33"/>
      <c r="H746" s="33"/>
    </row>
    <row r="747" spans="2:8" s="2" customFormat="1" ht="15" x14ac:dyDescent="0.25">
      <c r="B747" s="21"/>
      <c r="C747" s="22"/>
      <c r="D747" s="29" t="str">
        <f t="shared" si="11"/>
        <v/>
      </c>
      <c r="E747" s="22"/>
      <c r="F747" s="22" t="str">
        <f ca="1">auto_pop!H747</f>
        <v/>
      </c>
      <c r="G747" s="33"/>
      <c r="H747" s="33"/>
    </row>
    <row r="748" spans="2:8" s="2" customFormat="1" ht="15" x14ac:dyDescent="0.25">
      <c r="B748" s="21"/>
      <c r="C748" s="22"/>
      <c r="D748" s="29" t="str">
        <f t="shared" si="11"/>
        <v/>
      </c>
      <c r="E748" s="22"/>
      <c r="F748" s="22" t="str">
        <f ca="1">auto_pop!H748</f>
        <v/>
      </c>
      <c r="G748" s="33"/>
      <c r="H748" s="33"/>
    </row>
    <row r="749" spans="2:8" s="2" customFormat="1" ht="15" x14ac:dyDescent="0.25">
      <c r="B749" s="21"/>
      <c r="C749" s="22"/>
      <c r="D749" s="29" t="str">
        <f t="shared" si="11"/>
        <v/>
      </c>
      <c r="E749" s="22"/>
      <c r="F749" s="22" t="str">
        <f ca="1">auto_pop!H749</f>
        <v/>
      </c>
      <c r="G749" s="33"/>
      <c r="H749" s="33"/>
    </row>
    <row r="750" spans="2:8" s="2" customFormat="1" ht="15" x14ac:dyDescent="0.25">
      <c r="B750" s="21"/>
      <c r="C750" s="22"/>
      <c r="D750" s="29" t="str">
        <f t="shared" si="11"/>
        <v/>
      </c>
      <c r="E750" s="22"/>
      <c r="F750" s="22" t="str">
        <f ca="1">auto_pop!H750</f>
        <v/>
      </c>
      <c r="G750" s="33"/>
      <c r="H750" s="33"/>
    </row>
    <row r="751" spans="2:8" s="2" customFormat="1" ht="15" x14ac:dyDescent="0.25">
      <c r="B751" s="21"/>
      <c r="C751" s="22"/>
      <c r="D751" s="29" t="str">
        <f t="shared" si="11"/>
        <v/>
      </c>
      <c r="E751" s="22"/>
      <c r="F751" s="22" t="str">
        <f ca="1">auto_pop!H751</f>
        <v/>
      </c>
      <c r="G751" s="33"/>
      <c r="H751" s="33"/>
    </row>
    <row r="752" spans="2:8" s="2" customFormat="1" ht="15" x14ac:dyDescent="0.25">
      <c r="B752" s="21"/>
      <c r="C752" s="22"/>
      <c r="D752" s="29" t="str">
        <f t="shared" si="11"/>
        <v/>
      </c>
      <c r="E752" s="22"/>
      <c r="F752" s="22" t="str">
        <f ca="1">auto_pop!H752</f>
        <v/>
      </c>
      <c r="G752" s="33"/>
      <c r="H752" s="33"/>
    </row>
    <row r="753" spans="2:8" s="2" customFormat="1" ht="15" x14ac:dyDescent="0.25">
      <c r="B753" s="21"/>
      <c r="C753" s="22"/>
      <c r="D753" s="29" t="str">
        <f t="shared" si="11"/>
        <v/>
      </c>
      <c r="E753" s="22"/>
      <c r="F753" s="22" t="str">
        <f ca="1">auto_pop!H753</f>
        <v/>
      </c>
      <c r="G753" s="33"/>
      <c r="H753" s="33"/>
    </row>
    <row r="754" spans="2:8" s="2" customFormat="1" ht="15" x14ac:dyDescent="0.25">
      <c r="B754" s="21"/>
      <c r="C754" s="22"/>
      <c r="D754" s="29" t="str">
        <f t="shared" si="11"/>
        <v/>
      </c>
      <c r="E754" s="22"/>
      <c r="F754" s="22" t="str">
        <f ca="1">auto_pop!H754</f>
        <v/>
      </c>
      <c r="G754" s="33"/>
      <c r="H754" s="33"/>
    </row>
    <row r="755" spans="2:8" s="2" customFormat="1" ht="15" x14ac:dyDescent="0.25">
      <c r="B755" s="21"/>
      <c r="C755" s="22"/>
      <c r="D755" s="29" t="str">
        <f t="shared" si="11"/>
        <v/>
      </c>
      <c r="E755" s="22"/>
      <c r="F755" s="22" t="str">
        <f ca="1">auto_pop!H755</f>
        <v/>
      </c>
      <c r="G755" s="33"/>
      <c r="H755" s="33"/>
    </row>
    <row r="756" spans="2:8" s="2" customFormat="1" ht="15" x14ac:dyDescent="0.25">
      <c r="B756" s="21"/>
      <c r="C756" s="22"/>
      <c r="D756" s="29" t="str">
        <f t="shared" si="11"/>
        <v/>
      </c>
      <c r="E756" s="22"/>
      <c r="F756" s="22" t="str">
        <f ca="1">auto_pop!H756</f>
        <v/>
      </c>
      <c r="G756" s="33"/>
      <c r="H756" s="33"/>
    </row>
    <row r="757" spans="2:8" s="2" customFormat="1" ht="15" x14ac:dyDescent="0.25">
      <c r="B757" s="21"/>
      <c r="C757" s="22"/>
      <c r="D757" s="29" t="str">
        <f t="shared" si="11"/>
        <v/>
      </c>
      <c r="E757" s="22"/>
      <c r="F757" s="22" t="str">
        <f ca="1">auto_pop!H757</f>
        <v/>
      </c>
      <c r="G757" s="33"/>
      <c r="H757" s="33"/>
    </row>
    <row r="758" spans="2:8" s="2" customFormat="1" ht="15" x14ac:dyDescent="0.25">
      <c r="B758" s="21"/>
      <c r="C758" s="22"/>
      <c r="D758" s="29" t="str">
        <f t="shared" si="11"/>
        <v/>
      </c>
      <c r="E758" s="22"/>
      <c r="F758" s="22" t="str">
        <f ca="1">auto_pop!H758</f>
        <v/>
      </c>
      <c r="G758" s="33"/>
      <c r="H758" s="33"/>
    </row>
    <row r="759" spans="2:8" s="2" customFormat="1" ht="15" x14ac:dyDescent="0.25">
      <c r="B759" s="21"/>
      <c r="C759" s="22"/>
      <c r="D759" s="29" t="str">
        <f t="shared" si="11"/>
        <v/>
      </c>
      <c r="E759" s="22"/>
      <c r="F759" s="22" t="str">
        <f ca="1">auto_pop!H759</f>
        <v/>
      </c>
      <c r="G759" s="33"/>
      <c r="H759" s="33"/>
    </row>
    <row r="760" spans="2:8" s="2" customFormat="1" ht="15" x14ac:dyDescent="0.25">
      <c r="B760" s="21"/>
      <c r="C760" s="22"/>
      <c r="D760" s="29" t="str">
        <f t="shared" si="11"/>
        <v/>
      </c>
      <c r="E760" s="22"/>
      <c r="F760" s="22" t="str">
        <f ca="1">auto_pop!H760</f>
        <v/>
      </c>
      <c r="G760" s="33"/>
      <c r="H760" s="33"/>
    </row>
    <row r="761" spans="2:8" s="2" customFormat="1" ht="15" x14ac:dyDescent="0.25">
      <c r="B761" s="21"/>
      <c r="C761" s="22"/>
      <c r="D761" s="29" t="str">
        <f t="shared" si="11"/>
        <v/>
      </c>
      <c r="E761" s="22"/>
      <c r="F761" s="22" t="str">
        <f ca="1">auto_pop!H761</f>
        <v/>
      </c>
      <c r="G761" s="33"/>
      <c r="H761" s="33"/>
    </row>
    <row r="762" spans="2:8" s="2" customFormat="1" ht="15" x14ac:dyDescent="0.25">
      <c r="B762" s="21"/>
      <c r="C762" s="22"/>
      <c r="D762" s="29" t="str">
        <f t="shared" si="11"/>
        <v/>
      </c>
      <c r="E762" s="22"/>
      <c r="F762" s="22" t="str">
        <f ca="1">auto_pop!H762</f>
        <v/>
      </c>
      <c r="G762" s="33"/>
      <c r="H762" s="33"/>
    </row>
    <row r="763" spans="2:8" s="2" customFormat="1" ht="15" x14ac:dyDescent="0.25">
      <c r="B763" s="21"/>
      <c r="C763" s="22"/>
      <c r="D763" s="29" t="str">
        <f t="shared" si="11"/>
        <v/>
      </c>
      <c r="E763" s="22"/>
      <c r="F763" s="22" t="str">
        <f ca="1">auto_pop!H763</f>
        <v/>
      </c>
      <c r="G763" s="33"/>
      <c r="H763" s="33"/>
    </row>
    <row r="764" spans="2:8" s="2" customFormat="1" ht="15" x14ac:dyDescent="0.25">
      <c r="B764" s="21"/>
      <c r="C764" s="22"/>
      <c r="D764" s="29" t="str">
        <f t="shared" si="11"/>
        <v/>
      </c>
      <c r="E764" s="22"/>
      <c r="F764" s="22" t="str">
        <f ca="1">auto_pop!H764</f>
        <v/>
      </c>
      <c r="G764" s="33"/>
      <c r="H764" s="33"/>
    </row>
    <row r="765" spans="2:8" s="2" customFormat="1" ht="15" x14ac:dyDescent="0.25">
      <c r="B765" s="21"/>
      <c r="C765" s="22"/>
      <c r="D765" s="29" t="str">
        <f t="shared" si="11"/>
        <v/>
      </c>
      <c r="E765" s="22"/>
      <c r="F765" s="22" t="str">
        <f ca="1">auto_pop!H765</f>
        <v/>
      </c>
      <c r="G765" s="33"/>
      <c r="H765" s="33"/>
    </row>
    <row r="766" spans="2:8" s="2" customFormat="1" ht="15" x14ac:dyDescent="0.25">
      <c r="B766" s="21"/>
      <c r="C766" s="22"/>
      <c r="D766" s="29" t="str">
        <f t="shared" si="11"/>
        <v/>
      </c>
      <c r="E766" s="22"/>
      <c r="F766" s="22" t="str">
        <f ca="1">auto_pop!H766</f>
        <v/>
      </c>
      <c r="G766" s="33"/>
      <c r="H766" s="33"/>
    </row>
    <row r="767" spans="2:8" s="2" customFormat="1" ht="15" x14ac:dyDescent="0.25">
      <c r="B767" s="21"/>
      <c r="C767" s="22"/>
      <c r="D767" s="29" t="str">
        <f t="shared" si="11"/>
        <v/>
      </c>
      <c r="E767" s="22"/>
      <c r="F767" s="22" t="str">
        <f ca="1">auto_pop!H767</f>
        <v/>
      </c>
      <c r="G767" s="33"/>
      <c r="H767" s="33"/>
    </row>
    <row r="768" spans="2:8" s="2" customFormat="1" ht="15" x14ac:dyDescent="0.25">
      <c r="B768" s="21"/>
      <c r="C768" s="22"/>
      <c r="D768" s="29" t="str">
        <f t="shared" si="11"/>
        <v/>
      </c>
      <c r="E768" s="22"/>
      <c r="F768" s="22" t="str">
        <f ca="1">auto_pop!H768</f>
        <v/>
      </c>
      <c r="G768" s="33"/>
      <c r="H768" s="33"/>
    </row>
    <row r="769" spans="2:8" s="2" customFormat="1" ht="15" x14ac:dyDescent="0.25">
      <c r="B769" s="21"/>
      <c r="C769" s="22"/>
      <c r="D769" s="29" t="str">
        <f t="shared" si="11"/>
        <v/>
      </c>
      <c r="E769" s="22"/>
      <c r="F769" s="22" t="str">
        <f ca="1">auto_pop!H769</f>
        <v/>
      </c>
      <c r="G769" s="33"/>
      <c r="H769" s="33"/>
    </row>
    <row r="770" spans="2:8" s="2" customFormat="1" ht="15" x14ac:dyDescent="0.25">
      <c r="B770" s="21"/>
      <c r="C770" s="22"/>
      <c r="D770" s="29" t="str">
        <f t="shared" si="11"/>
        <v/>
      </c>
      <c r="E770" s="22"/>
      <c r="F770" s="22" t="str">
        <f ca="1">auto_pop!H770</f>
        <v/>
      </c>
      <c r="G770" s="33"/>
      <c r="H770" s="33"/>
    </row>
    <row r="771" spans="2:8" s="2" customFormat="1" ht="15" x14ac:dyDescent="0.25">
      <c r="B771" s="21"/>
      <c r="C771" s="22"/>
      <c r="D771" s="29" t="str">
        <f t="shared" si="11"/>
        <v/>
      </c>
      <c r="E771" s="22"/>
      <c r="F771" s="22" t="str">
        <f ca="1">auto_pop!H771</f>
        <v/>
      </c>
      <c r="G771" s="33"/>
      <c r="H771" s="33"/>
    </row>
    <row r="772" spans="2:8" s="2" customFormat="1" ht="15" x14ac:dyDescent="0.25">
      <c r="B772" s="21"/>
      <c r="C772" s="22"/>
      <c r="D772" s="29" t="str">
        <f t="shared" ref="D772:D835" si="12">IF(C772&lt;&gt;"", IF(OR(C772="Chapin", C772="Oatka", C772="Seneca"), "", 1), "")</f>
        <v/>
      </c>
      <c r="E772" s="22"/>
      <c r="F772" s="22" t="str">
        <f ca="1">auto_pop!H772</f>
        <v/>
      </c>
      <c r="G772" s="33"/>
      <c r="H772" s="33"/>
    </row>
    <row r="773" spans="2:8" s="2" customFormat="1" ht="15" x14ac:dyDescent="0.25">
      <c r="B773" s="21"/>
      <c r="C773" s="22"/>
      <c r="D773" s="29" t="str">
        <f t="shared" si="12"/>
        <v/>
      </c>
      <c r="E773" s="22"/>
      <c r="F773" s="22" t="str">
        <f ca="1">auto_pop!H773</f>
        <v/>
      </c>
      <c r="G773" s="33"/>
      <c r="H773" s="33"/>
    </row>
    <row r="774" spans="2:8" s="2" customFormat="1" ht="15" x14ac:dyDescent="0.25">
      <c r="B774" s="21"/>
      <c r="C774" s="22"/>
      <c r="D774" s="29" t="str">
        <f t="shared" si="12"/>
        <v/>
      </c>
      <c r="E774" s="22"/>
      <c r="F774" s="22" t="str">
        <f ca="1">auto_pop!H774</f>
        <v/>
      </c>
      <c r="G774" s="33"/>
      <c r="H774" s="33"/>
    </row>
    <row r="775" spans="2:8" s="2" customFormat="1" ht="15" x14ac:dyDescent="0.25">
      <c r="B775" s="21"/>
      <c r="C775" s="22"/>
      <c r="D775" s="29" t="str">
        <f t="shared" si="12"/>
        <v/>
      </c>
      <c r="E775" s="22"/>
      <c r="F775" s="22" t="str">
        <f ca="1">auto_pop!H775</f>
        <v/>
      </c>
      <c r="G775" s="33"/>
      <c r="H775" s="33"/>
    </row>
    <row r="776" spans="2:8" s="2" customFormat="1" ht="15" x14ac:dyDescent="0.25">
      <c r="B776" s="21"/>
      <c r="C776" s="22"/>
      <c r="D776" s="29" t="str">
        <f t="shared" si="12"/>
        <v/>
      </c>
      <c r="E776" s="22"/>
      <c r="F776" s="22" t="str">
        <f ca="1">auto_pop!H776</f>
        <v/>
      </c>
      <c r="G776" s="33"/>
      <c r="H776" s="33"/>
    </row>
    <row r="777" spans="2:8" s="2" customFormat="1" ht="15" x14ac:dyDescent="0.25">
      <c r="B777" s="21"/>
      <c r="C777" s="22"/>
      <c r="D777" s="29" t="str">
        <f t="shared" si="12"/>
        <v/>
      </c>
      <c r="E777" s="22"/>
      <c r="F777" s="22" t="str">
        <f ca="1">auto_pop!H777</f>
        <v/>
      </c>
      <c r="G777" s="33"/>
      <c r="H777" s="33"/>
    </row>
    <row r="778" spans="2:8" s="2" customFormat="1" ht="15" x14ac:dyDescent="0.25">
      <c r="B778" s="21"/>
      <c r="C778" s="22"/>
      <c r="D778" s="29" t="str">
        <f t="shared" si="12"/>
        <v/>
      </c>
      <c r="E778" s="22"/>
      <c r="F778" s="22" t="str">
        <f ca="1">auto_pop!H778</f>
        <v/>
      </c>
      <c r="G778" s="33"/>
      <c r="H778" s="33"/>
    </row>
    <row r="779" spans="2:8" s="2" customFormat="1" ht="15" x14ac:dyDescent="0.25">
      <c r="B779" s="21"/>
      <c r="C779" s="22"/>
      <c r="D779" s="29" t="str">
        <f t="shared" si="12"/>
        <v/>
      </c>
      <c r="E779" s="22"/>
      <c r="F779" s="22" t="str">
        <f ca="1">auto_pop!H779</f>
        <v/>
      </c>
      <c r="G779" s="33"/>
      <c r="H779" s="33"/>
    </row>
    <row r="780" spans="2:8" s="2" customFormat="1" ht="15" x14ac:dyDescent="0.25">
      <c r="B780" s="21"/>
      <c r="C780" s="22"/>
      <c r="D780" s="29" t="str">
        <f t="shared" si="12"/>
        <v/>
      </c>
      <c r="E780" s="22"/>
      <c r="F780" s="22" t="str">
        <f ca="1">auto_pop!H780</f>
        <v/>
      </c>
      <c r="G780" s="33"/>
      <c r="H780" s="33"/>
    </row>
    <row r="781" spans="2:8" s="2" customFormat="1" ht="15" x14ac:dyDescent="0.25">
      <c r="B781" s="21"/>
      <c r="C781" s="22"/>
      <c r="D781" s="29" t="str">
        <f t="shared" si="12"/>
        <v/>
      </c>
      <c r="E781" s="22"/>
      <c r="F781" s="22" t="str">
        <f ca="1">auto_pop!H781</f>
        <v/>
      </c>
      <c r="G781" s="33"/>
      <c r="H781" s="33"/>
    </row>
    <row r="782" spans="2:8" s="2" customFormat="1" ht="15" x14ac:dyDescent="0.25">
      <c r="B782" s="21"/>
      <c r="C782" s="22"/>
      <c r="D782" s="29" t="str">
        <f t="shared" si="12"/>
        <v/>
      </c>
      <c r="E782" s="22"/>
      <c r="F782" s="22" t="str">
        <f ca="1">auto_pop!H782</f>
        <v/>
      </c>
      <c r="G782" s="33"/>
      <c r="H782" s="33"/>
    </row>
    <row r="783" spans="2:8" s="2" customFormat="1" ht="15" x14ac:dyDescent="0.25">
      <c r="B783" s="21"/>
      <c r="C783" s="22"/>
      <c r="D783" s="29" t="str">
        <f t="shared" si="12"/>
        <v/>
      </c>
      <c r="E783" s="22"/>
      <c r="F783" s="22" t="str">
        <f ca="1">auto_pop!H783</f>
        <v/>
      </c>
      <c r="G783" s="33"/>
      <c r="H783" s="33"/>
    </row>
    <row r="784" spans="2:8" s="2" customFormat="1" ht="15" x14ac:dyDescent="0.25">
      <c r="B784" s="21"/>
      <c r="C784" s="22"/>
      <c r="D784" s="29" t="str">
        <f t="shared" si="12"/>
        <v/>
      </c>
      <c r="E784" s="22"/>
      <c r="F784" s="22" t="str">
        <f ca="1">auto_pop!H784</f>
        <v/>
      </c>
      <c r="G784" s="33"/>
      <c r="H784" s="33"/>
    </row>
    <row r="785" spans="2:8" s="2" customFormat="1" ht="15" x14ac:dyDescent="0.25">
      <c r="B785" s="21"/>
      <c r="C785" s="22"/>
      <c r="D785" s="29" t="str">
        <f t="shared" si="12"/>
        <v/>
      </c>
      <c r="E785" s="22"/>
      <c r="F785" s="22" t="str">
        <f ca="1">auto_pop!H785</f>
        <v/>
      </c>
      <c r="G785" s="33"/>
      <c r="H785" s="33"/>
    </row>
    <row r="786" spans="2:8" s="2" customFormat="1" ht="15" x14ac:dyDescent="0.25">
      <c r="B786" s="21"/>
      <c r="C786" s="22"/>
      <c r="D786" s="29" t="str">
        <f t="shared" si="12"/>
        <v/>
      </c>
      <c r="E786" s="22"/>
      <c r="F786" s="22" t="str">
        <f ca="1">auto_pop!H786</f>
        <v/>
      </c>
      <c r="G786" s="33"/>
      <c r="H786" s="33"/>
    </row>
    <row r="787" spans="2:8" s="2" customFormat="1" ht="15" x14ac:dyDescent="0.25">
      <c r="B787" s="21"/>
      <c r="C787" s="22"/>
      <c r="D787" s="29" t="str">
        <f t="shared" si="12"/>
        <v/>
      </c>
      <c r="E787" s="22"/>
      <c r="F787" s="22" t="str">
        <f ca="1">auto_pop!H787</f>
        <v/>
      </c>
      <c r="G787" s="33"/>
      <c r="H787" s="33"/>
    </row>
    <row r="788" spans="2:8" s="2" customFormat="1" ht="15" x14ac:dyDescent="0.25">
      <c r="B788" s="21"/>
      <c r="C788" s="22"/>
      <c r="D788" s="29" t="str">
        <f t="shared" si="12"/>
        <v/>
      </c>
      <c r="E788" s="22"/>
      <c r="F788" s="22" t="str">
        <f ca="1">auto_pop!H788</f>
        <v/>
      </c>
      <c r="G788" s="33"/>
      <c r="H788" s="33"/>
    </row>
    <row r="789" spans="2:8" s="2" customFormat="1" ht="15" x14ac:dyDescent="0.25">
      <c r="B789" s="21"/>
      <c r="C789" s="22"/>
      <c r="D789" s="29" t="str">
        <f t="shared" si="12"/>
        <v/>
      </c>
      <c r="E789" s="22"/>
      <c r="F789" s="22" t="str">
        <f ca="1">auto_pop!H789</f>
        <v/>
      </c>
      <c r="G789" s="33"/>
      <c r="H789" s="33"/>
    </row>
    <row r="790" spans="2:8" s="2" customFormat="1" ht="15" x14ac:dyDescent="0.25">
      <c r="B790" s="21"/>
      <c r="C790" s="22"/>
      <c r="D790" s="29" t="str">
        <f t="shared" si="12"/>
        <v/>
      </c>
      <c r="E790" s="22"/>
      <c r="F790" s="22" t="str">
        <f ca="1">auto_pop!H790</f>
        <v/>
      </c>
      <c r="G790" s="33"/>
      <c r="H790" s="33"/>
    </row>
    <row r="791" spans="2:8" s="2" customFormat="1" ht="15" x14ac:dyDescent="0.25">
      <c r="B791" s="21"/>
      <c r="C791" s="22"/>
      <c r="D791" s="29" t="str">
        <f t="shared" si="12"/>
        <v/>
      </c>
      <c r="E791" s="22"/>
      <c r="F791" s="22" t="str">
        <f ca="1">auto_pop!H791</f>
        <v/>
      </c>
      <c r="G791" s="33"/>
      <c r="H791" s="33"/>
    </row>
    <row r="792" spans="2:8" s="2" customFormat="1" ht="15" x14ac:dyDescent="0.25">
      <c r="B792" s="21"/>
      <c r="C792" s="22"/>
      <c r="D792" s="29" t="str">
        <f t="shared" si="12"/>
        <v/>
      </c>
      <c r="E792" s="22"/>
      <c r="F792" s="22" t="str">
        <f ca="1">auto_pop!H792</f>
        <v/>
      </c>
      <c r="G792" s="33"/>
      <c r="H792" s="33"/>
    </row>
    <row r="793" spans="2:8" s="2" customFormat="1" ht="15" x14ac:dyDescent="0.25">
      <c r="B793" s="21"/>
      <c r="C793" s="22"/>
      <c r="D793" s="29" t="str">
        <f t="shared" si="12"/>
        <v/>
      </c>
      <c r="E793" s="22"/>
      <c r="F793" s="22" t="str">
        <f ca="1">auto_pop!H793</f>
        <v/>
      </c>
      <c r="G793" s="33"/>
      <c r="H793" s="33"/>
    </row>
    <row r="794" spans="2:8" s="2" customFormat="1" ht="15" x14ac:dyDescent="0.25">
      <c r="B794" s="21"/>
      <c r="C794" s="22"/>
      <c r="D794" s="29" t="str">
        <f t="shared" si="12"/>
        <v/>
      </c>
      <c r="E794" s="22"/>
      <c r="F794" s="22" t="str">
        <f ca="1">auto_pop!H794</f>
        <v/>
      </c>
      <c r="G794" s="33"/>
      <c r="H794" s="33"/>
    </row>
    <row r="795" spans="2:8" s="2" customFormat="1" ht="15" x14ac:dyDescent="0.25">
      <c r="B795" s="21"/>
      <c r="C795" s="22"/>
      <c r="D795" s="29" t="str">
        <f t="shared" si="12"/>
        <v/>
      </c>
      <c r="E795" s="22"/>
      <c r="F795" s="22" t="str">
        <f ca="1">auto_pop!H795</f>
        <v/>
      </c>
      <c r="G795" s="33"/>
      <c r="H795" s="33"/>
    </row>
    <row r="796" spans="2:8" s="2" customFormat="1" ht="15" x14ac:dyDescent="0.25">
      <c r="B796" s="21"/>
      <c r="C796" s="22"/>
      <c r="D796" s="29" t="str">
        <f t="shared" si="12"/>
        <v/>
      </c>
      <c r="E796" s="22"/>
      <c r="F796" s="22" t="str">
        <f ca="1">auto_pop!H796</f>
        <v/>
      </c>
      <c r="G796" s="33"/>
      <c r="H796" s="33"/>
    </row>
    <row r="797" spans="2:8" s="2" customFormat="1" ht="15" x14ac:dyDescent="0.25">
      <c r="B797" s="21"/>
      <c r="C797" s="22"/>
      <c r="D797" s="29" t="str">
        <f t="shared" si="12"/>
        <v/>
      </c>
      <c r="E797" s="22"/>
      <c r="F797" s="22" t="str">
        <f ca="1">auto_pop!H797</f>
        <v/>
      </c>
      <c r="G797" s="33"/>
      <c r="H797" s="33"/>
    </row>
    <row r="798" spans="2:8" s="2" customFormat="1" ht="15" x14ac:dyDescent="0.25">
      <c r="B798" s="21"/>
      <c r="C798" s="22"/>
      <c r="D798" s="29" t="str">
        <f t="shared" si="12"/>
        <v/>
      </c>
      <c r="E798" s="22"/>
      <c r="F798" s="22" t="str">
        <f ca="1">auto_pop!H798</f>
        <v/>
      </c>
      <c r="G798" s="33"/>
      <c r="H798" s="33"/>
    </row>
    <row r="799" spans="2:8" s="2" customFormat="1" ht="15" x14ac:dyDescent="0.25">
      <c r="B799" s="21"/>
      <c r="C799" s="22"/>
      <c r="D799" s="29" t="str">
        <f t="shared" si="12"/>
        <v/>
      </c>
      <c r="E799" s="22"/>
      <c r="F799" s="22" t="str">
        <f ca="1">auto_pop!H799</f>
        <v/>
      </c>
      <c r="G799" s="33"/>
      <c r="H799" s="33"/>
    </row>
    <row r="800" spans="2:8" s="2" customFormat="1" ht="15" x14ac:dyDescent="0.25">
      <c r="B800" s="21"/>
      <c r="C800" s="22"/>
      <c r="D800" s="29" t="str">
        <f t="shared" si="12"/>
        <v/>
      </c>
      <c r="E800" s="22"/>
      <c r="F800" s="22" t="str">
        <f ca="1">auto_pop!H800</f>
        <v/>
      </c>
      <c r="G800" s="33"/>
      <c r="H800" s="33"/>
    </row>
    <row r="801" spans="2:8" s="2" customFormat="1" ht="15" x14ac:dyDescent="0.25">
      <c r="B801" s="21"/>
      <c r="C801" s="22"/>
      <c r="D801" s="29" t="str">
        <f t="shared" si="12"/>
        <v/>
      </c>
      <c r="E801" s="22"/>
      <c r="F801" s="22" t="str">
        <f ca="1">auto_pop!H801</f>
        <v/>
      </c>
      <c r="G801" s="33"/>
      <c r="H801" s="33"/>
    </row>
    <row r="802" spans="2:8" s="2" customFormat="1" ht="15" x14ac:dyDescent="0.25">
      <c r="B802" s="21"/>
      <c r="C802" s="22"/>
      <c r="D802" s="29" t="str">
        <f t="shared" si="12"/>
        <v/>
      </c>
      <c r="E802" s="22"/>
      <c r="F802" s="22" t="str">
        <f ca="1">auto_pop!H802</f>
        <v/>
      </c>
      <c r="G802" s="33"/>
      <c r="H802" s="33"/>
    </row>
    <row r="803" spans="2:8" s="2" customFormat="1" ht="15" x14ac:dyDescent="0.25">
      <c r="B803" s="21"/>
      <c r="C803" s="22"/>
      <c r="D803" s="29" t="str">
        <f t="shared" si="12"/>
        <v/>
      </c>
      <c r="E803" s="22"/>
      <c r="F803" s="22" t="str">
        <f ca="1">auto_pop!H803</f>
        <v/>
      </c>
      <c r="G803" s="33"/>
      <c r="H803" s="33"/>
    </row>
    <row r="804" spans="2:8" s="2" customFormat="1" ht="15" x14ac:dyDescent="0.25">
      <c r="B804" s="21"/>
      <c r="C804" s="22"/>
      <c r="D804" s="29" t="str">
        <f t="shared" si="12"/>
        <v/>
      </c>
      <c r="E804" s="22"/>
      <c r="F804" s="22" t="str">
        <f ca="1">auto_pop!H804</f>
        <v/>
      </c>
      <c r="G804" s="33"/>
      <c r="H804" s="33"/>
    </row>
    <row r="805" spans="2:8" s="2" customFormat="1" ht="15" x14ac:dyDescent="0.25">
      <c r="B805" s="21"/>
      <c r="C805" s="22"/>
      <c r="D805" s="29" t="str">
        <f t="shared" si="12"/>
        <v/>
      </c>
      <c r="E805" s="22"/>
      <c r="F805" s="22" t="str">
        <f ca="1">auto_pop!H805</f>
        <v/>
      </c>
      <c r="G805" s="33"/>
      <c r="H805" s="33"/>
    </row>
    <row r="806" spans="2:8" s="2" customFormat="1" ht="15" x14ac:dyDescent="0.25">
      <c r="B806" s="21"/>
      <c r="C806" s="22"/>
      <c r="D806" s="29" t="str">
        <f t="shared" si="12"/>
        <v/>
      </c>
      <c r="E806" s="22"/>
      <c r="F806" s="22" t="str">
        <f ca="1">auto_pop!H806</f>
        <v/>
      </c>
      <c r="G806" s="33"/>
      <c r="H806" s="33"/>
    </row>
    <row r="807" spans="2:8" s="2" customFormat="1" ht="15" x14ac:dyDescent="0.25">
      <c r="B807" s="21"/>
      <c r="C807" s="22"/>
      <c r="D807" s="29" t="str">
        <f t="shared" si="12"/>
        <v/>
      </c>
      <c r="E807" s="22"/>
      <c r="F807" s="22" t="str">
        <f ca="1">auto_pop!H807</f>
        <v/>
      </c>
      <c r="G807" s="33"/>
      <c r="H807" s="33"/>
    </row>
    <row r="808" spans="2:8" s="2" customFormat="1" ht="15" x14ac:dyDescent="0.25">
      <c r="B808" s="21"/>
      <c r="C808" s="22"/>
      <c r="D808" s="29" t="str">
        <f t="shared" si="12"/>
        <v/>
      </c>
      <c r="E808" s="22"/>
      <c r="F808" s="22" t="str">
        <f ca="1">auto_pop!H808</f>
        <v/>
      </c>
      <c r="G808" s="33"/>
      <c r="H808" s="33"/>
    </row>
    <row r="809" spans="2:8" s="2" customFormat="1" ht="15" x14ac:dyDescent="0.25">
      <c r="B809" s="21"/>
      <c r="C809" s="22"/>
      <c r="D809" s="29" t="str">
        <f t="shared" si="12"/>
        <v/>
      </c>
      <c r="E809" s="22"/>
      <c r="F809" s="22" t="str">
        <f ca="1">auto_pop!H809</f>
        <v/>
      </c>
      <c r="G809" s="33"/>
      <c r="H809" s="33"/>
    </row>
    <row r="810" spans="2:8" s="2" customFormat="1" ht="15" x14ac:dyDescent="0.25">
      <c r="B810" s="21"/>
      <c r="C810" s="22"/>
      <c r="D810" s="29" t="str">
        <f t="shared" si="12"/>
        <v/>
      </c>
      <c r="E810" s="22"/>
      <c r="F810" s="22" t="str">
        <f ca="1">auto_pop!H810</f>
        <v/>
      </c>
      <c r="G810" s="33"/>
      <c r="H810" s="33"/>
    </row>
    <row r="811" spans="2:8" s="2" customFormat="1" ht="15" x14ac:dyDescent="0.25">
      <c r="B811" s="21"/>
      <c r="C811" s="22"/>
      <c r="D811" s="29" t="str">
        <f t="shared" si="12"/>
        <v/>
      </c>
      <c r="E811" s="22"/>
      <c r="F811" s="22" t="str">
        <f ca="1">auto_pop!H811</f>
        <v/>
      </c>
      <c r="G811" s="33"/>
      <c r="H811" s="33"/>
    </row>
    <row r="812" spans="2:8" s="2" customFormat="1" ht="15" x14ac:dyDescent="0.25">
      <c r="B812" s="21"/>
      <c r="C812" s="22"/>
      <c r="D812" s="29" t="str">
        <f t="shared" si="12"/>
        <v/>
      </c>
      <c r="E812" s="22"/>
      <c r="F812" s="22" t="str">
        <f ca="1">auto_pop!H812</f>
        <v/>
      </c>
      <c r="G812" s="33"/>
      <c r="H812" s="33"/>
    </row>
    <row r="813" spans="2:8" s="2" customFormat="1" ht="15" x14ac:dyDescent="0.25">
      <c r="B813" s="21"/>
      <c r="C813" s="22"/>
      <c r="D813" s="29" t="str">
        <f t="shared" si="12"/>
        <v/>
      </c>
      <c r="E813" s="22"/>
      <c r="F813" s="22" t="str">
        <f ca="1">auto_pop!H813</f>
        <v/>
      </c>
      <c r="G813" s="33"/>
      <c r="H813" s="33"/>
    </row>
    <row r="814" spans="2:8" s="2" customFormat="1" ht="15" x14ac:dyDescent="0.25">
      <c r="B814" s="21"/>
      <c r="C814" s="22"/>
      <c r="D814" s="29" t="str">
        <f t="shared" si="12"/>
        <v/>
      </c>
      <c r="E814" s="22"/>
      <c r="F814" s="22" t="str">
        <f ca="1">auto_pop!H814</f>
        <v/>
      </c>
      <c r="G814" s="33"/>
      <c r="H814" s="33"/>
    </row>
    <row r="815" spans="2:8" s="2" customFormat="1" ht="15" x14ac:dyDescent="0.25">
      <c r="B815" s="21"/>
      <c r="C815" s="22"/>
      <c r="D815" s="29" t="str">
        <f t="shared" si="12"/>
        <v/>
      </c>
      <c r="E815" s="22"/>
      <c r="F815" s="22" t="str">
        <f ca="1">auto_pop!H815</f>
        <v/>
      </c>
      <c r="G815" s="33"/>
      <c r="H815" s="33"/>
    </row>
    <row r="816" spans="2:8" s="2" customFormat="1" ht="15" x14ac:dyDescent="0.25">
      <c r="B816" s="21"/>
      <c r="C816" s="22"/>
      <c r="D816" s="29" t="str">
        <f t="shared" si="12"/>
        <v/>
      </c>
      <c r="E816" s="22"/>
      <c r="F816" s="22" t="str">
        <f ca="1">auto_pop!H816</f>
        <v/>
      </c>
      <c r="G816" s="33"/>
      <c r="H816" s="33"/>
    </row>
    <row r="817" spans="2:8" s="2" customFormat="1" ht="15" x14ac:dyDescent="0.25">
      <c r="B817" s="21"/>
      <c r="C817" s="22"/>
      <c r="D817" s="29" t="str">
        <f t="shared" si="12"/>
        <v/>
      </c>
      <c r="E817" s="22"/>
      <c r="F817" s="22" t="str">
        <f ca="1">auto_pop!H817</f>
        <v/>
      </c>
      <c r="G817" s="33"/>
      <c r="H817" s="33"/>
    </row>
    <row r="818" spans="2:8" s="2" customFormat="1" ht="15" x14ac:dyDescent="0.25">
      <c r="B818" s="21"/>
      <c r="C818" s="22"/>
      <c r="D818" s="29" t="str">
        <f t="shared" si="12"/>
        <v/>
      </c>
      <c r="E818" s="22"/>
      <c r="F818" s="22" t="str">
        <f ca="1">auto_pop!H818</f>
        <v/>
      </c>
      <c r="G818" s="33"/>
      <c r="H818" s="33"/>
    </row>
    <row r="819" spans="2:8" s="2" customFormat="1" ht="15" x14ac:dyDescent="0.25">
      <c r="B819" s="21"/>
      <c r="C819" s="22"/>
      <c r="D819" s="29" t="str">
        <f t="shared" si="12"/>
        <v/>
      </c>
      <c r="E819" s="22"/>
      <c r="F819" s="22" t="str">
        <f ca="1">auto_pop!H819</f>
        <v/>
      </c>
      <c r="G819" s="33"/>
      <c r="H819" s="33"/>
    </row>
    <row r="820" spans="2:8" s="2" customFormat="1" ht="15" x14ac:dyDescent="0.25">
      <c r="B820" s="21"/>
      <c r="C820" s="22"/>
      <c r="D820" s="29" t="str">
        <f t="shared" si="12"/>
        <v/>
      </c>
      <c r="E820" s="22"/>
      <c r="F820" s="22" t="str">
        <f ca="1">auto_pop!H820</f>
        <v/>
      </c>
      <c r="G820" s="33"/>
      <c r="H820" s="33"/>
    </row>
    <row r="821" spans="2:8" s="2" customFormat="1" ht="15" x14ac:dyDescent="0.25">
      <c r="B821" s="21"/>
      <c r="C821" s="22"/>
      <c r="D821" s="29" t="str">
        <f t="shared" si="12"/>
        <v/>
      </c>
      <c r="E821" s="22"/>
      <c r="F821" s="22" t="str">
        <f ca="1">auto_pop!H821</f>
        <v/>
      </c>
      <c r="G821" s="33"/>
      <c r="H821" s="33"/>
    </row>
    <row r="822" spans="2:8" s="2" customFormat="1" ht="15" x14ac:dyDescent="0.25">
      <c r="B822" s="21"/>
      <c r="C822" s="22"/>
      <c r="D822" s="29" t="str">
        <f t="shared" si="12"/>
        <v/>
      </c>
      <c r="E822" s="22"/>
      <c r="F822" s="22" t="str">
        <f ca="1">auto_pop!H822</f>
        <v/>
      </c>
      <c r="G822" s="33"/>
      <c r="H822" s="33"/>
    </row>
    <row r="823" spans="2:8" s="2" customFormat="1" ht="15" x14ac:dyDescent="0.25">
      <c r="B823" s="21"/>
      <c r="C823" s="22"/>
      <c r="D823" s="29" t="str">
        <f t="shared" si="12"/>
        <v/>
      </c>
      <c r="E823" s="22"/>
      <c r="F823" s="22" t="str">
        <f ca="1">auto_pop!H823</f>
        <v/>
      </c>
      <c r="G823" s="33"/>
      <c r="H823" s="33"/>
    </row>
    <row r="824" spans="2:8" s="2" customFormat="1" ht="15" x14ac:dyDescent="0.25">
      <c r="B824" s="21"/>
      <c r="C824" s="22"/>
      <c r="D824" s="29" t="str">
        <f t="shared" si="12"/>
        <v/>
      </c>
      <c r="E824" s="22"/>
      <c r="F824" s="22" t="str">
        <f ca="1">auto_pop!H824</f>
        <v/>
      </c>
      <c r="G824" s="33"/>
      <c r="H824" s="33"/>
    </row>
    <row r="825" spans="2:8" s="2" customFormat="1" ht="15" x14ac:dyDescent="0.25">
      <c r="B825" s="21"/>
      <c r="C825" s="22"/>
      <c r="D825" s="29" t="str">
        <f t="shared" si="12"/>
        <v/>
      </c>
      <c r="E825" s="22"/>
      <c r="F825" s="22" t="str">
        <f ca="1">auto_pop!H825</f>
        <v/>
      </c>
      <c r="G825" s="33"/>
      <c r="H825" s="33"/>
    </row>
    <row r="826" spans="2:8" s="2" customFormat="1" ht="15" x14ac:dyDescent="0.25">
      <c r="B826" s="21"/>
      <c r="C826" s="22"/>
      <c r="D826" s="29" t="str">
        <f t="shared" si="12"/>
        <v/>
      </c>
      <c r="E826" s="22"/>
      <c r="F826" s="22" t="str">
        <f ca="1">auto_pop!H826</f>
        <v/>
      </c>
      <c r="G826" s="33"/>
      <c r="H826" s="33"/>
    </row>
    <row r="827" spans="2:8" s="2" customFormat="1" ht="15" x14ac:dyDescent="0.25">
      <c r="B827" s="21"/>
      <c r="C827" s="22"/>
      <c r="D827" s="29" t="str">
        <f t="shared" si="12"/>
        <v/>
      </c>
      <c r="E827" s="22"/>
      <c r="F827" s="22" t="str">
        <f ca="1">auto_pop!H827</f>
        <v/>
      </c>
      <c r="G827" s="33"/>
      <c r="H827" s="33"/>
    </row>
    <row r="828" spans="2:8" s="2" customFormat="1" ht="15" x14ac:dyDescent="0.25">
      <c r="B828" s="21"/>
      <c r="C828" s="22"/>
      <c r="D828" s="29" t="str">
        <f t="shared" si="12"/>
        <v/>
      </c>
      <c r="E828" s="22"/>
      <c r="F828" s="22" t="str">
        <f ca="1">auto_pop!H828</f>
        <v/>
      </c>
      <c r="G828" s="33"/>
      <c r="H828" s="33"/>
    </row>
    <row r="829" spans="2:8" s="2" customFormat="1" ht="15" x14ac:dyDescent="0.25">
      <c r="B829" s="21"/>
      <c r="C829" s="22"/>
      <c r="D829" s="29" t="str">
        <f t="shared" si="12"/>
        <v/>
      </c>
      <c r="E829" s="22"/>
      <c r="F829" s="22" t="str">
        <f ca="1">auto_pop!H829</f>
        <v/>
      </c>
      <c r="G829" s="33"/>
      <c r="H829" s="33"/>
    </row>
    <row r="830" spans="2:8" s="2" customFormat="1" ht="15" x14ac:dyDescent="0.25">
      <c r="B830" s="21"/>
      <c r="C830" s="22"/>
      <c r="D830" s="29" t="str">
        <f t="shared" si="12"/>
        <v/>
      </c>
      <c r="E830" s="22"/>
      <c r="F830" s="22" t="str">
        <f ca="1">auto_pop!H830</f>
        <v/>
      </c>
      <c r="G830" s="33"/>
      <c r="H830" s="33"/>
    </row>
    <row r="831" spans="2:8" s="2" customFormat="1" ht="15" x14ac:dyDescent="0.25">
      <c r="B831" s="21"/>
      <c r="C831" s="22"/>
      <c r="D831" s="29" t="str">
        <f t="shared" si="12"/>
        <v/>
      </c>
      <c r="E831" s="22"/>
      <c r="F831" s="22" t="str">
        <f ca="1">auto_pop!H831</f>
        <v/>
      </c>
      <c r="G831" s="33"/>
      <c r="H831" s="33"/>
    </row>
    <row r="832" spans="2:8" s="2" customFormat="1" ht="15" x14ac:dyDescent="0.25">
      <c r="B832" s="21"/>
      <c r="C832" s="22"/>
      <c r="D832" s="29" t="str">
        <f t="shared" si="12"/>
        <v/>
      </c>
      <c r="E832" s="22"/>
      <c r="F832" s="22" t="str">
        <f ca="1">auto_pop!H832</f>
        <v/>
      </c>
      <c r="G832" s="33"/>
      <c r="H832" s="33"/>
    </row>
    <row r="833" spans="2:8" s="2" customFormat="1" ht="15" x14ac:dyDescent="0.25">
      <c r="B833" s="21"/>
      <c r="C833" s="22"/>
      <c r="D833" s="29" t="str">
        <f t="shared" si="12"/>
        <v/>
      </c>
      <c r="E833" s="22"/>
      <c r="F833" s="22" t="str">
        <f ca="1">auto_pop!H833</f>
        <v/>
      </c>
      <c r="G833" s="33"/>
      <c r="H833" s="33"/>
    </row>
    <row r="834" spans="2:8" s="2" customFormat="1" ht="15" x14ac:dyDescent="0.25">
      <c r="B834" s="21"/>
      <c r="C834" s="22"/>
      <c r="D834" s="29" t="str">
        <f t="shared" si="12"/>
        <v/>
      </c>
      <c r="E834" s="22"/>
      <c r="F834" s="22" t="str">
        <f ca="1">auto_pop!H834</f>
        <v/>
      </c>
      <c r="G834" s="33"/>
      <c r="H834" s="33"/>
    </row>
    <row r="835" spans="2:8" s="2" customFormat="1" ht="15" x14ac:dyDescent="0.25">
      <c r="B835" s="21"/>
      <c r="C835" s="22"/>
      <c r="D835" s="29" t="str">
        <f t="shared" si="12"/>
        <v/>
      </c>
      <c r="E835" s="22"/>
      <c r="F835" s="22" t="str">
        <f ca="1">auto_pop!H835</f>
        <v/>
      </c>
      <c r="G835" s="33"/>
      <c r="H835" s="33"/>
    </row>
    <row r="836" spans="2:8" s="2" customFormat="1" ht="15" x14ac:dyDescent="0.25">
      <c r="B836" s="21"/>
      <c r="C836" s="22"/>
      <c r="D836" s="29" t="str">
        <f t="shared" ref="D836:D899" si="13">IF(C836&lt;&gt;"", IF(OR(C836="Chapin", C836="Oatka", C836="Seneca"), "", 1), "")</f>
        <v/>
      </c>
      <c r="E836" s="22"/>
      <c r="F836" s="22" t="str">
        <f ca="1">auto_pop!H836</f>
        <v/>
      </c>
      <c r="G836" s="33"/>
      <c r="H836" s="33"/>
    </row>
    <row r="837" spans="2:8" s="2" customFormat="1" ht="15" x14ac:dyDescent="0.25">
      <c r="B837" s="21"/>
      <c r="C837" s="22"/>
      <c r="D837" s="29" t="str">
        <f t="shared" si="13"/>
        <v/>
      </c>
      <c r="E837" s="22"/>
      <c r="F837" s="22" t="str">
        <f ca="1">auto_pop!H837</f>
        <v/>
      </c>
      <c r="G837" s="33"/>
      <c r="H837" s="33"/>
    </row>
    <row r="838" spans="2:8" s="2" customFormat="1" ht="15" x14ac:dyDescent="0.25">
      <c r="B838" s="21"/>
      <c r="C838" s="22"/>
      <c r="D838" s="29" t="str">
        <f t="shared" si="13"/>
        <v/>
      </c>
      <c r="E838" s="22"/>
      <c r="F838" s="22" t="str">
        <f ca="1">auto_pop!H838</f>
        <v/>
      </c>
      <c r="G838" s="33"/>
      <c r="H838" s="33"/>
    </row>
    <row r="839" spans="2:8" s="2" customFormat="1" ht="15" x14ac:dyDescent="0.25">
      <c r="B839" s="21"/>
      <c r="C839" s="22"/>
      <c r="D839" s="29" t="str">
        <f t="shared" si="13"/>
        <v/>
      </c>
      <c r="E839" s="22"/>
      <c r="F839" s="22" t="str">
        <f ca="1">auto_pop!H839</f>
        <v/>
      </c>
      <c r="G839" s="33"/>
      <c r="H839" s="33"/>
    </row>
    <row r="840" spans="2:8" s="2" customFormat="1" ht="15" x14ac:dyDescent="0.25">
      <c r="B840" s="21"/>
      <c r="C840" s="22"/>
      <c r="D840" s="29" t="str">
        <f t="shared" si="13"/>
        <v/>
      </c>
      <c r="E840" s="22"/>
      <c r="F840" s="22" t="str">
        <f ca="1">auto_pop!H840</f>
        <v/>
      </c>
      <c r="G840" s="33"/>
      <c r="H840" s="33"/>
    </row>
    <row r="841" spans="2:8" s="2" customFormat="1" ht="15" x14ac:dyDescent="0.25">
      <c r="B841" s="21"/>
      <c r="C841" s="22"/>
      <c r="D841" s="29" t="str">
        <f t="shared" si="13"/>
        <v/>
      </c>
      <c r="E841" s="22"/>
      <c r="F841" s="22" t="str">
        <f ca="1">auto_pop!H841</f>
        <v/>
      </c>
      <c r="G841" s="33"/>
      <c r="H841" s="33"/>
    </row>
    <row r="842" spans="2:8" s="2" customFormat="1" ht="15" x14ac:dyDescent="0.25">
      <c r="B842" s="21"/>
      <c r="C842" s="22"/>
      <c r="D842" s="29" t="str">
        <f t="shared" si="13"/>
        <v/>
      </c>
      <c r="E842" s="22"/>
      <c r="F842" s="22" t="str">
        <f ca="1">auto_pop!H842</f>
        <v/>
      </c>
      <c r="G842" s="33"/>
      <c r="H842" s="33"/>
    </row>
    <row r="843" spans="2:8" s="2" customFormat="1" ht="15" x14ac:dyDescent="0.25">
      <c r="B843" s="21"/>
      <c r="C843" s="22"/>
      <c r="D843" s="29" t="str">
        <f t="shared" si="13"/>
        <v/>
      </c>
      <c r="E843" s="22"/>
      <c r="F843" s="22" t="str">
        <f ca="1">auto_pop!H843</f>
        <v/>
      </c>
      <c r="G843" s="33"/>
      <c r="H843" s="33"/>
    </row>
    <row r="844" spans="2:8" s="2" customFormat="1" ht="15" x14ac:dyDescent="0.25">
      <c r="B844" s="21"/>
      <c r="C844" s="22"/>
      <c r="D844" s="29" t="str">
        <f t="shared" si="13"/>
        <v/>
      </c>
      <c r="E844" s="22"/>
      <c r="F844" s="22" t="str">
        <f ca="1">auto_pop!H844</f>
        <v/>
      </c>
      <c r="G844" s="33"/>
      <c r="H844" s="33"/>
    </row>
    <row r="845" spans="2:8" s="2" customFormat="1" ht="15" x14ac:dyDescent="0.25">
      <c r="B845" s="21"/>
      <c r="C845" s="22"/>
      <c r="D845" s="29" t="str">
        <f t="shared" si="13"/>
        <v/>
      </c>
      <c r="E845" s="22"/>
      <c r="F845" s="22" t="str">
        <f ca="1">auto_pop!H845</f>
        <v/>
      </c>
      <c r="G845" s="33"/>
      <c r="H845" s="33"/>
    </row>
    <row r="846" spans="2:8" s="2" customFormat="1" ht="15" x14ac:dyDescent="0.25">
      <c r="B846" s="21"/>
      <c r="C846" s="22"/>
      <c r="D846" s="29" t="str">
        <f t="shared" si="13"/>
        <v/>
      </c>
      <c r="E846" s="22"/>
      <c r="F846" s="22" t="str">
        <f ca="1">auto_pop!H846</f>
        <v/>
      </c>
      <c r="G846" s="33"/>
      <c r="H846" s="33"/>
    </row>
    <row r="847" spans="2:8" s="2" customFormat="1" ht="15" x14ac:dyDescent="0.25">
      <c r="B847" s="21"/>
      <c r="C847" s="22"/>
      <c r="D847" s="29" t="str">
        <f t="shared" si="13"/>
        <v/>
      </c>
      <c r="E847" s="22"/>
      <c r="F847" s="22" t="str">
        <f ca="1">auto_pop!H847</f>
        <v/>
      </c>
      <c r="G847" s="33"/>
      <c r="H847" s="33"/>
    </row>
    <row r="848" spans="2:8" s="2" customFormat="1" ht="15" x14ac:dyDescent="0.25">
      <c r="B848" s="21"/>
      <c r="C848" s="22"/>
      <c r="D848" s="29" t="str">
        <f t="shared" si="13"/>
        <v/>
      </c>
      <c r="E848" s="22"/>
      <c r="F848" s="22" t="str">
        <f ca="1">auto_pop!H848</f>
        <v/>
      </c>
      <c r="G848" s="33"/>
      <c r="H848" s="33"/>
    </row>
    <row r="849" spans="2:8" s="2" customFormat="1" ht="15" x14ac:dyDescent="0.25">
      <c r="B849" s="21"/>
      <c r="C849" s="22"/>
      <c r="D849" s="29" t="str">
        <f t="shared" si="13"/>
        <v/>
      </c>
      <c r="E849" s="22"/>
      <c r="F849" s="22" t="str">
        <f ca="1">auto_pop!H849</f>
        <v/>
      </c>
      <c r="G849" s="33"/>
      <c r="H849" s="33"/>
    </row>
    <row r="850" spans="2:8" s="2" customFormat="1" ht="15" x14ac:dyDescent="0.25">
      <c r="B850" s="21"/>
      <c r="C850" s="22"/>
      <c r="D850" s="29" t="str">
        <f t="shared" si="13"/>
        <v/>
      </c>
      <c r="E850" s="22"/>
      <c r="F850" s="22" t="str">
        <f ca="1">auto_pop!H850</f>
        <v/>
      </c>
      <c r="G850" s="33"/>
      <c r="H850" s="33"/>
    </row>
    <row r="851" spans="2:8" s="2" customFormat="1" ht="15" x14ac:dyDescent="0.25">
      <c r="B851" s="21"/>
      <c r="C851" s="22"/>
      <c r="D851" s="29" t="str">
        <f t="shared" si="13"/>
        <v/>
      </c>
      <c r="E851" s="22"/>
      <c r="F851" s="22" t="str">
        <f ca="1">auto_pop!H851</f>
        <v/>
      </c>
      <c r="G851" s="33"/>
      <c r="H851" s="33"/>
    </row>
    <row r="852" spans="2:8" s="2" customFormat="1" ht="15" x14ac:dyDescent="0.25">
      <c r="B852" s="21"/>
      <c r="C852" s="22"/>
      <c r="D852" s="29" t="str">
        <f t="shared" si="13"/>
        <v/>
      </c>
      <c r="E852" s="22"/>
      <c r="F852" s="22" t="str">
        <f ca="1">auto_pop!H852</f>
        <v/>
      </c>
      <c r="G852" s="33"/>
      <c r="H852" s="33"/>
    </row>
    <row r="853" spans="2:8" s="2" customFormat="1" ht="15" x14ac:dyDescent="0.25">
      <c r="B853" s="21"/>
      <c r="C853" s="22"/>
      <c r="D853" s="29" t="str">
        <f t="shared" si="13"/>
        <v/>
      </c>
      <c r="E853" s="22"/>
      <c r="F853" s="22" t="str">
        <f ca="1">auto_pop!H853</f>
        <v/>
      </c>
      <c r="G853" s="33"/>
      <c r="H853" s="33"/>
    </row>
    <row r="854" spans="2:8" s="2" customFormat="1" ht="15" x14ac:dyDescent="0.25">
      <c r="B854" s="21"/>
      <c r="C854" s="22"/>
      <c r="D854" s="29" t="str">
        <f t="shared" si="13"/>
        <v/>
      </c>
      <c r="E854" s="22"/>
      <c r="F854" s="22" t="str">
        <f ca="1">auto_pop!H854</f>
        <v/>
      </c>
      <c r="G854" s="33"/>
      <c r="H854" s="33"/>
    </row>
    <row r="855" spans="2:8" s="2" customFormat="1" ht="15" x14ac:dyDescent="0.25">
      <c r="B855" s="21"/>
      <c r="C855" s="22"/>
      <c r="D855" s="29" t="str">
        <f t="shared" si="13"/>
        <v/>
      </c>
      <c r="E855" s="22"/>
      <c r="F855" s="22" t="str">
        <f ca="1">auto_pop!H855</f>
        <v/>
      </c>
      <c r="G855" s="33"/>
      <c r="H855" s="33"/>
    </row>
    <row r="856" spans="2:8" s="2" customFormat="1" ht="15" x14ac:dyDescent="0.25">
      <c r="B856" s="21"/>
      <c r="C856" s="22"/>
      <c r="D856" s="29" t="str">
        <f t="shared" si="13"/>
        <v/>
      </c>
      <c r="E856" s="22"/>
      <c r="F856" s="22" t="str">
        <f ca="1">auto_pop!H856</f>
        <v/>
      </c>
      <c r="G856" s="33"/>
      <c r="H856" s="33"/>
    </row>
    <row r="857" spans="2:8" s="2" customFormat="1" ht="15" x14ac:dyDescent="0.25">
      <c r="B857" s="21"/>
      <c r="C857" s="22"/>
      <c r="D857" s="29" t="str">
        <f t="shared" si="13"/>
        <v/>
      </c>
      <c r="E857" s="22"/>
      <c r="F857" s="22" t="str">
        <f ca="1">auto_pop!H857</f>
        <v/>
      </c>
      <c r="G857" s="33"/>
      <c r="H857" s="33"/>
    </row>
    <row r="858" spans="2:8" s="2" customFormat="1" ht="15" x14ac:dyDescent="0.25">
      <c r="B858" s="21"/>
      <c r="C858" s="22"/>
      <c r="D858" s="29" t="str">
        <f t="shared" si="13"/>
        <v/>
      </c>
      <c r="E858" s="22"/>
      <c r="F858" s="22" t="str">
        <f ca="1">auto_pop!H858</f>
        <v/>
      </c>
      <c r="G858" s="33"/>
      <c r="H858" s="33"/>
    </row>
    <row r="859" spans="2:8" s="2" customFormat="1" ht="15" x14ac:dyDescent="0.25">
      <c r="B859" s="21"/>
      <c r="C859" s="22"/>
      <c r="D859" s="29" t="str">
        <f t="shared" si="13"/>
        <v/>
      </c>
      <c r="E859" s="22"/>
      <c r="F859" s="22" t="str">
        <f ca="1">auto_pop!H859</f>
        <v/>
      </c>
      <c r="G859" s="33"/>
      <c r="H859" s="33"/>
    </row>
    <row r="860" spans="2:8" s="2" customFormat="1" ht="15" x14ac:dyDescent="0.25">
      <c r="B860" s="21"/>
      <c r="C860" s="22"/>
      <c r="D860" s="29" t="str">
        <f t="shared" si="13"/>
        <v/>
      </c>
      <c r="E860" s="22"/>
      <c r="F860" s="22" t="str">
        <f ca="1">auto_pop!H860</f>
        <v/>
      </c>
      <c r="G860" s="33"/>
      <c r="H860" s="33"/>
    </row>
    <row r="861" spans="2:8" s="2" customFormat="1" ht="15" x14ac:dyDescent="0.25">
      <c r="B861" s="21"/>
      <c r="C861" s="22"/>
      <c r="D861" s="29" t="str">
        <f t="shared" si="13"/>
        <v/>
      </c>
      <c r="E861" s="22"/>
      <c r="F861" s="22" t="str">
        <f ca="1">auto_pop!H861</f>
        <v/>
      </c>
      <c r="G861" s="33"/>
      <c r="H861" s="33"/>
    </row>
    <row r="862" spans="2:8" s="2" customFormat="1" ht="15" x14ac:dyDescent="0.25">
      <c r="B862" s="21"/>
      <c r="C862" s="22"/>
      <c r="D862" s="29" t="str">
        <f t="shared" si="13"/>
        <v/>
      </c>
      <c r="E862" s="22"/>
      <c r="F862" s="22" t="str">
        <f ca="1">auto_pop!H862</f>
        <v/>
      </c>
      <c r="G862" s="33"/>
      <c r="H862" s="33"/>
    </row>
    <row r="863" spans="2:8" s="2" customFormat="1" ht="15" x14ac:dyDescent="0.25">
      <c r="B863" s="21"/>
      <c r="C863" s="22"/>
      <c r="D863" s="29" t="str">
        <f t="shared" si="13"/>
        <v/>
      </c>
      <c r="E863" s="22"/>
      <c r="F863" s="22" t="str">
        <f ca="1">auto_pop!H863</f>
        <v/>
      </c>
      <c r="G863" s="33"/>
      <c r="H863" s="33"/>
    </row>
    <row r="864" spans="2:8" s="2" customFormat="1" ht="15" x14ac:dyDescent="0.25">
      <c r="B864" s="21"/>
      <c r="C864" s="22"/>
      <c r="D864" s="29" t="str">
        <f t="shared" si="13"/>
        <v/>
      </c>
      <c r="E864" s="22"/>
      <c r="F864" s="22" t="str">
        <f ca="1">auto_pop!H864</f>
        <v/>
      </c>
      <c r="G864" s="33"/>
      <c r="H864" s="33"/>
    </row>
    <row r="865" spans="2:8" s="2" customFormat="1" ht="15" x14ac:dyDescent="0.25">
      <c r="B865" s="21"/>
      <c r="C865" s="22"/>
      <c r="D865" s="29" t="str">
        <f t="shared" si="13"/>
        <v/>
      </c>
      <c r="E865" s="22"/>
      <c r="F865" s="22" t="str">
        <f ca="1">auto_pop!H865</f>
        <v/>
      </c>
      <c r="G865" s="33"/>
      <c r="H865" s="33"/>
    </row>
    <row r="866" spans="2:8" s="2" customFormat="1" ht="15" x14ac:dyDescent="0.25">
      <c r="B866" s="21"/>
      <c r="C866" s="22"/>
      <c r="D866" s="29" t="str">
        <f t="shared" si="13"/>
        <v/>
      </c>
      <c r="E866" s="22"/>
      <c r="F866" s="22" t="str">
        <f ca="1">auto_pop!H866</f>
        <v/>
      </c>
      <c r="G866" s="33"/>
      <c r="H866" s="33"/>
    </row>
    <row r="867" spans="2:8" s="2" customFormat="1" ht="15" x14ac:dyDescent="0.25">
      <c r="B867" s="21"/>
      <c r="C867" s="22"/>
      <c r="D867" s="29" t="str">
        <f t="shared" si="13"/>
        <v/>
      </c>
      <c r="E867" s="22"/>
      <c r="F867" s="22" t="str">
        <f ca="1">auto_pop!H867</f>
        <v/>
      </c>
      <c r="G867" s="33"/>
      <c r="H867" s="33"/>
    </row>
    <row r="868" spans="2:8" s="2" customFormat="1" ht="15" x14ac:dyDescent="0.25">
      <c r="B868" s="21"/>
      <c r="C868" s="22"/>
      <c r="D868" s="29" t="str">
        <f t="shared" si="13"/>
        <v/>
      </c>
      <c r="E868" s="22"/>
      <c r="F868" s="22" t="str">
        <f ca="1">auto_pop!H868</f>
        <v/>
      </c>
      <c r="G868" s="33"/>
      <c r="H868" s="33"/>
    </row>
    <row r="869" spans="2:8" s="2" customFormat="1" ht="15" x14ac:dyDescent="0.25">
      <c r="B869" s="21"/>
      <c r="C869" s="22"/>
      <c r="D869" s="29" t="str">
        <f t="shared" si="13"/>
        <v/>
      </c>
      <c r="E869" s="22"/>
      <c r="F869" s="22" t="str">
        <f ca="1">auto_pop!H869</f>
        <v/>
      </c>
      <c r="G869" s="33"/>
      <c r="H869" s="33"/>
    </row>
    <row r="870" spans="2:8" s="2" customFormat="1" ht="15" x14ac:dyDescent="0.25">
      <c r="B870" s="21"/>
      <c r="C870" s="22"/>
      <c r="D870" s="29" t="str">
        <f t="shared" si="13"/>
        <v/>
      </c>
      <c r="E870" s="22"/>
      <c r="F870" s="22" t="str">
        <f ca="1">auto_pop!H870</f>
        <v/>
      </c>
      <c r="G870" s="33"/>
      <c r="H870" s="33"/>
    </row>
    <row r="871" spans="2:8" s="2" customFormat="1" ht="15" x14ac:dyDescent="0.25">
      <c r="B871" s="21"/>
      <c r="C871" s="22"/>
      <c r="D871" s="29" t="str">
        <f t="shared" si="13"/>
        <v/>
      </c>
      <c r="E871" s="22"/>
      <c r="F871" s="22" t="str">
        <f ca="1">auto_pop!H871</f>
        <v/>
      </c>
      <c r="G871" s="33"/>
      <c r="H871" s="33"/>
    </row>
    <row r="872" spans="2:8" s="2" customFormat="1" ht="15" x14ac:dyDescent="0.25">
      <c r="B872" s="21"/>
      <c r="C872" s="22"/>
      <c r="D872" s="29" t="str">
        <f t="shared" si="13"/>
        <v/>
      </c>
      <c r="E872" s="22"/>
      <c r="F872" s="22" t="str">
        <f ca="1">auto_pop!H872</f>
        <v/>
      </c>
      <c r="G872" s="33"/>
      <c r="H872" s="33"/>
    </row>
    <row r="873" spans="2:8" s="2" customFormat="1" ht="15" x14ac:dyDescent="0.25">
      <c r="B873" s="21"/>
      <c r="C873" s="22"/>
      <c r="D873" s="29" t="str">
        <f t="shared" si="13"/>
        <v/>
      </c>
      <c r="E873" s="22"/>
      <c r="F873" s="22" t="str">
        <f ca="1">auto_pop!H873</f>
        <v/>
      </c>
      <c r="G873" s="33"/>
      <c r="H873" s="33"/>
    </row>
    <row r="874" spans="2:8" s="2" customFormat="1" ht="15" x14ac:dyDescent="0.25">
      <c r="B874" s="21"/>
      <c r="C874" s="22"/>
      <c r="D874" s="29" t="str">
        <f t="shared" si="13"/>
        <v/>
      </c>
      <c r="E874" s="22"/>
      <c r="F874" s="22" t="str">
        <f ca="1">auto_pop!H874</f>
        <v/>
      </c>
      <c r="G874" s="33"/>
      <c r="H874" s="33"/>
    </row>
    <row r="875" spans="2:8" s="2" customFormat="1" ht="15" x14ac:dyDescent="0.25">
      <c r="B875" s="21"/>
      <c r="C875" s="22"/>
      <c r="D875" s="29" t="str">
        <f t="shared" si="13"/>
        <v/>
      </c>
      <c r="E875" s="22"/>
      <c r="F875" s="22" t="str">
        <f ca="1">auto_pop!H875</f>
        <v/>
      </c>
      <c r="G875" s="33"/>
      <c r="H875" s="33"/>
    </row>
    <row r="876" spans="2:8" s="2" customFormat="1" ht="15" x14ac:dyDescent="0.25">
      <c r="B876" s="21"/>
      <c r="C876" s="22"/>
      <c r="D876" s="29" t="str">
        <f t="shared" si="13"/>
        <v/>
      </c>
      <c r="E876" s="22"/>
      <c r="F876" s="22" t="str">
        <f ca="1">auto_pop!H876</f>
        <v/>
      </c>
      <c r="G876" s="33"/>
      <c r="H876" s="33"/>
    </row>
    <row r="877" spans="2:8" s="2" customFormat="1" ht="15" x14ac:dyDescent="0.25">
      <c r="B877" s="21"/>
      <c r="C877" s="22"/>
      <c r="D877" s="29" t="str">
        <f t="shared" si="13"/>
        <v/>
      </c>
      <c r="E877" s="22"/>
      <c r="F877" s="22" t="str">
        <f ca="1">auto_pop!H877</f>
        <v/>
      </c>
      <c r="G877" s="33"/>
      <c r="H877" s="33"/>
    </row>
    <row r="878" spans="2:8" s="2" customFormat="1" ht="15" x14ac:dyDescent="0.25">
      <c r="B878" s="21"/>
      <c r="C878" s="22"/>
      <c r="D878" s="29" t="str">
        <f t="shared" si="13"/>
        <v/>
      </c>
      <c r="E878" s="22"/>
      <c r="F878" s="22" t="str">
        <f ca="1">auto_pop!H878</f>
        <v/>
      </c>
      <c r="G878" s="33"/>
      <c r="H878" s="33"/>
    </row>
    <row r="879" spans="2:8" s="2" customFormat="1" ht="15" x14ac:dyDescent="0.25">
      <c r="B879" s="21"/>
      <c r="C879" s="22"/>
      <c r="D879" s="29" t="str">
        <f t="shared" si="13"/>
        <v/>
      </c>
      <c r="E879" s="22"/>
      <c r="F879" s="22" t="str">
        <f ca="1">auto_pop!H879</f>
        <v/>
      </c>
      <c r="G879" s="33"/>
      <c r="H879" s="33"/>
    </row>
    <row r="880" spans="2:8" s="2" customFormat="1" ht="15" x14ac:dyDescent="0.25">
      <c r="B880" s="21"/>
      <c r="C880" s="22"/>
      <c r="D880" s="29" t="str">
        <f t="shared" si="13"/>
        <v/>
      </c>
      <c r="E880" s="22"/>
      <c r="F880" s="22" t="str">
        <f ca="1">auto_pop!H880</f>
        <v/>
      </c>
      <c r="G880" s="33"/>
      <c r="H880" s="33"/>
    </row>
    <row r="881" spans="2:8" s="2" customFormat="1" ht="15" x14ac:dyDescent="0.25">
      <c r="B881" s="21"/>
      <c r="C881" s="22"/>
      <c r="D881" s="29" t="str">
        <f t="shared" si="13"/>
        <v/>
      </c>
      <c r="E881" s="22"/>
      <c r="F881" s="22" t="str">
        <f ca="1">auto_pop!H881</f>
        <v/>
      </c>
      <c r="G881" s="33"/>
      <c r="H881" s="33"/>
    </row>
    <row r="882" spans="2:8" s="2" customFormat="1" ht="15" x14ac:dyDescent="0.25">
      <c r="B882" s="21"/>
      <c r="C882" s="22"/>
      <c r="D882" s="29" t="str">
        <f t="shared" si="13"/>
        <v/>
      </c>
      <c r="E882" s="22"/>
      <c r="F882" s="22" t="str">
        <f ca="1">auto_pop!H882</f>
        <v/>
      </c>
      <c r="G882" s="33"/>
      <c r="H882" s="33"/>
    </row>
    <row r="883" spans="2:8" s="2" customFormat="1" ht="15" x14ac:dyDescent="0.25">
      <c r="B883" s="21"/>
      <c r="C883" s="22"/>
      <c r="D883" s="29" t="str">
        <f t="shared" si="13"/>
        <v/>
      </c>
      <c r="E883" s="22"/>
      <c r="F883" s="22" t="str">
        <f ca="1">auto_pop!H883</f>
        <v/>
      </c>
      <c r="G883" s="33"/>
      <c r="H883" s="33"/>
    </row>
    <row r="884" spans="2:8" s="2" customFormat="1" ht="15" x14ac:dyDescent="0.25">
      <c r="B884" s="21"/>
      <c r="C884" s="22"/>
      <c r="D884" s="29" t="str">
        <f t="shared" si="13"/>
        <v/>
      </c>
      <c r="E884" s="22"/>
      <c r="F884" s="22" t="str">
        <f ca="1">auto_pop!H884</f>
        <v/>
      </c>
      <c r="G884" s="33"/>
      <c r="H884" s="33"/>
    </row>
    <row r="885" spans="2:8" s="2" customFormat="1" ht="15" x14ac:dyDescent="0.25">
      <c r="B885" s="21"/>
      <c r="C885" s="22"/>
      <c r="D885" s="29" t="str">
        <f t="shared" si="13"/>
        <v/>
      </c>
      <c r="E885" s="22"/>
      <c r="F885" s="22" t="str">
        <f ca="1">auto_pop!H885</f>
        <v/>
      </c>
      <c r="G885" s="33"/>
      <c r="H885" s="33"/>
    </row>
    <row r="886" spans="2:8" s="2" customFormat="1" ht="15" x14ac:dyDescent="0.25">
      <c r="B886" s="21"/>
      <c r="C886" s="22"/>
      <c r="D886" s="29" t="str">
        <f t="shared" si="13"/>
        <v/>
      </c>
      <c r="E886" s="22"/>
      <c r="F886" s="22" t="str">
        <f ca="1">auto_pop!H886</f>
        <v/>
      </c>
      <c r="G886" s="33"/>
      <c r="H886" s="33"/>
    </row>
    <row r="887" spans="2:8" s="2" customFormat="1" ht="15" x14ac:dyDescent="0.25">
      <c r="B887" s="21"/>
      <c r="C887" s="22"/>
      <c r="D887" s="29" t="str">
        <f t="shared" si="13"/>
        <v/>
      </c>
      <c r="E887" s="22"/>
      <c r="F887" s="22" t="str">
        <f ca="1">auto_pop!H887</f>
        <v/>
      </c>
      <c r="G887" s="33"/>
      <c r="H887" s="33"/>
    </row>
    <row r="888" spans="2:8" s="2" customFormat="1" ht="15" x14ac:dyDescent="0.25">
      <c r="B888" s="21"/>
      <c r="C888" s="22"/>
      <c r="D888" s="29" t="str">
        <f t="shared" si="13"/>
        <v/>
      </c>
      <c r="E888" s="22"/>
      <c r="F888" s="22" t="str">
        <f ca="1">auto_pop!H888</f>
        <v/>
      </c>
      <c r="G888" s="33"/>
      <c r="H888" s="33"/>
    </row>
    <row r="889" spans="2:8" s="2" customFormat="1" ht="15" x14ac:dyDescent="0.25">
      <c r="B889" s="21"/>
      <c r="C889" s="22"/>
      <c r="D889" s="29" t="str">
        <f t="shared" si="13"/>
        <v/>
      </c>
      <c r="E889" s="22"/>
      <c r="F889" s="22" t="str">
        <f ca="1">auto_pop!H889</f>
        <v/>
      </c>
      <c r="G889" s="33"/>
      <c r="H889" s="33"/>
    </row>
    <row r="890" spans="2:8" s="2" customFormat="1" ht="15" x14ac:dyDescent="0.25">
      <c r="B890" s="21"/>
      <c r="C890" s="22"/>
      <c r="D890" s="29" t="str">
        <f t="shared" si="13"/>
        <v/>
      </c>
      <c r="E890" s="22"/>
      <c r="F890" s="22" t="str">
        <f ca="1">auto_pop!H890</f>
        <v/>
      </c>
      <c r="G890" s="33"/>
      <c r="H890" s="33"/>
    </row>
    <row r="891" spans="2:8" s="2" customFormat="1" ht="15" x14ac:dyDescent="0.25">
      <c r="B891" s="21"/>
      <c r="C891" s="22"/>
      <c r="D891" s="29" t="str">
        <f t="shared" si="13"/>
        <v/>
      </c>
      <c r="E891" s="22"/>
      <c r="F891" s="22" t="str">
        <f ca="1">auto_pop!H891</f>
        <v/>
      </c>
      <c r="G891" s="33"/>
      <c r="H891" s="33"/>
    </row>
    <row r="892" spans="2:8" s="2" customFormat="1" ht="15" x14ac:dyDescent="0.25">
      <c r="B892" s="21"/>
      <c r="C892" s="22"/>
      <c r="D892" s="29" t="str">
        <f t="shared" si="13"/>
        <v/>
      </c>
      <c r="E892" s="22"/>
      <c r="F892" s="22" t="str">
        <f ca="1">auto_pop!H892</f>
        <v/>
      </c>
      <c r="G892" s="33"/>
      <c r="H892" s="33"/>
    </row>
    <row r="893" spans="2:8" s="2" customFormat="1" ht="15" x14ac:dyDescent="0.25">
      <c r="B893" s="21"/>
      <c r="C893" s="22"/>
      <c r="D893" s="29" t="str">
        <f t="shared" si="13"/>
        <v/>
      </c>
      <c r="E893" s="22"/>
      <c r="F893" s="22" t="str">
        <f ca="1">auto_pop!H893</f>
        <v/>
      </c>
      <c r="G893" s="33"/>
      <c r="H893" s="33"/>
    </row>
    <row r="894" spans="2:8" s="2" customFormat="1" ht="15" x14ac:dyDescent="0.25">
      <c r="B894" s="21"/>
      <c r="C894" s="22"/>
      <c r="D894" s="29" t="str">
        <f t="shared" si="13"/>
        <v/>
      </c>
      <c r="E894" s="22"/>
      <c r="F894" s="22" t="str">
        <f ca="1">auto_pop!H894</f>
        <v/>
      </c>
      <c r="G894" s="33"/>
      <c r="H894" s="33"/>
    </row>
    <row r="895" spans="2:8" s="2" customFormat="1" ht="15" x14ac:dyDescent="0.25">
      <c r="B895" s="21"/>
      <c r="C895" s="22"/>
      <c r="D895" s="29" t="str">
        <f t="shared" si="13"/>
        <v/>
      </c>
      <c r="E895" s="22"/>
      <c r="F895" s="22" t="str">
        <f ca="1">auto_pop!H895</f>
        <v/>
      </c>
      <c r="G895" s="33"/>
      <c r="H895" s="33"/>
    </row>
    <row r="896" spans="2:8" s="2" customFormat="1" ht="15" x14ac:dyDescent="0.25">
      <c r="B896" s="21"/>
      <c r="C896" s="22"/>
      <c r="D896" s="29" t="str">
        <f t="shared" si="13"/>
        <v/>
      </c>
      <c r="E896" s="22"/>
      <c r="F896" s="22" t="str">
        <f ca="1">auto_pop!H896</f>
        <v/>
      </c>
      <c r="G896" s="33"/>
      <c r="H896" s="33"/>
    </row>
    <row r="897" spans="2:8" s="2" customFormat="1" ht="15" x14ac:dyDescent="0.25">
      <c r="B897" s="21"/>
      <c r="C897" s="22"/>
      <c r="D897" s="29" t="str">
        <f t="shared" si="13"/>
        <v/>
      </c>
      <c r="E897" s="22"/>
      <c r="F897" s="22" t="str">
        <f ca="1">auto_pop!H897</f>
        <v/>
      </c>
      <c r="G897" s="33"/>
      <c r="H897" s="33"/>
    </row>
    <row r="898" spans="2:8" s="2" customFormat="1" ht="15" x14ac:dyDescent="0.25">
      <c r="B898" s="21"/>
      <c r="C898" s="22"/>
      <c r="D898" s="29" t="str">
        <f t="shared" si="13"/>
        <v/>
      </c>
      <c r="E898" s="22"/>
      <c r="F898" s="22" t="str">
        <f ca="1">auto_pop!H898</f>
        <v/>
      </c>
      <c r="G898" s="33"/>
      <c r="H898" s="33"/>
    </row>
    <row r="899" spans="2:8" s="2" customFormat="1" ht="15" x14ac:dyDescent="0.25">
      <c r="B899" s="21"/>
      <c r="C899" s="22"/>
      <c r="D899" s="29" t="str">
        <f t="shared" si="13"/>
        <v/>
      </c>
      <c r="E899" s="22"/>
      <c r="F899" s="22" t="str">
        <f ca="1">auto_pop!H899</f>
        <v/>
      </c>
      <c r="G899" s="33"/>
      <c r="H899" s="33"/>
    </row>
    <row r="900" spans="2:8" s="2" customFormat="1" ht="15" x14ac:dyDescent="0.25">
      <c r="B900" s="21"/>
      <c r="C900" s="22"/>
      <c r="D900" s="29" t="str">
        <f t="shared" ref="D900:D963" si="14">IF(C900&lt;&gt;"", IF(OR(C900="Chapin", C900="Oatka", C900="Seneca"), "", 1), "")</f>
        <v/>
      </c>
      <c r="E900" s="22"/>
      <c r="F900" s="22" t="str">
        <f ca="1">auto_pop!H900</f>
        <v/>
      </c>
      <c r="G900" s="33"/>
      <c r="H900" s="33"/>
    </row>
    <row r="901" spans="2:8" s="2" customFormat="1" ht="15" x14ac:dyDescent="0.25">
      <c r="B901" s="21"/>
      <c r="C901" s="22"/>
      <c r="D901" s="29" t="str">
        <f t="shared" si="14"/>
        <v/>
      </c>
      <c r="E901" s="22"/>
      <c r="F901" s="22" t="str">
        <f ca="1">auto_pop!H901</f>
        <v/>
      </c>
      <c r="G901" s="33"/>
      <c r="H901" s="33"/>
    </row>
    <row r="902" spans="2:8" s="2" customFormat="1" ht="15" x14ac:dyDescent="0.25">
      <c r="B902" s="21"/>
      <c r="C902" s="22"/>
      <c r="D902" s="29" t="str">
        <f t="shared" si="14"/>
        <v/>
      </c>
      <c r="E902" s="22"/>
      <c r="F902" s="22" t="str">
        <f ca="1">auto_pop!H902</f>
        <v/>
      </c>
      <c r="G902" s="33"/>
      <c r="H902" s="33"/>
    </row>
    <row r="903" spans="2:8" s="2" customFormat="1" ht="15" x14ac:dyDescent="0.25">
      <c r="B903" s="21"/>
      <c r="C903" s="22"/>
      <c r="D903" s="29" t="str">
        <f t="shared" si="14"/>
        <v/>
      </c>
      <c r="E903" s="22"/>
      <c r="F903" s="22" t="str">
        <f ca="1">auto_pop!H903</f>
        <v/>
      </c>
      <c r="G903" s="33"/>
      <c r="H903" s="33"/>
    </row>
    <row r="904" spans="2:8" s="2" customFormat="1" ht="15" x14ac:dyDescent="0.25">
      <c r="B904" s="21"/>
      <c r="C904" s="22"/>
      <c r="D904" s="29" t="str">
        <f t="shared" si="14"/>
        <v/>
      </c>
      <c r="E904" s="22"/>
      <c r="F904" s="22" t="str">
        <f ca="1">auto_pop!H904</f>
        <v/>
      </c>
      <c r="G904" s="33"/>
      <c r="H904" s="33"/>
    </row>
    <row r="905" spans="2:8" s="2" customFormat="1" ht="15" x14ac:dyDescent="0.25">
      <c r="B905" s="21"/>
      <c r="C905" s="22"/>
      <c r="D905" s="29" t="str">
        <f t="shared" si="14"/>
        <v/>
      </c>
      <c r="E905" s="22"/>
      <c r="F905" s="22" t="str">
        <f ca="1">auto_pop!H905</f>
        <v/>
      </c>
      <c r="G905" s="33"/>
      <c r="H905" s="33"/>
    </row>
    <row r="906" spans="2:8" s="2" customFormat="1" ht="15" x14ac:dyDescent="0.25">
      <c r="B906" s="21"/>
      <c r="C906" s="22"/>
      <c r="D906" s="29" t="str">
        <f t="shared" si="14"/>
        <v/>
      </c>
      <c r="E906" s="22"/>
      <c r="F906" s="22" t="str">
        <f ca="1">auto_pop!H906</f>
        <v/>
      </c>
      <c r="G906" s="33"/>
      <c r="H906" s="33"/>
    </row>
    <row r="907" spans="2:8" s="2" customFormat="1" ht="15" x14ac:dyDescent="0.25">
      <c r="B907" s="21"/>
      <c r="C907" s="22"/>
      <c r="D907" s="29" t="str">
        <f t="shared" si="14"/>
        <v/>
      </c>
      <c r="E907" s="22"/>
      <c r="F907" s="22" t="str">
        <f ca="1">auto_pop!H907</f>
        <v/>
      </c>
      <c r="G907" s="33"/>
      <c r="H907" s="33"/>
    </row>
    <row r="908" spans="2:8" s="2" customFormat="1" ht="15" x14ac:dyDescent="0.25">
      <c r="B908" s="21"/>
      <c r="C908" s="22"/>
      <c r="D908" s="29" t="str">
        <f t="shared" si="14"/>
        <v/>
      </c>
      <c r="E908" s="22"/>
      <c r="F908" s="22" t="str">
        <f ca="1">auto_pop!H908</f>
        <v/>
      </c>
      <c r="G908" s="33"/>
      <c r="H908" s="33"/>
    </row>
    <row r="909" spans="2:8" s="2" customFormat="1" ht="15" x14ac:dyDescent="0.25">
      <c r="B909" s="21"/>
      <c r="C909" s="22"/>
      <c r="D909" s="29" t="str">
        <f t="shared" si="14"/>
        <v/>
      </c>
      <c r="E909" s="22"/>
      <c r="F909" s="22" t="str">
        <f ca="1">auto_pop!H909</f>
        <v/>
      </c>
      <c r="G909" s="33"/>
      <c r="H909" s="33"/>
    </row>
    <row r="910" spans="2:8" s="2" customFormat="1" ht="15" x14ac:dyDescent="0.25">
      <c r="B910" s="21"/>
      <c r="C910" s="22"/>
      <c r="D910" s="29" t="str">
        <f t="shared" si="14"/>
        <v/>
      </c>
      <c r="E910" s="22"/>
      <c r="F910" s="22" t="str">
        <f ca="1">auto_pop!H910</f>
        <v/>
      </c>
      <c r="G910" s="33"/>
      <c r="H910" s="33"/>
    </row>
    <row r="911" spans="2:8" s="2" customFormat="1" ht="15" x14ac:dyDescent="0.25">
      <c r="B911" s="21"/>
      <c r="C911" s="22"/>
      <c r="D911" s="29" t="str">
        <f t="shared" si="14"/>
        <v/>
      </c>
      <c r="E911" s="22"/>
      <c r="F911" s="22" t="str">
        <f ca="1">auto_pop!H911</f>
        <v/>
      </c>
      <c r="G911" s="33"/>
      <c r="H911" s="33"/>
    </row>
    <row r="912" spans="2:8" s="2" customFormat="1" ht="15" x14ac:dyDescent="0.25">
      <c r="B912" s="21"/>
      <c r="C912" s="22"/>
      <c r="D912" s="29" t="str">
        <f t="shared" si="14"/>
        <v/>
      </c>
      <c r="E912" s="22"/>
      <c r="F912" s="22" t="str">
        <f ca="1">auto_pop!H912</f>
        <v/>
      </c>
      <c r="G912" s="33"/>
      <c r="H912" s="33"/>
    </row>
    <row r="913" spans="2:8" s="2" customFormat="1" ht="15" x14ac:dyDescent="0.25">
      <c r="B913" s="21"/>
      <c r="C913" s="22"/>
      <c r="D913" s="29" t="str">
        <f t="shared" si="14"/>
        <v/>
      </c>
      <c r="E913" s="22"/>
      <c r="F913" s="22" t="str">
        <f ca="1">auto_pop!H913</f>
        <v/>
      </c>
      <c r="G913" s="33"/>
      <c r="H913" s="33"/>
    </row>
    <row r="914" spans="2:8" s="2" customFormat="1" ht="15" x14ac:dyDescent="0.25">
      <c r="B914" s="21"/>
      <c r="C914" s="22"/>
      <c r="D914" s="29" t="str">
        <f t="shared" si="14"/>
        <v/>
      </c>
      <c r="E914" s="22"/>
      <c r="F914" s="22" t="str">
        <f ca="1">auto_pop!H914</f>
        <v/>
      </c>
      <c r="G914" s="33"/>
      <c r="H914" s="33"/>
    </row>
    <row r="915" spans="2:8" s="2" customFormat="1" ht="15" x14ac:dyDescent="0.25">
      <c r="B915" s="21"/>
      <c r="C915" s="22"/>
      <c r="D915" s="29" t="str">
        <f t="shared" si="14"/>
        <v/>
      </c>
      <c r="E915" s="22"/>
      <c r="F915" s="22" t="str">
        <f ca="1">auto_pop!H915</f>
        <v/>
      </c>
      <c r="G915" s="33"/>
      <c r="H915" s="33"/>
    </row>
    <row r="916" spans="2:8" s="2" customFormat="1" ht="15" x14ac:dyDescent="0.25">
      <c r="B916" s="21"/>
      <c r="C916" s="22"/>
      <c r="D916" s="29" t="str">
        <f t="shared" si="14"/>
        <v/>
      </c>
      <c r="E916" s="22"/>
      <c r="F916" s="22" t="str">
        <f ca="1">auto_pop!H916</f>
        <v/>
      </c>
      <c r="G916" s="33"/>
      <c r="H916" s="33"/>
    </row>
    <row r="917" spans="2:8" s="2" customFormat="1" ht="15" x14ac:dyDescent="0.25">
      <c r="B917" s="21"/>
      <c r="C917" s="22"/>
      <c r="D917" s="29" t="str">
        <f t="shared" si="14"/>
        <v/>
      </c>
      <c r="E917" s="22"/>
      <c r="F917" s="22" t="str">
        <f ca="1">auto_pop!H917</f>
        <v/>
      </c>
      <c r="G917" s="33"/>
      <c r="H917" s="33"/>
    </row>
    <row r="918" spans="2:8" s="2" customFormat="1" ht="15" x14ac:dyDescent="0.25">
      <c r="B918" s="21"/>
      <c r="C918" s="22"/>
      <c r="D918" s="29" t="str">
        <f t="shared" si="14"/>
        <v/>
      </c>
      <c r="E918" s="22"/>
      <c r="F918" s="22" t="str">
        <f ca="1">auto_pop!H918</f>
        <v/>
      </c>
      <c r="G918" s="33"/>
      <c r="H918" s="33"/>
    </row>
    <row r="919" spans="2:8" s="2" customFormat="1" ht="15" x14ac:dyDescent="0.25">
      <c r="B919" s="21"/>
      <c r="C919" s="22"/>
      <c r="D919" s="29" t="str">
        <f t="shared" si="14"/>
        <v/>
      </c>
      <c r="E919" s="22"/>
      <c r="F919" s="22" t="str">
        <f ca="1">auto_pop!H919</f>
        <v/>
      </c>
      <c r="G919" s="33"/>
      <c r="H919" s="33"/>
    </row>
    <row r="920" spans="2:8" s="2" customFormat="1" ht="15" x14ac:dyDescent="0.25">
      <c r="B920" s="21"/>
      <c r="C920" s="22"/>
      <c r="D920" s="29" t="str">
        <f t="shared" si="14"/>
        <v/>
      </c>
      <c r="E920" s="22"/>
      <c r="F920" s="22" t="str">
        <f ca="1">auto_pop!H920</f>
        <v/>
      </c>
      <c r="G920" s="33"/>
      <c r="H920" s="33"/>
    </row>
    <row r="921" spans="2:8" s="2" customFormat="1" ht="15" x14ac:dyDescent="0.25">
      <c r="B921" s="21"/>
      <c r="C921" s="22"/>
      <c r="D921" s="29" t="str">
        <f t="shared" si="14"/>
        <v/>
      </c>
      <c r="E921" s="22"/>
      <c r="F921" s="22" t="str">
        <f ca="1">auto_pop!H921</f>
        <v/>
      </c>
      <c r="G921" s="33"/>
      <c r="H921" s="33"/>
    </row>
    <row r="922" spans="2:8" s="2" customFormat="1" ht="15" x14ac:dyDescent="0.25">
      <c r="B922" s="21"/>
      <c r="C922" s="22"/>
      <c r="D922" s="29" t="str">
        <f t="shared" si="14"/>
        <v/>
      </c>
      <c r="E922" s="22"/>
      <c r="F922" s="22" t="str">
        <f ca="1">auto_pop!H922</f>
        <v/>
      </c>
      <c r="G922" s="33"/>
      <c r="H922" s="33"/>
    </row>
    <row r="923" spans="2:8" s="2" customFormat="1" ht="15" x14ac:dyDescent="0.25">
      <c r="B923" s="21"/>
      <c r="C923" s="22"/>
      <c r="D923" s="29" t="str">
        <f t="shared" si="14"/>
        <v/>
      </c>
      <c r="E923" s="22"/>
      <c r="F923" s="22" t="str">
        <f ca="1">auto_pop!H923</f>
        <v/>
      </c>
      <c r="G923" s="33"/>
      <c r="H923" s="33"/>
    </row>
    <row r="924" spans="2:8" s="2" customFormat="1" ht="15" x14ac:dyDescent="0.25">
      <c r="B924" s="21"/>
      <c r="C924" s="22"/>
      <c r="D924" s="29" t="str">
        <f t="shared" si="14"/>
        <v/>
      </c>
      <c r="E924" s="22"/>
      <c r="F924" s="22" t="str">
        <f ca="1">auto_pop!H924</f>
        <v/>
      </c>
      <c r="G924" s="33"/>
      <c r="H924" s="33"/>
    </row>
    <row r="925" spans="2:8" s="2" customFormat="1" ht="15" x14ac:dyDescent="0.25">
      <c r="B925" s="21"/>
      <c r="C925" s="22"/>
      <c r="D925" s="29" t="str">
        <f t="shared" si="14"/>
        <v/>
      </c>
      <c r="E925" s="22"/>
      <c r="F925" s="22" t="str">
        <f ca="1">auto_pop!H925</f>
        <v/>
      </c>
      <c r="G925" s="33"/>
      <c r="H925" s="33"/>
    </row>
    <row r="926" spans="2:8" s="2" customFormat="1" ht="15" x14ac:dyDescent="0.25">
      <c r="B926" s="21"/>
      <c r="C926" s="22"/>
      <c r="D926" s="29" t="str">
        <f t="shared" si="14"/>
        <v/>
      </c>
      <c r="E926" s="22"/>
      <c r="F926" s="22" t="str">
        <f ca="1">auto_pop!H926</f>
        <v/>
      </c>
      <c r="G926" s="33"/>
      <c r="H926" s="33"/>
    </row>
    <row r="927" spans="2:8" s="2" customFormat="1" ht="15" x14ac:dyDescent="0.25">
      <c r="B927" s="21"/>
      <c r="C927" s="22"/>
      <c r="D927" s="29" t="str">
        <f t="shared" si="14"/>
        <v/>
      </c>
      <c r="E927" s="22"/>
      <c r="F927" s="22" t="str">
        <f ca="1">auto_pop!H927</f>
        <v/>
      </c>
      <c r="G927" s="33"/>
      <c r="H927" s="33"/>
    </row>
    <row r="928" spans="2:8" s="2" customFormat="1" ht="15" x14ac:dyDescent="0.25">
      <c r="B928" s="21"/>
      <c r="C928" s="22"/>
      <c r="D928" s="29" t="str">
        <f t="shared" si="14"/>
        <v/>
      </c>
      <c r="E928" s="22"/>
      <c r="F928" s="22" t="str">
        <f ca="1">auto_pop!H928</f>
        <v/>
      </c>
      <c r="G928" s="33"/>
      <c r="H928" s="33"/>
    </row>
    <row r="929" spans="2:8" s="2" customFormat="1" ht="15" x14ac:dyDescent="0.25">
      <c r="B929" s="21"/>
      <c r="C929" s="22"/>
      <c r="D929" s="29" t="str">
        <f t="shared" si="14"/>
        <v/>
      </c>
      <c r="E929" s="22"/>
      <c r="F929" s="22" t="str">
        <f ca="1">auto_pop!H929</f>
        <v/>
      </c>
      <c r="G929" s="33"/>
      <c r="H929" s="33"/>
    </row>
    <row r="930" spans="2:8" s="2" customFormat="1" ht="15" x14ac:dyDescent="0.25">
      <c r="B930" s="21"/>
      <c r="C930" s="22"/>
      <c r="D930" s="29" t="str">
        <f t="shared" si="14"/>
        <v/>
      </c>
      <c r="E930" s="22"/>
      <c r="F930" s="22" t="str">
        <f ca="1">auto_pop!H930</f>
        <v/>
      </c>
      <c r="G930" s="33"/>
      <c r="H930" s="33"/>
    </row>
    <row r="931" spans="2:8" s="2" customFormat="1" ht="15" x14ac:dyDescent="0.25">
      <c r="B931" s="21"/>
      <c r="C931" s="22"/>
      <c r="D931" s="29" t="str">
        <f t="shared" si="14"/>
        <v/>
      </c>
      <c r="E931" s="22"/>
      <c r="F931" s="22" t="str">
        <f ca="1">auto_pop!H931</f>
        <v/>
      </c>
      <c r="G931" s="33"/>
      <c r="H931" s="33"/>
    </row>
    <row r="932" spans="2:8" s="2" customFormat="1" ht="15" x14ac:dyDescent="0.25">
      <c r="B932" s="21"/>
      <c r="C932" s="22"/>
      <c r="D932" s="29" t="str">
        <f t="shared" si="14"/>
        <v/>
      </c>
      <c r="E932" s="22"/>
      <c r="F932" s="22" t="str">
        <f ca="1">auto_pop!H932</f>
        <v/>
      </c>
      <c r="G932" s="33"/>
      <c r="H932" s="33"/>
    </row>
    <row r="933" spans="2:8" s="2" customFormat="1" ht="15" x14ac:dyDescent="0.25">
      <c r="B933" s="21"/>
      <c r="C933" s="22"/>
      <c r="D933" s="29" t="str">
        <f t="shared" si="14"/>
        <v/>
      </c>
      <c r="E933" s="22"/>
      <c r="F933" s="22" t="str">
        <f ca="1">auto_pop!H933</f>
        <v/>
      </c>
      <c r="G933" s="33"/>
      <c r="H933" s="33"/>
    </row>
    <row r="934" spans="2:8" s="2" customFormat="1" ht="15" x14ac:dyDescent="0.25">
      <c r="B934" s="21"/>
      <c r="C934" s="22"/>
      <c r="D934" s="29" t="str">
        <f t="shared" si="14"/>
        <v/>
      </c>
      <c r="E934" s="22"/>
      <c r="F934" s="22" t="str">
        <f ca="1">auto_pop!H934</f>
        <v/>
      </c>
      <c r="G934" s="33"/>
      <c r="H934" s="33"/>
    </row>
    <row r="935" spans="2:8" s="2" customFormat="1" ht="15" x14ac:dyDescent="0.25">
      <c r="B935" s="21"/>
      <c r="C935" s="22"/>
      <c r="D935" s="29" t="str">
        <f t="shared" si="14"/>
        <v/>
      </c>
      <c r="E935" s="22"/>
      <c r="F935" s="22" t="str">
        <f ca="1">auto_pop!H935</f>
        <v/>
      </c>
      <c r="G935" s="33"/>
      <c r="H935" s="33"/>
    </row>
    <row r="936" spans="2:8" s="2" customFormat="1" ht="15" x14ac:dyDescent="0.25">
      <c r="B936" s="21"/>
      <c r="C936" s="22"/>
      <c r="D936" s="29" t="str">
        <f t="shared" si="14"/>
        <v/>
      </c>
      <c r="E936" s="22"/>
      <c r="F936" s="22" t="str">
        <f ca="1">auto_pop!H936</f>
        <v/>
      </c>
      <c r="G936" s="33"/>
      <c r="H936" s="33"/>
    </row>
    <row r="937" spans="2:8" s="2" customFormat="1" ht="15" x14ac:dyDescent="0.25">
      <c r="B937" s="21"/>
      <c r="C937" s="22"/>
      <c r="D937" s="29" t="str">
        <f t="shared" si="14"/>
        <v/>
      </c>
      <c r="E937" s="22"/>
      <c r="F937" s="22" t="str">
        <f ca="1">auto_pop!H937</f>
        <v/>
      </c>
      <c r="G937" s="33"/>
      <c r="H937" s="33"/>
    </row>
    <row r="938" spans="2:8" s="2" customFormat="1" ht="15" x14ac:dyDescent="0.25">
      <c r="B938" s="21"/>
      <c r="C938" s="22"/>
      <c r="D938" s="29" t="str">
        <f t="shared" si="14"/>
        <v/>
      </c>
      <c r="E938" s="22"/>
      <c r="F938" s="22" t="str">
        <f ca="1">auto_pop!H938</f>
        <v/>
      </c>
      <c r="G938" s="33"/>
      <c r="H938" s="33"/>
    </row>
    <row r="939" spans="2:8" s="2" customFormat="1" ht="15" x14ac:dyDescent="0.25">
      <c r="B939" s="21"/>
      <c r="C939" s="22"/>
      <c r="D939" s="29" t="str">
        <f t="shared" si="14"/>
        <v/>
      </c>
      <c r="E939" s="22"/>
      <c r="F939" s="22" t="str">
        <f ca="1">auto_pop!H939</f>
        <v/>
      </c>
      <c r="G939" s="33"/>
      <c r="H939" s="33"/>
    </row>
    <row r="940" spans="2:8" s="2" customFormat="1" ht="15" x14ac:dyDescent="0.25">
      <c r="B940" s="21"/>
      <c r="C940" s="22"/>
      <c r="D940" s="29" t="str">
        <f t="shared" si="14"/>
        <v/>
      </c>
      <c r="E940" s="22"/>
      <c r="F940" s="22" t="str">
        <f ca="1">auto_pop!H940</f>
        <v/>
      </c>
      <c r="G940" s="33"/>
      <c r="H940" s="33"/>
    </row>
    <row r="941" spans="2:8" s="2" customFormat="1" ht="15" x14ac:dyDescent="0.25">
      <c r="B941" s="21"/>
      <c r="C941" s="22"/>
      <c r="D941" s="29" t="str">
        <f t="shared" si="14"/>
        <v/>
      </c>
      <c r="E941" s="22"/>
      <c r="F941" s="22" t="str">
        <f ca="1">auto_pop!H941</f>
        <v/>
      </c>
      <c r="G941" s="33"/>
      <c r="H941" s="33"/>
    </row>
    <row r="942" spans="2:8" s="2" customFormat="1" ht="15" x14ac:dyDescent="0.25">
      <c r="B942" s="21"/>
      <c r="C942" s="22"/>
      <c r="D942" s="29" t="str">
        <f t="shared" si="14"/>
        <v/>
      </c>
      <c r="E942" s="22"/>
      <c r="F942" s="22" t="str">
        <f ca="1">auto_pop!H942</f>
        <v/>
      </c>
      <c r="G942" s="33"/>
      <c r="H942" s="33"/>
    </row>
    <row r="943" spans="2:8" s="2" customFormat="1" ht="15" x14ac:dyDescent="0.25">
      <c r="B943" s="21"/>
      <c r="C943" s="22"/>
      <c r="D943" s="29" t="str">
        <f t="shared" si="14"/>
        <v/>
      </c>
      <c r="E943" s="22"/>
      <c r="F943" s="22" t="str">
        <f ca="1">auto_pop!H943</f>
        <v/>
      </c>
      <c r="G943" s="33"/>
      <c r="H943" s="33"/>
    </row>
    <row r="944" spans="2:8" s="2" customFormat="1" ht="15" x14ac:dyDescent="0.25">
      <c r="B944" s="21"/>
      <c r="C944" s="22"/>
      <c r="D944" s="29" t="str">
        <f t="shared" si="14"/>
        <v/>
      </c>
      <c r="E944" s="22"/>
      <c r="F944" s="22" t="str">
        <f ca="1">auto_pop!H944</f>
        <v/>
      </c>
      <c r="G944" s="33"/>
      <c r="H944" s="33"/>
    </row>
    <row r="945" spans="2:8" s="2" customFormat="1" ht="15" x14ac:dyDescent="0.25">
      <c r="B945" s="21"/>
      <c r="C945" s="22"/>
      <c r="D945" s="29" t="str">
        <f t="shared" si="14"/>
        <v/>
      </c>
      <c r="E945" s="22"/>
      <c r="F945" s="22" t="str">
        <f ca="1">auto_pop!H945</f>
        <v/>
      </c>
      <c r="G945" s="33"/>
      <c r="H945" s="33"/>
    </row>
    <row r="946" spans="2:8" s="2" customFormat="1" ht="15" x14ac:dyDescent="0.25">
      <c r="B946" s="21"/>
      <c r="C946" s="22"/>
      <c r="D946" s="29" t="str">
        <f t="shared" si="14"/>
        <v/>
      </c>
      <c r="E946" s="22"/>
      <c r="F946" s="22" t="str">
        <f ca="1">auto_pop!H946</f>
        <v/>
      </c>
      <c r="G946" s="33"/>
      <c r="H946" s="33"/>
    </row>
    <row r="947" spans="2:8" s="2" customFormat="1" ht="15" x14ac:dyDescent="0.25">
      <c r="B947" s="21"/>
      <c r="C947" s="22"/>
      <c r="D947" s="29" t="str">
        <f t="shared" si="14"/>
        <v/>
      </c>
      <c r="E947" s="22"/>
      <c r="F947" s="22" t="str">
        <f ca="1">auto_pop!H947</f>
        <v/>
      </c>
      <c r="G947" s="33"/>
      <c r="H947" s="33"/>
    </row>
    <row r="948" spans="2:8" s="2" customFormat="1" ht="15" x14ac:dyDescent="0.25">
      <c r="B948" s="21"/>
      <c r="C948" s="22"/>
      <c r="D948" s="29" t="str">
        <f t="shared" si="14"/>
        <v/>
      </c>
      <c r="E948" s="22"/>
      <c r="F948" s="22" t="str">
        <f ca="1">auto_pop!H948</f>
        <v/>
      </c>
      <c r="G948" s="33"/>
      <c r="H948" s="33"/>
    </row>
    <row r="949" spans="2:8" s="2" customFormat="1" ht="15" x14ac:dyDescent="0.25">
      <c r="B949" s="21"/>
      <c r="C949" s="22"/>
      <c r="D949" s="29" t="str">
        <f t="shared" si="14"/>
        <v/>
      </c>
      <c r="E949" s="22"/>
      <c r="F949" s="22" t="str">
        <f ca="1">auto_pop!H949</f>
        <v/>
      </c>
      <c r="G949" s="33"/>
      <c r="H949" s="33"/>
    </row>
    <row r="950" spans="2:8" s="2" customFormat="1" ht="15" x14ac:dyDescent="0.25">
      <c r="B950" s="21"/>
      <c r="C950" s="22"/>
      <c r="D950" s="29" t="str">
        <f t="shared" si="14"/>
        <v/>
      </c>
      <c r="E950" s="22"/>
      <c r="F950" s="22" t="str">
        <f ca="1">auto_pop!H950</f>
        <v/>
      </c>
      <c r="G950" s="33"/>
      <c r="H950" s="33"/>
    </row>
    <row r="951" spans="2:8" s="2" customFormat="1" ht="15" x14ac:dyDescent="0.25">
      <c r="B951" s="21"/>
      <c r="C951" s="22"/>
      <c r="D951" s="29" t="str">
        <f t="shared" si="14"/>
        <v/>
      </c>
      <c r="E951" s="22"/>
      <c r="F951" s="22" t="str">
        <f ca="1">auto_pop!H951</f>
        <v/>
      </c>
      <c r="G951" s="33"/>
      <c r="H951" s="33"/>
    </row>
    <row r="952" spans="2:8" s="2" customFormat="1" ht="15" x14ac:dyDescent="0.25">
      <c r="B952" s="21"/>
      <c r="C952" s="22"/>
      <c r="D952" s="29" t="str">
        <f t="shared" si="14"/>
        <v/>
      </c>
      <c r="E952" s="22"/>
      <c r="F952" s="22" t="str">
        <f ca="1">auto_pop!H952</f>
        <v/>
      </c>
      <c r="G952" s="33"/>
      <c r="H952" s="33"/>
    </row>
    <row r="953" spans="2:8" s="2" customFormat="1" ht="15" x14ac:dyDescent="0.25">
      <c r="B953" s="21"/>
      <c r="C953" s="22"/>
      <c r="D953" s="29" t="str">
        <f t="shared" si="14"/>
        <v/>
      </c>
      <c r="E953" s="22"/>
      <c r="F953" s="22" t="str">
        <f ca="1">auto_pop!H953</f>
        <v/>
      </c>
      <c r="G953" s="33"/>
      <c r="H953" s="33"/>
    </row>
    <row r="954" spans="2:8" s="2" customFormat="1" ht="15" x14ac:dyDescent="0.25">
      <c r="B954" s="21"/>
      <c r="C954" s="22"/>
      <c r="D954" s="29" t="str">
        <f t="shared" si="14"/>
        <v/>
      </c>
      <c r="E954" s="22"/>
      <c r="F954" s="22" t="str">
        <f ca="1">auto_pop!H954</f>
        <v/>
      </c>
      <c r="G954" s="33"/>
      <c r="H954" s="33"/>
    </row>
    <row r="955" spans="2:8" s="2" customFormat="1" ht="15" x14ac:dyDescent="0.25">
      <c r="B955" s="21"/>
      <c r="C955" s="22"/>
      <c r="D955" s="29" t="str">
        <f t="shared" si="14"/>
        <v/>
      </c>
      <c r="E955" s="22"/>
      <c r="F955" s="22" t="str">
        <f ca="1">auto_pop!H955</f>
        <v/>
      </c>
      <c r="G955" s="33"/>
      <c r="H955" s="33"/>
    </row>
    <row r="956" spans="2:8" s="2" customFormat="1" ht="15" x14ac:dyDescent="0.25">
      <c r="B956" s="21"/>
      <c r="C956" s="22"/>
      <c r="D956" s="29" t="str">
        <f t="shared" si="14"/>
        <v/>
      </c>
      <c r="E956" s="22"/>
      <c r="F956" s="22" t="str">
        <f ca="1">auto_pop!H956</f>
        <v/>
      </c>
      <c r="G956" s="33"/>
      <c r="H956" s="33"/>
    </row>
    <row r="957" spans="2:8" s="2" customFormat="1" ht="15" x14ac:dyDescent="0.25">
      <c r="B957" s="21"/>
      <c r="C957" s="22"/>
      <c r="D957" s="29" t="str">
        <f t="shared" si="14"/>
        <v/>
      </c>
      <c r="E957" s="22"/>
      <c r="F957" s="22" t="str">
        <f ca="1">auto_pop!H957</f>
        <v/>
      </c>
      <c r="G957" s="33"/>
      <c r="H957" s="33"/>
    </row>
    <row r="958" spans="2:8" s="2" customFormat="1" ht="15" x14ac:dyDescent="0.25">
      <c r="B958" s="21"/>
      <c r="C958" s="22"/>
      <c r="D958" s="29" t="str">
        <f t="shared" si="14"/>
        <v/>
      </c>
      <c r="E958" s="22"/>
      <c r="F958" s="22" t="str">
        <f ca="1">auto_pop!H958</f>
        <v/>
      </c>
      <c r="G958" s="33"/>
      <c r="H958" s="33"/>
    </row>
    <row r="959" spans="2:8" s="2" customFormat="1" ht="15" x14ac:dyDescent="0.25">
      <c r="B959" s="21"/>
      <c r="C959" s="22"/>
      <c r="D959" s="29" t="str">
        <f t="shared" si="14"/>
        <v/>
      </c>
      <c r="E959" s="22"/>
      <c r="F959" s="22" t="str">
        <f ca="1">auto_pop!H959</f>
        <v/>
      </c>
      <c r="G959" s="33"/>
      <c r="H959" s="33"/>
    </row>
    <row r="960" spans="2:8" s="2" customFormat="1" ht="15" x14ac:dyDescent="0.25">
      <c r="B960" s="21"/>
      <c r="C960" s="22"/>
      <c r="D960" s="29" t="str">
        <f t="shared" si="14"/>
        <v/>
      </c>
      <c r="E960" s="22"/>
      <c r="F960" s="22" t="str">
        <f ca="1">auto_pop!H960</f>
        <v/>
      </c>
      <c r="G960" s="33"/>
      <c r="H960" s="33"/>
    </row>
    <row r="961" spans="2:8" s="2" customFormat="1" ht="15" x14ac:dyDescent="0.25">
      <c r="B961" s="21"/>
      <c r="C961" s="22"/>
      <c r="D961" s="29" t="str">
        <f t="shared" si="14"/>
        <v/>
      </c>
      <c r="E961" s="22"/>
      <c r="F961" s="22" t="str">
        <f ca="1">auto_pop!H961</f>
        <v/>
      </c>
      <c r="G961" s="33"/>
      <c r="H961" s="33"/>
    </row>
    <row r="962" spans="2:8" s="2" customFormat="1" ht="15" x14ac:dyDescent="0.25">
      <c r="B962" s="21"/>
      <c r="C962" s="22"/>
      <c r="D962" s="29" t="str">
        <f t="shared" si="14"/>
        <v/>
      </c>
      <c r="E962" s="22"/>
      <c r="F962" s="22" t="str">
        <f ca="1">auto_pop!H962</f>
        <v/>
      </c>
      <c r="G962" s="33"/>
      <c r="H962" s="33"/>
    </row>
    <row r="963" spans="2:8" s="2" customFormat="1" ht="15" x14ac:dyDescent="0.25">
      <c r="B963" s="21"/>
      <c r="C963" s="22"/>
      <c r="D963" s="29" t="str">
        <f t="shared" si="14"/>
        <v/>
      </c>
      <c r="E963" s="22"/>
      <c r="F963" s="22" t="str">
        <f ca="1">auto_pop!H963</f>
        <v/>
      </c>
      <c r="G963" s="33"/>
      <c r="H963" s="33"/>
    </row>
    <row r="964" spans="2:8" s="2" customFormat="1" ht="15" x14ac:dyDescent="0.25">
      <c r="B964" s="21"/>
      <c r="C964" s="22"/>
      <c r="D964" s="29" t="str">
        <f t="shared" ref="D964:D1027" si="15">IF(C964&lt;&gt;"", IF(OR(C964="Chapin", C964="Oatka", C964="Seneca"), "", 1), "")</f>
        <v/>
      </c>
      <c r="E964" s="22"/>
      <c r="F964" s="22" t="str">
        <f ca="1">auto_pop!H964</f>
        <v/>
      </c>
      <c r="G964" s="33"/>
      <c r="H964" s="33"/>
    </row>
    <row r="965" spans="2:8" s="2" customFormat="1" ht="15" x14ac:dyDescent="0.25">
      <c r="B965" s="21"/>
      <c r="C965" s="22"/>
      <c r="D965" s="29" t="str">
        <f t="shared" si="15"/>
        <v/>
      </c>
      <c r="E965" s="22"/>
      <c r="F965" s="22" t="str">
        <f ca="1">auto_pop!H965</f>
        <v/>
      </c>
      <c r="G965" s="33"/>
      <c r="H965" s="33"/>
    </row>
    <row r="966" spans="2:8" s="2" customFormat="1" ht="15" x14ac:dyDescent="0.25">
      <c r="B966" s="21"/>
      <c r="C966" s="22"/>
      <c r="D966" s="29" t="str">
        <f t="shared" si="15"/>
        <v/>
      </c>
      <c r="E966" s="22"/>
      <c r="F966" s="22" t="str">
        <f ca="1">auto_pop!H966</f>
        <v/>
      </c>
      <c r="G966" s="33"/>
      <c r="H966" s="33"/>
    </row>
    <row r="967" spans="2:8" s="2" customFormat="1" ht="15" x14ac:dyDescent="0.25">
      <c r="B967" s="21"/>
      <c r="C967" s="22"/>
      <c r="D967" s="29" t="str">
        <f t="shared" si="15"/>
        <v/>
      </c>
      <c r="E967" s="22"/>
      <c r="F967" s="22" t="str">
        <f ca="1">auto_pop!H967</f>
        <v/>
      </c>
      <c r="G967" s="33"/>
      <c r="H967" s="33"/>
    </row>
    <row r="968" spans="2:8" s="2" customFormat="1" ht="15" x14ac:dyDescent="0.25">
      <c r="B968" s="21"/>
      <c r="C968" s="22"/>
      <c r="D968" s="29" t="str">
        <f t="shared" si="15"/>
        <v/>
      </c>
      <c r="E968" s="22"/>
      <c r="F968" s="22" t="str">
        <f ca="1">auto_pop!H968</f>
        <v/>
      </c>
      <c r="G968" s="33"/>
      <c r="H968" s="33"/>
    </row>
    <row r="969" spans="2:8" s="2" customFormat="1" ht="15" x14ac:dyDescent="0.25">
      <c r="B969" s="21"/>
      <c r="C969" s="22"/>
      <c r="D969" s="29" t="str">
        <f t="shared" si="15"/>
        <v/>
      </c>
      <c r="E969" s="22"/>
      <c r="F969" s="22" t="str">
        <f ca="1">auto_pop!H969</f>
        <v/>
      </c>
      <c r="G969" s="33"/>
      <c r="H969" s="33"/>
    </row>
    <row r="970" spans="2:8" s="2" customFormat="1" ht="15" x14ac:dyDescent="0.25">
      <c r="B970" s="21"/>
      <c r="C970" s="22"/>
      <c r="D970" s="29" t="str">
        <f t="shared" si="15"/>
        <v/>
      </c>
      <c r="E970" s="22"/>
      <c r="F970" s="22" t="str">
        <f ca="1">auto_pop!H970</f>
        <v/>
      </c>
      <c r="G970" s="33"/>
      <c r="H970" s="33"/>
    </row>
    <row r="971" spans="2:8" s="2" customFormat="1" ht="15" x14ac:dyDescent="0.25">
      <c r="B971" s="21"/>
      <c r="C971" s="22"/>
      <c r="D971" s="29" t="str">
        <f t="shared" si="15"/>
        <v/>
      </c>
      <c r="E971" s="22"/>
      <c r="F971" s="22" t="str">
        <f ca="1">auto_pop!H971</f>
        <v/>
      </c>
      <c r="G971" s="33"/>
      <c r="H971" s="33"/>
    </row>
    <row r="972" spans="2:8" s="2" customFormat="1" ht="15" x14ac:dyDescent="0.25">
      <c r="B972" s="21"/>
      <c r="C972" s="22"/>
      <c r="D972" s="29" t="str">
        <f t="shared" si="15"/>
        <v/>
      </c>
      <c r="E972" s="22"/>
      <c r="F972" s="22" t="str">
        <f ca="1">auto_pop!H972</f>
        <v/>
      </c>
      <c r="G972" s="33"/>
      <c r="H972" s="33"/>
    </row>
    <row r="973" spans="2:8" s="2" customFormat="1" ht="15" x14ac:dyDescent="0.25">
      <c r="B973" s="21"/>
      <c r="C973" s="22"/>
      <c r="D973" s="29" t="str">
        <f t="shared" si="15"/>
        <v/>
      </c>
      <c r="E973" s="22"/>
      <c r="F973" s="22" t="str">
        <f ca="1">auto_pop!H973</f>
        <v/>
      </c>
      <c r="G973" s="33"/>
      <c r="H973" s="33"/>
    </row>
    <row r="974" spans="2:8" s="2" customFormat="1" ht="15" x14ac:dyDescent="0.25">
      <c r="B974" s="21"/>
      <c r="C974" s="22"/>
      <c r="D974" s="29" t="str">
        <f t="shared" si="15"/>
        <v/>
      </c>
      <c r="E974" s="22"/>
      <c r="F974" s="22" t="str">
        <f ca="1">auto_pop!H974</f>
        <v/>
      </c>
      <c r="G974" s="33"/>
      <c r="H974" s="33"/>
    </row>
    <row r="975" spans="2:8" s="2" customFormat="1" ht="15" x14ac:dyDescent="0.25">
      <c r="B975" s="21"/>
      <c r="C975" s="22"/>
      <c r="D975" s="29" t="str">
        <f t="shared" si="15"/>
        <v/>
      </c>
      <c r="E975" s="22"/>
      <c r="F975" s="22" t="str">
        <f ca="1">auto_pop!H975</f>
        <v/>
      </c>
      <c r="G975" s="33"/>
      <c r="H975" s="33"/>
    </row>
    <row r="976" spans="2:8" s="2" customFormat="1" ht="15" x14ac:dyDescent="0.25">
      <c r="B976" s="21"/>
      <c r="C976" s="22"/>
      <c r="D976" s="29" t="str">
        <f t="shared" si="15"/>
        <v/>
      </c>
      <c r="E976" s="22"/>
      <c r="F976" s="22" t="str">
        <f ca="1">auto_pop!H976</f>
        <v/>
      </c>
      <c r="G976" s="33"/>
      <c r="H976" s="33"/>
    </row>
    <row r="977" spans="2:8" s="2" customFormat="1" ht="15" x14ac:dyDescent="0.25">
      <c r="B977" s="21"/>
      <c r="C977" s="22"/>
      <c r="D977" s="29" t="str">
        <f t="shared" si="15"/>
        <v/>
      </c>
      <c r="E977" s="22"/>
      <c r="F977" s="22" t="str">
        <f ca="1">auto_pop!H977</f>
        <v/>
      </c>
      <c r="G977" s="33"/>
      <c r="H977" s="33"/>
    </row>
    <row r="978" spans="2:8" s="2" customFormat="1" ht="15" x14ac:dyDescent="0.25">
      <c r="B978" s="21"/>
      <c r="C978" s="22"/>
      <c r="D978" s="29" t="str">
        <f t="shared" si="15"/>
        <v/>
      </c>
      <c r="E978" s="22"/>
      <c r="F978" s="22" t="str">
        <f ca="1">auto_pop!H978</f>
        <v/>
      </c>
      <c r="G978" s="33"/>
      <c r="H978" s="33"/>
    </row>
    <row r="979" spans="2:8" s="2" customFormat="1" ht="15" x14ac:dyDescent="0.25">
      <c r="B979" s="21"/>
      <c r="C979" s="22"/>
      <c r="D979" s="29" t="str">
        <f t="shared" si="15"/>
        <v/>
      </c>
      <c r="E979" s="22"/>
      <c r="F979" s="22" t="str">
        <f ca="1">auto_pop!H979</f>
        <v/>
      </c>
      <c r="G979" s="33"/>
      <c r="H979" s="33"/>
    </row>
    <row r="980" spans="2:8" s="2" customFormat="1" ht="15" x14ac:dyDescent="0.25">
      <c r="B980" s="21"/>
      <c r="C980" s="22"/>
      <c r="D980" s="29" t="str">
        <f t="shared" si="15"/>
        <v/>
      </c>
      <c r="E980" s="22"/>
      <c r="F980" s="22" t="str">
        <f ca="1">auto_pop!H980</f>
        <v/>
      </c>
      <c r="G980" s="33"/>
      <c r="H980" s="33"/>
    </row>
    <row r="981" spans="2:8" s="2" customFormat="1" ht="15" x14ac:dyDescent="0.25">
      <c r="B981" s="21"/>
      <c r="C981" s="22"/>
      <c r="D981" s="29" t="str">
        <f t="shared" si="15"/>
        <v/>
      </c>
      <c r="E981" s="22"/>
      <c r="F981" s="22" t="str">
        <f ca="1">auto_pop!H981</f>
        <v/>
      </c>
      <c r="G981" s="33"/>
      <c r="H981" s="33"/>
    </row>
    <row r="982" spans="2:8" s="2" customFormat="1" ht="15" x14ac:dyDescent="0.25">
      <c r="B982" s="21"/>
      <c r="C982" s="22"/>
      <c r="D982" s="29" t="str">
        <f t="shared" si="15"/>
        <v/>
      </c>
      <c r="E982" s="22"/>
      <c r="F982" s="22" t="str">
        <f ca="1">auto_pop!H982</f>
        <v/>
      </c>
      <c r="G982" s="33"/>
      <c r="H982" s="33"/>
    </row>
    <row r="983" spans="2:8" s="2" customFormat="1" ht="15" x14ac:dyDescent="0.25">
      <c r="B983" s="21"/>
      <c r="C983" s="22"/>
      <c r="D983" s="29" t="str">
        <f t="shared" si="15"/>
        <v/>
      </c>
      <c r="E983" s="22"/>
      <c r="F983" s="22" t="str">
        <f ca="1">auto_pop!H983</f>
        <v/>
      </c>
      <c r="G983" s="33"/>
      <c r="H983" s="33"/>
    </row>
    <row r="984" spans="2:8" s="2" customFormat="1" ht="15" x14ac:dyDescent="0.25">
      <c r="B984" s="21"/>
      <c r="C984" s="22"/>
      <c r="D984" s="29" t="str">
        <f t="shared" si="15"/>
        <v/>
      </c>
      <c r="E984" s="22"/>
      <c r="F984" s="22" t="str">
        <f ca="1">auto_pop!H984</f>
        <v/>
      </c>
      <c r="G984" s="33"/>
      <c r="H984" s="33"/>
    </row>
    <row r="985" spans="2:8" s="2" customFormat="1" ht="15" x14ac:dyDescent="0.25">
      <c r="B985" s="21"/>
      <c r="C985" s="22"/>
      <c r="D985" s="29" t="str">
        <f t="shared" si="15"/>
        <v/>
      </c>
      <c r="E985" s="22"/>
      <c r="F985" s="22" t="str">
        <f ca="1">auto_pop!H985</f>
        <v/>
      </c>
      <c r="G985" s="33"/>
      <c r="H985" s="33"/>
    </row>
    <row r="986" spans="2:8" s="2" customFormat="1" ht="15" x14ac:dyDescent="0.25">
      <c r="B986" s="21"/>
      <c r="C986" s="22"/>
      <c r="D986" s="29" t="str">
        <f t="shared" si="15"/>
        <v/>
      </c>
      <c r="E986" s="22"/>
      <c r="F986" s="22" t="str">
        <f ca="1">auto_pop!H986</f>
        <v/>
      </c>
      <c r="G986" s="33"/>
      <c r="H986" s="33"/>
    </row>
    <row r="987" spans="2:8" s="2" customFormat="1" ht="15" x14ac:dyDescent="0.25">
      <c r="B987" s="21"/>
      <c r="C987" s="22"/>
      <c r="D987" s="29" t="str">
        <f t="shared" si="15"/>
        <v/>
      </c>
      <c r="E987" s="22"/>
      <c r="F987" s="22" t="str">
        <f ca="1">auto_pop!H987</f>
        <v/>
      </c>
      <c r="G987" s="33"/>
      <c r="H987" s="33"/>
    </row>
    <row r="988" spans="2:8" s="2" customFormat="1" ht="15" x14ac:dyDescent="0.25">
      <c r="B988" s="21"/>
      <c r="C988" s="22"/>
      <c r="D988" s="29" t="str">
        <f t="shared" si="15"/>
        <v/>
      </c>
      <c r="E988" s="22"/>
      <c r="F988" s="22" t="str">
        <f ca="1">auto_pop!H988</f>
        <v/>
      </c>
      <c r="G988" s="33"/>
      <c r="H988" s="33"/>
    </row>
    <row r="989" spans="2:8" s="2" customFormat="1" ht="15" x14ac:dyDescent="0.25">
      <c r="B989" s="21"/>
      <c r="C989" s="22"/>
      <c r="D989" s="29" t="str">
        <f t="shared" si="15"/>
        <v/>
      </c>
      <c r="E989" s="22"/>
      <c r="F989" s="22" t="str">
        <f ca="1">auto_pop!H989</f>
        <v/>
      </c>
      <c r="G989" s="33"/>
      <c r="H989" s="33"/>
    </row>
    <row r="990" spans="2:8" s="2" customFormat="1" ht="15" x14ac:dyDescent="0.25">
      <c r="B990" s="21"/>
      <c r="C990" s="22"/>
      <c r="D990" s="29" t="str">
        <f t="shared" si="15"/>
        <v/>
      </c>
      <c r="E990" s="22"/>
      <c r="F990" s="22" t="str">
        <f ca="1">auto_pop!H990</f>
        <v/>
      </c>
      <c r="G990" s="33"/>
      <c r="H990" s="33"/>
    </row>
    <row r="991" spans="2:8" s="2" customFormat="1" ht="15" x14ac:dyDescent="0.25">
      <c r="B991" s="21"/>
      <c r="C991" s="22"/>
      <c r="D991" s="29" t="str">
        <f t="shared" si="15"/>
        <v/>
      </c>
      <c r="E991" s="22"/>
      <c r="F991" s="22" t="str">
        <f ca="1">auto_pop!H991</f>
        <v/>
      </c>
      <c r="G991" s="33"/>
      <c r="H991" s="33"/>
    </row>
    <row r="992" spans="2:8" s="2" customFormat="1" ht="15" x14ac:dyDescent="0.25">
      <c r="B992" s="21"/>
      <c r="C992" s="22"/>
      <c r="D992" s="29" t="str">
        <f t="shared" si="15"/>
        <v/>
      </c>
      <c r="E992" s="22"/>
      <c r="F992" s="22" t="str">
        <f ca="1">auto_pop!H992</f>
        <v/>
      </c>
      <c r="G992" s="33"/>
      <c r="H992" s="33"/>
    </row>
    <row r="993" spans="2:8" s="2" customFormat="1" ht="15" x14ac:dyDescent="0.25">
      <c r="B993" s="21"/>
      <c r="C993" s="22"/>
      <c r="D993" s="29" t="str">
        <f t="shared" si="15"/>
        <v/>
      </c>
      <c r="E993" s="22"/>
      <c r="F993" s="22" t="str">
        <f ca="1">auto_pop!H993</f>
        <v/>
      </c>
      <c r="G993" s="33"/>
      <c r="H993" s="33"/>
    </row>
    <row r="994" spans="2:8" s="2" customFormat="1" ht="15" x14ac:dyDescent="0.25">
      <c r="B994" s="21"/>
      <c r="C994" s="22"/>
      <c r="D994" s="29" t="str">
        <f t="shared" si="15"/>
        <v/>
      </c>
      <c r="E994" s="22"/>
      <c r="F994" s="22" t="str">
        <f ca="1">auto_pop!H994</f>
        <v/>
      </c>
      <c r="G994" s="33"/>
      <c r="H994" s="33"/>
    </row>
    <row r="995" spans="2:8" s="2" customFormat="1" ht="15" x14ac:dyDescent="0.25">
      <c r="B995" s="21"/>
      <c r="C995" s="22"/>
      <c r="D995" s="29" t="str">
        <f t="shared" si="15"/>
        <v/>
      </c>
      <c r="E995" s="22"/>
      <c r="F995" s="22" t="str">
        <f ca="1">auto_pop!H995</f>
        <v/>
      </c>
      <c r="G995" s="33"/>
      <c r="H995" s="33"/>
    </row>
    <row r="996" spans="2:8" s="2" customFormat="1" ht="15" x14ac:dyDescent="0.25">
      <c r="B996" s="21"/>
      <c r="C996" s="22"/>
      <c r="D996" s="29" t="str">
        <f t="shared" si="15"/>
        <v/>
      </c>
      <c r="E996" s="22"/>
      <c r="F996" s="22" t="str">
        <f ca="1">auto_pop!H996</f>
        <v/>
      </c>
      <c r="G996" s="33"/>
      <c r="H996" s="33"/>
    </row>
    <row r="997" spans="2:8" s="2" customFormat="1" ht="15" x14ac:dyDescent="0.25">
      <c r="B997" s="21"/>
      <c r="C997" s="22"/>
      <c r="D997" s="29" t="str">
        <f t="shared" si="15"/>
        <v/>
      </c>
      <c r="E997" s="22"/>
      <c r="F997" s="22" t="str">
        <f ca="1">auto_pop!H997</f>
        <v/>
      </c>
      <c r="G997" s="33"/>
      <c r="H997" s="33"/>
    </row>
    <row r="998" spans="2:8" s="2" customFormat="1" ht="15" x14ac:dyDescent="0.25">
      <c r="B998" s="21"/>
      <c r="C998" s="22"/>
      <c r="D998" s="29" t="str">
        <f t="shared" si="15"/>
        <v/>
      </c>
      <c r="E998" s="22"/>
      <c r="F998" s="22" t="str">
        <f ca="1">auto_pop!H998</f>
        <v/>
      </c>
      <c r="G998" s="33"/>
      <c r="H998" s="33"/>
    </row>
    <row r="999" spans="2:8" s="2" customFormat="1" ht="15" x14ac:dyDescent="0.25">
      <c r="B999" s="21"/>
      <c r="C999" s="22"/>
      <c r="D999" s="29" t="str">
        <f t="shared" si="15"/>
        <v/>
      </c>
      <c r="E999" s="22"/>
      <c r="F999" s="22" t="str">
        <f ca="1">auto_pop!H999</f>
        <v/>
      </c>
      <c r="G999" s="33"/>
      <c r="H999" s="33"/>
    </row>
    <row r="1000" spans="2:8" s="2" customFormat="1" ht="15" x14ac:dyDescent="0.25">
      <c r="B1000" s="21"/>
      <c r="C1000" s="22"/>
      <c r="D1000" s="29" t="str">
        <f t="shared" si="15"/>
        <v/>
      </c>
      <c r="E1000" s="22"/>
      <c r="F1000" s="22" t="str">
        <f ca="1">auto_pop!H1000</f>
        <v/>
      </c>
      <c r="G1000" s="33"/>
      <c r="H1000" s="33"/>
    </row>
    <row r="1001" spans="2:8" s="2" customFormat="1" ht="15" x14ac:dyDescent="0.25">
      <c r="B1001" s="21"/>
      <c r="C1001" s="22"/>
      <c r="D1001" s="29" t="str">
        <f t="shared" si="15"/>
        <v/>
      </c>
      <c r="E1001" s="22"/>
      <c r="F1001" s="22" t="str">
        <f ca="1">auto_pop!H1001</f>
        <v/>
      </c>
      <c r="G1001" s="33"/>
      <c r="H1001" s="33"/>
    </row>
    <row r="1002" spans="2:8" s="2" customFormat="1" ht="15" x14ac:dyDescent="0.25">
      <c r="B1002" s="21"/>
      <c r="C1002" s="22"/>
      <c r="D1002" s="29" t="str">
        <f t="shared" si="15"/>
        <v/>
      </c>
      <c r="E1002" s="22"/>
      <c r="F1002" s="22" t="str">
        <f ca="1">auto_pop!H1002</f>
        <v/>
      </c>
      <c r="G1002" s="33"/>
      <c r="H1002" s="33"/>
    </row>
    <row r="1003" spans="2:8" s="2" customFormat="1" ht="15" x14ac:dyDescent="0.25">
      <c r="B1003" s="21"/>
      <c r="C1003" s="22"/>
      <c r="D1003" s="29" t="str">
        <f t="shared" si="15"/>
        <v/>
      </c>
      <c r="E1003" s="22"/>
      <c r="F1003" s="22" t="str">
        <f ca="1">auto_pop!H1003</f>
        <v/>
      </c>
      <c r="G1003" s="33"/>
      <c r="H1003" s="33"/>
    </row>
    <row r="1004" spans="2:8" s="2" customFormat="1" ht="15" x14ac:dyDescent="0.25">
      <c r="B1004" s="21"/>
      <c r="C1004" s="22"/>
      <c r="D1004" s="29" t="str">
        <f t="shared" si="15"/>
        <v/>
      </c>
      <c r="E1004" s="22"/>
      <c r="F1004" s="22" t="str">
        <f ca="1">auto_pop!H1004</f>
        <v/>
      </c>
      <c r="G1004" s="33"/>
      <c r="H1004" s="33"/>
    </row>
    <row r="1005" spans="2:8" s="2" customFormat="1" ht="15" x14ac:dyDescent="0.25">
      <c r="B1005" s="21"/>
      <c r="C1005" s="22"/>
      <c r="D1005" s="29" t="str">
        <f t="shared" si="15"/>
        <v/>
      </c>
      <c r="E1005" s="22"/>
      <c r="F1005" s="22" t="str">
        <f ca="1">auto_pop!H1005</f>
        <v/>
      </c>
      <c r="G1005" s="33"/>
      <c r="H1005" s="33"/>
    </row>
    <row r="1006" spans="2:8" s="2" customFormat="1" ht="15" x14ac:dyDescent="0.25">
      <c r="B1006" s="21"/>
      <c r="C1006" s="22"/>
      <c r="D1006" s="29" t="str">
        <f t="shared" si="15"/>
        <v/>
      </c>
      <c r="E1006" s="22"/>
      <c r="F1006" s="22" t="str">
        <f ca="1">auto_pop!H1006</f>
        <v/>
      </c>
      <c r="G1006" s="33"/>
      <c r="H1006" s="33"/>
    </row>
    <row r="1007" spans="2:8" s="2" customFormat="1" ht="15" x14ac:dyDescent="0.25">
      <c r="B1007" s="21"/>
      <c r="C1007" s="22"/>
      <c r="D1007" s="29" t="str">
        <f t="shared" si="15"/>
        <v/>
      </c>
      <c r="E1007" s="22"/>
      <c r="F1007" s="22" t="str">
        <f ca="1">auto_pop!H1007</f>
        <v/>
      </c>
      <c r="G1007" s="33"/>
      <c r="H1007" s="33"/>
    </row>
    <row r="1008" spans="2:8" s="2" customFormat="1" ht="15" x14ac:dyDescent="0.25">
      <c r="B1008" s="21"/>
      <c r="C1008" s="22"/>
      <c r="D1008" s="29" t="str">
        <f t="shared" si="15"/>
        <v/>
      </c>
      <c r="E1008" s="22"/>
      <c r="F1008" s="22" t="str">
        <f ca="1">auto_pop!H1008</f>
        <v/>
      </c>
      <c r="G1008" s="33"/>
      <c r="H1008" s="33"/>
    </row>
    <row r="1009" spans="2:8" s="2" customFormat="1" ht="15" x14ac:dyDescent="0.25">
      <c r="B1009" s="21"/>
      <c r="C1009" s="22"/>
      <c r="D1009" s="29" t="str">
        <f t="shared" si="15"/>
        <v/>
      </c>
      <c r="E1009" s="22"/>
      <c r="F1009" s="22" t="str">
        <f ca="1">auto_pop!H1009</f>
        <v/>
      </c>
      <c r="G1009" s="33"/>
      <c r="H1009" s="33"/>
    </row>
    <row r="1010" spans="2:8" s="2" customFormat="1" ht="15" x14ac:dyDescent="0.25">
      <c r="B1010" s="21"/>
      <c r="C1010" s="22"/>
      <c r="D1010" s="29" t="str">
        <f t="shared" si="15"/>
        <v/>
      </c>
      <c r="E1010" s="22"/>
      <c r="F1010" s="22" t="str">
        <f ca="1">auto_pop!H1010</f>
        <v/>
      </c>
      <c r="G1010" s="33"/>
      <c r="H1010" s="33"/>
    </row>
    <row r="1011" spans="2:8" s="2" customFormat="1" ht="15" x14ac:dyDescent="0.25">
      <c r="B1011" s="21"/>
      <c r="C1011" s="22"/>
      <c r="D1011" s="29" t="str">
        <f t="shared" si="15"/>
        <v/>
      </c>
      <c r="E1011" s="22"/>
      <c r="F1011" s="22" t="str">
        <f ca="1">auto_pop!H1011</f>
        <v/>
      </c>
      <c r="G1011" s="33"/>
      <c r="H1011" s="33"/>
    </row>
    <row r="1012" spans="2:8" s="2" customFormat="1" ht="15" x14ac:dyDescent="0.25">
      <c r="B1012" s="21"/>
      <c r="C1012" s="22"/>
      <c r="D1012" s="29" t="str">
        <f t="shared" si="15"/>
        <v/>
      </c>
      <c r="E1012" s="22"/>
      <c r="F1012" s="22" t="str">
        <f ca="1">auto_pop!H1012</f>
        <v/>
      </c>
      <c r="G1012" s="33"/>
      <c r="H1012" s="33"/>
    </row>
    <row r="1013" spans="2:8" s="2" customFormat="1" ht="15" x14ac:dyDescent="0.25">
      <c r="B1013" s="21"/>
      <c r="C1013" s="22"/>
      <c r="D1013" s="29" t="str">
        <f t="shared" si="15"/>
        <v/>
      </c>
      <c r="E1013" s="22"/>
      <c r="F1013" s="22" t="str">
        <f ca="1">auto_pop!H1013</f>
        <v/>
      </c>
      <c r="G1013" s="33"/>
      <c r="H1013" s="33"/>
    </row>
    <row r="1014" spans="2:8" s="2" customFormat="1" ht="15" x14ac:dyDescent="0.25">
      <c r="B1014" s="21"/>
      <c r="C1014" s="22"/>
      <c r="D1014" s="29" t="str">
        <f t="shared" si="15"/>
        <v/>
      </c>
      <c r="E1014" s="22"/>
      <c r="F1014" s="22" t="str">
        <f ca="1">auto_pop!H1014</f>
        <v/>
      </c>
      <c r="G1014" s="33"/>
      <c r="H1014" s="33"/>
    </row>
    <row r="1015" spans="2:8" s="2" customFormat="1" ht="15" x14ac:dyDescent="0.25">
      <c r="B1015" s="21"/>
      <c r="C1015" s="22"/>
      <c r="D1015" s="29" t="str">
        <f t="shared" si="15"/>
        <v/>
      </c>
      <c r="E1015" s="22"/>
      <c r="F1015" s="22" t="str">
        <f ca="1">auto_pop!H1015</f>
        <v/>
      </c>
      <c r="G1015" s="33"/>
      <c r="H1015" s="33"/>
    </row>
    <row r="1016" spans="2:8" s="2" customFormat="1" ht="15" x14ac:dyDescent="0.25">
      <c r="B1016" s="21"/>
      <c r="C1016" s="22"/>
      <c r="D1016" s="29" t="str">
        <f t="shared" si="15"/>
        <v/>
      </c>
      <c r="E1016" s="22"/>
      <c r="F1016" s="22" t="str">
        <f ca="1">auto_pop!H1016</f>
        <v/>
      </c>
      <c r="G1016" s="33"/>
      <c r="H1016" s="33"/>
    </row>
    <row r="1017" spans="2:8" s="2" customFormat="1" ht="15" x14ac:dyDescent="0.25">
      <c r="B1017" s="21"/>
      <c r="C1017" s="22"/>
      <c r="D1017" s="29" t="str">
        <f t="shared" si="15"/>
        <v/>
      </c>
      <c r="E1017" s="22"/>
      <c r="F1017" s="22" t="str">
        <f ca="1">auto_pop!H1017</f>
        <v/>
      </c>
      <c r="G1017" s="33"/>
      <c r="H1017" s="33"/>
    </row>
    <row r="1018" spans="2:8" s="2" customFormat="1" ht="15" x14ac:dyDescent="0.25">
      <c r="B1018" s="21"/>
      <c r="C1018" s="22"/>
      <c r="D1018" s="29" t="str">
        <f t="shared" si="15"/>
        <v/>
      </c>
      <c r="E1018" s="22"/>
      <c r="F1018" s="22" t="str">
        <f ca="1">auto_pop!H1018</f>
        <v/>
      </c>
      <c r="G1018" s="33"/>
      <c r="H1018" s="33"/>
    </row>
    <row r="1019" spans="2:8" s="2" customFormat="1" ht="15" x14ac:dyDescent="0.25">
      <c r="B1019" s="21"/>
      <c r="C1019" s="22"/>
      <c r="D1019" s="29" t="str">
        <f t="shared" si="15"/>
        <v/>
      </c>
      <c r="E1019" s="22"/>
      <c r="F1019" s="22" t="str">
        <f ca="1">auto_pop!H1019</f>
        <v/>
      </c>
      <c r="G1019" s="33"/>
      <c r="H1019" s="33"/>
    </row>
    <row r="1020" spans="2:8" s="2" customFormat="1" ht="15" x14ac:dyDescent="0.25">
      <c r="B1020" s="21"/>
      <c r="C1020" s="22"/>
      <c r="D1020" s="29" t="str">
        <f t="shared" si="15"/>
        <v/>
      </c>
      <c r="E1020" s="22"/>
      <c r="F1020" s="22" t="str">
        <f ca="1">auto_pop!H1020</f>
        <v/>
      </c>
      <c r="G1020" s="33"/>
      <c r="H1020" s="33"/>
    </row>
    <row r="1021" spans="2:8" s="2" customFormat="1" ht="15" x14ac:dyDescent="0.25">
      <c r="B1021" s="21"/>
      <c r="C1021" s="22"/>
      <c r="D1021" s="29" t="str">
        <f t="shared" si="15"/>
        <v/>
      </c>
      <c r="E1021" s="22"/>
      <c r="F1021" s="22" t="str">
        <f ca="1">auto_pop!H1021</f>
        <v/>
      </c>
      <c r="G1021" s="33"/>
      <c r="H1021" s="33"/>
    </row>
    <row r="1022" spans="2:8" s="2" customFormat="1" ht="15" x14ac:dyDescent="0.25">
      <c r="B1022" s="21"/>
      <c r="C1022" s="22"/>
      <c r="D1022" s="29" t="str">
        <f t="shared" si="15"/>
        <v/>
      </c>
      <c r="E1022" s="22"/>
      <c r="F1022" s="22" t="str">
        <f ca="1">auto_pop!H1022</f>
        <v/>
      </c>
      <c r="G1022" s="33"/>
      <c r="H1022" s="33"/>
    </row>
    <row r="1023" spans="2:8" s="2" customFormat="1" ht="15" x14ac:dyDescent="0.25">
      <c r="B1023" s="21"/>
      <c r="C1023" s="22"/>
      <c r="D1023" s="29" t="str">
        <f t="shared" si="15"/>
        <v/>
      </c>
      <c r="E1023" s="22"/>
      <c r="F1023" s="22" t="str">
        <f ca="1">auto_pop!H1023</f>
        <v/>
      </c>
      <c r="G1023" s="33"/>
      <c r="H1023" s="33"/>
    </row>
    <row r="1024" spans="2:8" s="2" customFormat="1" ht="15" x14ac:dyDescent="0.25">
      <c r="B1024" s="21"/>
      <c r="C1024" s="22"/>
      <c r="D1024" s="29" t="str">
        <f t="shared" si="15"/>
        <v/>
      </c>
      <c r="E1024" s="22"/>
      <c r="F1024" s="22" t="str">
        <f ca="1">auto_pop!H1024</f>
        <v/>
      </c>
      <c r="G1024" s="33"/>
      <c r="H1024" s="33"/>
    </row>
    <row r="1025" spans="2:8" s="2" customFormat="1" ht="15" x14ac:dyDescent="0.25">
      <c r="B1025" s="21"/>
      <c r="C1025" s="22"/>
      <c r="D1025" s="29" t="str">
        <f t="shared" si="15"/>
        <v/>
      </c>
      <c r="E1025" s="22"/>
      <c r="F1025" s="22" t="str">
        <f ca="1">auto_pop!H1025</f>
        <v/>
      </c>
      <c r="G1025" s="33"/>
      <c r="H1025" s="33"/>
    </row>
    <row r="1026" spans="2:8" s="2" customFormat="1" ht="15" x14ac:dyDescent="0.25">
      <c r="B1026" s="21"/>
      <c r="C1026" s="22"/>
      <c r="D1026" s="29" t="str">
        <f t="shared" si="15"/>
        <v/>
      </c>
      <c r="E1026" s="22"/>
      <c r="F1026" s="22" t="str">
        <f ca="1">auto_pop!H1026</f>
        <v/>
      </c>
      <c r="G1026" s="33"/>
      <c r="H1026" s="33"/>
    </row>
    <row r="1027" spans="2:8" s="2" customFormat="1" ht="15" x14ac:dyDescent="0.25">
      <c r="B1027" s="21"/>
      <c r="C1027" s="22"/>
      <c r="D1027" s="29" t="str">
        <f t="shared" si="15"/>
        <v/>
      </c>
      <c r="E1027" s="22"/>
      <c r="F1027" s="22" t="str">
        <f ca="1">auto_pop!H1027</f>
        <v/>
      </c>
      <c r="G1027" s="33"/>
      <c r="H1027" s="33"/>
    </row>
    <row r="1028" spans="2:8" s="2" customFormat="1" ht="15" x14ac:dyDescent="0.25">
      <c r="B1028" s="21"/>
      <c r="C1028" s="22"/>
      <c r="D1028" s="29" t="str">
        <f t="shared" ref="D1028:D1091" si="16">IF(C1028&lt;&gt;"", IF(OR(C1028="Chapin", C1028="Oatka", C1028="Seneca"), "", 1), "")</f>
        <v/>
      </c>
      <c r="E1028" s="22"/>
      <c r="F1028" s="22" t="str">
        <f ca="1">auto_pop!H1028</f>
        <v/>
      </c>
      <c r="G1028" s="33"/>
      <c r="H1028" s="33"/>
    </row>
    <row r="1029" spans="2:8" s="2" customFormat="1" ht="15" x14ac:dyDescent="0.25">
      <c r="B1029" s="21"/>
      <c r="C1029" s="22"/>
      <c r="D1029" s="29" t="str">
        <f t="shared" si="16"/>
        <v/>
      </c>
      <c r="E1029" s="22"/>
      <c r="F1029" s="22" t="str">
        <f ca="1">auto_pop!H1029</f>
        <v/>
      </c>
      <c r="G1029" s="33"/>
      <c r="H1029" s="33"/>
    </row>
    <row r="1030" spans="2:8" s="2" customFormat="1" ht="15" x14ac:dyDescent="0.25">
      <c r="B1030" s="21"/>
      <c r="C1030" s="22"/>
      <c r="D1030" s="29" t="str">
        <f t="shared" si="16"/>
        <v/>
      </c>
      <c r="E1030" s="22"/>
      <c r="F1030" s="22" t="str">
        <f ca="1">auto_pop!H1030</f>
        <v/>
      </c>
      <c r="G1030" s="33"/>
      <c r="H1030" s="33"/>
    </row>
    <row r="1031" spans="2:8" s="2" customFormat="1" ht="15" x14ac:dyDescent="0.25">
      <c r="B1031" s="21"/>
      <c r="C1031" s="22"/>
      <c r="D1031" s="29" t="str">
        <f t="shared" si="16"/>
        <v/>
      </c>
      <c r="E1031" s="22"/>
      <c r="F1031" s="22" t="str">
        <f ca="1">auto_pop!H1031</f>
        <v/>
      </c>
      <c r="G1031" s="33"/>
      <c r="H1031" s="33"/>
    </row>
    <row r="1032" spans="2:8" s="2" customFormat="1" ht="15" x14ac:dyDescent="0.25">
      <c r="B1032" s="21"/>
      <c r="C1032" s="22"/>
      <c r="D1032" s="29" t="str">
        <f t="shared" si="16"/>
        <v/>
      </c>
      <c r="E1032" s="22"/>
      <c r="F1032" s="22" t="str">
        <f ca="1">auto_pop!H1032</f>
        <v/>
      </c>
      <c r="G1032" s="33"/>
      <c r="H1032" s="33"/>
    </row>
    <row r="1033" spans="2:8" s="2" customFormat="1" ht="15" x14ac:dyDescent="0.25">
      <c r="B1033" s="21"/>
      <c r="C1033" s="22"/>
      <c r="D1033" s="29" t="str">
        <f t="shared" si="16"/>
        <v/>
      </c>
      <c r="E1033" s="22"/>
      <c r="F1033" s="22" t="str">
        <f ca="1">auto_pop!H1033</f>
        <v/>
      </c>
      <c r="G1033" s="33"/>
      <c r="H1033" s="33"/>
    </row>
    <row r="1034" spans="2:8" s="2" customFormat="1" ht="15" x14ac:dyDescent="0.25">
      <c r="B1034" s="21"/>
      <c r="C1034" s="22"/>
      <c r="D1034" s="29" t="str">
        <f t="shared" si="16"/>
        <v/>
      </c>
      <c r="E1034" s="22"/>
      <c r="F1034" s="22" t="str">
        <f ca="1">auto_pop!H1034</f>
        <v/>
      </c>
      <c r="G1034" s="33"/>
      <c r="H1034" s="33"/>
    </row>
    <row r="1035" spans="2:8" s="2" customFormat="1" ht="15" x14ac:dyDescent="0.25">
      <c r="B1035" s="21"/>
      <c r="C1035" s="22"/>
      <c r="D1035" s="29" t="str">
        <f t="shared" si="16"/>
        <v/>
      </c>
      <c r="E1035" s="22"/>
      <c r="F1035" s="22" t="str">
        <f ca="1">auto_pop!H1035</f>
        <v/>
      </c>
      <c r="G1035" s="33"/>
      <c r="H1035" s="33"/>
    </row>
    <row r="1036" spans="2:8" s="2" customFormat="1" ht="15" x14ac:dyDescent="0.25">
      <c r="B1036" s="21"/>
      <c r="C1036" s="22"/>
      <c r="D1036" s="29" t="str">
        <f t="shared" si="16"/>
        <v/>
      </c>
      <c r="E1036" s="22"/>
      <c r="F1036" s="22" t="str">
        <f ca="1">auto_pop!H1036</f>
        <v/>
      </c>
      <c r="G1036" s="33"/>
      <c r="H1036" s="33"/>
    </row>
    <row r="1037" spans="2:8" s="2" customFormat="1" ht="15" x14ac:dyDescent="0.25">
      <c r="B1037" s="21"/>
      <c r="C1037" s="22"/>
      <c r="D1037" s="29" t="str">
        <f t="shared" si="16"/>
        <v/>
      </c>
      <c r="E1037" s="22"/>
      <c r="F1037" s="22" t="str">
        <f ca="1">auto_pop!H1037</f>
        <v/>
      </c>
      <c r="G1037" s="33"/>
      <c r="H1037" s="33"/>
    </row>
    <row r="1038" spans="2:8" s="2" customFormat="1" ht="15" x14ac:dyDescent="0.25">
      <c r="B1038" s="21"/>
      <c r="C1038" s="22"/>
      <c r="D1038" s="29" t="str">
        <f t="shared" si="16"/>
        <v/>
      </c>
      <c r="E1038" s="22"/>
      <c r="F1038" s="22" t="str">
        <f ca="1">auto_pop!H1038</f>
        <v/>
      </c>
      <c r="G1038" s="33"/>
      <c r="H1038" s="33"/>
    </row>
    <row r="1039" spans="2:8" s="2" customFormat="1" ht="15" x14ac:dyDescent="0.25">
      <c r="B1039" s="21"/>
      <c r="C1039" s="22"/>
      <c r="D1039" s="29" t="str">
        <f t="shared" si="16"/>
        <v/>
      </c>
      <c r="E1039" s="22"/>
      <c r="F1039" s="22" t="str">
        <f ca="1">auto_pop!H1039</f>
        <v/>
      </c>
      <c r="G1039" s="33"/>
      <c r="H1039" s="33"/>
    </row>
    <row r="1040" spans="2:8" s="2" customFormat="1" ht="15" x14ac:dyDescent="0.25">
      <c r="B1040" s="21"/>
      <c r="C1040" s="22"/>
      <c r="D1040" s="29" t="str">
        <f t="shared" si="16"/>
        <v/>
      </c>
      <c r="E1040" s="22"/>
      <c r="F1040" s="22" t="str">
        <f ca="1">auto_pop!H1040</f>
        <v/>
      </c>
      <c r="G1040" s="33"/>
      <c r="H1040" s="33"/>
    </row>
    <row r="1041" spans="2:8" s="2" customFormat="1" ht="15" x14ac:dyDescent="0.25">
      <c r="B1041" s="21"/>
      <c r="C1041" s="22"/>
      <c r="D1041" s="29" t="str">
        <f t="shared" si="16"/>
        <v/>
      </c>
      <c r="E1041" s="22"/>
      <c r="F1041" s="22" t="str">
        <f ca="1">auto_pop!H1041</f>
        <v/>
      </c>
      <c r="G1041" s="33"/>
      <c r="H1041" s="33"/>
    </row>
    <row r="1042" spans="2:8" s="2" customFormat="1" ht="15" x14ac:dyDescent="0.25">
      <c r="B1042" s="21"/>
      <c r="C1042" s="22"/>
      <c r="D1042" s="29" t="str">
        <f t="shared" si="16"/>
        <v/>
      </c>
      <c r="E1042" s="22"/>
      <c r="F1042" s="22" t="str">
        <f ca="1">auto_pop!H1042</f>
        <v/>
      </c>
      <c r="G1042" s="33"/>
      <c r="H1042" s="33"/>
    </row>
    <row r="1043" spans="2:8" s="2" customFormat="1" ht="15" x14ac:dyDescent="0.25">
      <c r="B1043" s="21"/>
      <c r="C1043" s="22"/>
      <c r="D1043" s="29" t="str">
        <f t="shared" si="16"/>
        <v/>
      </c>
      <c r="E1043" s="22"/>
      <c r="F1043" s="22" t="str">
        <f ca="1">auto_pop!H1043</f>
        <v/>
      </c>
      <c r="G1043" s="33"/>
      <c r="H1043" s="33"/>
    </row>
    <row r="1044" spans="2:8" s="2" customFormat="1" ht="15" x14ac:dyDescent="0.25">
      <c r="B1044" s="21"/>
      <c r="C1044" s="22"/>
      <c r="D1044" s="29" t="str">
        <f t="shared" si="16"/>
        <v/>
      </c>
      <c r="E1044" s="22"/>
      <c r="F1044" s="22" t="str">
        <f ca="1">auto_pop!H1044</f>
        <v/>
      </c>
      <c r="G1044" s="33"/>
      <c r="H1044" s="33"/>
    </row>
    <row r="1045" spans="2:8" s="2" customFormat="1" ht="15" x14ac:dyDescent="0.25">
      <c r="B1045" s="21"/>
      <c r="C1045" s="22"/>
      <c r="D1045" s="29" t="str">
        <f t="shared" si="16"/>
        <v/>
      </c>
      <c r="E1045" s="22"/>
      <c r="F1045" s="22" t="str">
        <f ca="1">auto_pop!H1045</f>
        <v/>
      </c>
      <c r="G1045" s="33"/>
      <c r="H1045" s="33"/>
    </row>
    <row r="1046" spans="2:8" s="2" customFormat="1" ht="15" x14ac:dyDescent="0.25">
      <c r="B1046" s="21"/>
      <c r="C1046" s="22"/>
      <c r="D1046" s="29" t="str">
        <f t="shared" si="16"/>
        <v/>
      </c>
      <c r="E1046" s="22"/>
      <c r="F1046" s="22" t="str">
        <f ca="1">auto_pop!H1046</f>
        <v/>
      </c>
      <c r="G1046" s="33"/>
      <c r="H1046" s="33"/>
    </row>
    <row r="1047" spans="2:8" s="2" customFormat="1" ht="15" x14ac:dyDescent="0.25">
      <c r="B1047" s="21"/>
      <c r="C1047" s="22"/>
      <c r="D1047" s="29" t="str">
        <f t="shared" si="16"/>
        <v/>
      </c>
      <c r="E1047" s="22"/>
      <c r="F1047" s="22" t="str">
        <f ca="1">auto_pop!H1047</f>
        <v/>
      </c>
      <c r="G1047" s="33"/>
      <c r="H1047" s="33"/>
    </row>
    <row r="1048" spans="2:8" s="2" customFormat="1" ht="15" x14ac:dyDescent="0.25">
      <c r="B1048" s="21"/>
      <c r="C1048" s="22"/>
      <c r="D1048" s="29" t="str">
        <f t="shared" si="16"/>
        <v/>
      </c>
      <c r="E1048" s="22"/>
      <c r="F1048" s="22" t="str">
        <f ca="1">auto_pop!H1048</f>
        <v/>
      </c>
      <c r="G1048" s="33"/>
      <c r="H1048" s="33"/>
    </row>
    <row r="1049" spans="2:8" s="2" customFormat="1" ht="15" x14ac:dyDescent="0.25">
      <c r="B1049" s="21"/>
      <c r="C1049" s="22"/>
      <c r="D1049" s="29" t="str">
        <f t="shared" si="16"/>
        <v/>
      </c>
      <c r="E1049" s="22"/>
      <c r="F1049" s="22" t="str">
        <f ca="1">auto_pop!H1049</f>
        <v/>
      </c>
      <c r="G1049" s="33"/>
      <c r="H1049" s="33"/>
    </row>
    <row r="1050" spans="2:8" s="2" customFormat="1" ht="15" x14ac:dyDescent="0.25">
      <c r="B1050" s="21"/>
      <c r="C1050" s="22"/>
      <c r="D1050" s="29" t="str">
        <f t="shared" si="16"/>
        <v/>
      </c>
      <c r="E1050" s="22"/>
      <c r="F1050" s="22" t="str">
        <f ca="1">auto_pop!H1050</f>
        <v/>
      </c>
      <c r="G1050" s="33"/>
      <c r="H1050" s="33"/>
    </row>
    <row r="1051" spans="2:8" s="2" customFormat="1" ht="15" x14ac:dyDescent="0.25">
      <c r="B1051" s="21"/>
      <c r="C1051" s="22"/>
      <c r="D1051" s="29" t="str">
        <f t="shared" si="16"/>
        <v/>
      </c>
      <c r="E1051" s="22"/>
      <c r="F1051" s="22" t="str">
        <f ca="1">auto_pop!H1051</f>
        <v/>
      </c>
      <c r="G1051" s="33"/>
      <c r="H1051" s="33"/>
    </row>
    <row r="1052" spans="2:8" s="2" customFormat="1" ht="15" x14ac:dyDescent="0.25">
      <c r="B1052" s="21"/>
      <c r="C1052" s="22"/>
      <c r="D1052" s="29" t="str">
        <f t="shared" si="16"/>
        <v/>
      </c>
      <c r="E1052" s="22"/>
      <c r="F1052" s="22" t="str">
        <f ca="1">auto_pop!H1052</f>
        <v/>
      </c>
      <c r="G1052" s="33"/>
      <c r="H1052" s="33"/>
    </row>
    <row r="1053" spans="2:8" s="2" customFormat="1" ht="15" x14ac:dyDescent="0.25">
      <c r="B1053" s="21"/>
      <c r="C1053" s="22"/>
      <c r="D1053" s="29" t="str">
        <f t="shared" si="16"/>
        <v/>
      </c>
      <c r="E1053" s="22"/>
      <c r="F1053" s="22" t="str">
        <f ca="1">auto_pop!H1053</f>
        <v/>
      </c>
      <c r="G1053" s="33"/>
      <c r="H1053" s="33"/>
    </row>
    <row r="1054" spans="2:8" s="2" customFormat="1" ht="15" x14ac:dyDescent="0.25">
      <c r="B1054" s="21"/>
      <c r="C1054" s="22"/>
      <c r="D1054" s="29" t="str">
        <f t="shared" si="16"/>
        <v/>
      </c>
      <c r="E1054" s="22"/>
      <c r="F1054" s="22" t="str">
        <f ca="1">auto_pop!H1054</f>
        <v/>
      </c>
      <c r="G1054" s="33"/>
      <c r="H1054" s="33"/>
    </row>
    <row r="1055" spans="2:8" s="2" customFormat="1" ht="15" x14ac:dyDescent="0.25">
      <c r="B1055" s="21"/>
      <c r="C1055" s="22"/>
      <c r="D1055" s="29" t="str">
        <f t="shared" si="16"/>
        <v/>
      </c>
      <c r="E1055" s="22"/>
      <c r="F1055" s="22" t="str">
        <f ca="1">auto_pop!H1055</f>
        <v/>
      </c>
      <c r="G1055" s="33"/>
      <c r="H1055" s="33"/>
    </row>
    <row r="1056" spans="2:8" s="2" customFormat="1" ht="15" x14ac:dyDescent="0.25">
      <c r="B1056" s="21"/>
      <c r="C1056" s="22"/>
      <c r="D1056" s="29" t="str">
        <f t="shared" si="16"/>
        <v/>
      </c>
      <c r="E1056" s="22"/>
      <c r="F1056" s="22" t="str">
        <f ca="1">auto_pop!H1056</f>
        <v/>
      </c>
      <c r="G1056" s="33"/>
      <c r="H1056" s="33"/>
    </row>
    <row r="1057" spans="2:8" s="2" customFormat="1" ht="15" x14ac:dyDescent="0.25">
      <c r="B1057" s="21"/>
      <c r="C1057" s="22"/>
      <c r="D1057" s="29" t="str">
        <f t="shared" si="16"/>
        <v/>
      </c>
      <c r="E1057" s="22"/>
      <c r="F1057" s="22" t="str">
        <f ca="1">auto_pop!H1057</f>
        <v/>
      </c>
      <c r="G1057" s="33"/>
      <c r="H1057" s="33"/>
    </row>
    <row r="1058" spans="2:8" s="2" customFormat="1" ht="15" x14ac:dyDescent="0.25">
      <c r="B1058" s="21"/>
      <c r="C1058" s="22"/>
      <c r="D1058" s="29" t="str">
        <f t="shared" si="16"/>
        <v/>
      </c>
      <c r="E1058" s="22"/>
      <c r="F1058" s="22" t="str">
        <f ca="1">auto_pop!H1058</f>
        <v/>
      </c>
      <c r="G1058" s="33"/>
      <c r="H1058" s="33"/>
    </row>
    <row r="1059" spans="2:8" s="2" customFormat="1" ht="15" x14ac:dyDescent="0.25">
      <c r="B1059" s="21"/>
      <c r="C1059" s="22"/>
      <c r="D1059" s="29" t="str">
        <f t="shared" si="16"/>
        <v/>
      </c>
      <c r="E1059" s="22"/>
      <c r="F1059" s="22" t="str">
        <f ca="1">auto_pop!H1059</f>
        <v/>
      </c>
      <c r="G1059" s="33"/>
      <c r="H1059" s="33"/>
    </row>
    <row r="1060" spans="2:8" s="2" customFormat="1" ht="15" x14ac:dyDescent="0.25">
      <c r="B1060" s="21"/>
      <c r="C1060" s="22"/>
      <c r="D1060" s="29" t="str">
        <f t="shared" si="16"/>
        <v/>
      </c>
      <c r="E1060" s="22"/>
      <c r="F1060" s="22" t="str">
        <f ca="1">auto_pop!H1060</f>
        <v/>
      </c>
      <c r="G1060" s="33"/>
      <c r="H1060" s="33"/>
    </row>
    <row r="1061" spans="2:8" s="2" customFormat="1" ht="15" x14ac:dyDescent="0.25">
      <c r="B1061" s="21"/>
      <c r="C1061" s="22"/>
      <c r="D1061" s="29" t="str">
        <f t="shared" si="16"/>
        <v/>
      </c>
      <c r="E1061" s="22"/>
      <c r="F1061" s="22" t="str">
        <f ca="1">auto_pop!H1061</f>
        <v/>
      </c>
      <c r="G1061" s="33"/>
      <c r="H1061" s="33"/>
    </row>
    <row r="1062" spans="2:8" s="2" customFormat="1" ht="15" x14ac:dyDescent="0.25">
      <c r="B1062" s="21"/>
      <c r="C1062" s="22"/>
      <c r="D1062" s="29" t="str">
        <f t="shared" si="16"/>
        <v/>
      </c>
      <c r="E1062" s="22"/>
      <c r="F1062" s="22" t="str">
        <f ca="1">auto_pop!H1062</f>
        <v/>
      </c>
      <c r="G1062" s="33"/>
      <c r="H1062" s="33"/>
    </row>
    <row r="1063" spans="2:8" s="2" customFormat="1" ht="15" x14ac:dyDescent="0.25">
      <c r="B1063" s="21"/>
      <c r="C1063" s="22"/>
      <c r="D1063" s="29" t="str">
        <f t="shared" si="16"/>
        <v/>
      </c>
      <c r="E1063" s="22"/>
      <c r="F1063" s="22" t="str">
        <f ca="1">auto_pop!H1063</f>
        <v/>
      </c>
      <c r="G1063" s="33"/>
      <c r="H1063" s="33"/>
    </row>
    <row r="1064" spans="2:8" s="2" customFormat="1" ht="15" x14ac:dyDescent="0.25">
      <c r="B1064" s="21"/>
      <c r="C1064" s="22"/>
      <c r="D1064" s="29" t="str">
        <f t="shared" si="16"/>
        <v/>
      </c>
      <c r="E1064" s="22"/>
      <c r="F1064" s="22" t="str">
        <f ca="1">auto_pop!H1064</f>
        <v/>
      </c>
      <c r="G1064" s="33"/>
      <c r="H1064" s="33"/>
    </row>
    <row r="1065" spans="2:8" s="2" customFormat="1" ht="15" x14ac:dyDescent="0.25">
      <c r="B1065" s="21"/>
      <c r="C1065" s="22"/>
      <c r="D1065" s="29" t="str">
        <f t="shared" si="16"/>
        <v/>
      </c>
      <c r="E1065" s="22"/>
      <c r="F1065" s="22" t="str">
        <f ca="1">auto_pop!H1065</f>
        <v/>
      </c>
      <c r="G1065" s="33"/>
      <c r="H1065" s="33"/>
    </row>
    <row r="1066" spans="2:8" s="2" customFormat="1" ht="15" x14ac:dyDescent="0.25">
      <c r="B1066" s="21"/>
      <c r="C1066" s="22"/>
      <c r="D1066" s="29" t="str">
        <f t="shared" si="16"/>
        <v/>
      </c>
      <c r="E1066" s="22"/>
      <c r="F1066" s="22" t="str">
        <f ca="1">auto_pop!H1066</f>
        <v/>
      </c>
      <c r="G1066" s="33"/>
      <c r="H1066" s="33"/>
    </row>
    <row r="1067" spans="2:8" s="2" customFormat="1" ht="15" x14ac:dyDescent="0.25">
      <c r="B1067" s="21"/>
      <c r="C1067" s="22"/>
      <c r="D1067" s="29" t="str">
        <f t="shared" si="16"/>
        <v/>
      </c>
      <c r="E1067" s="22"/>
      <c r="F1067" s="22" t="str">
        <f ca="1">auto_pop!H1067</f>
        <v/>
      </c>
      <c r="G1067" s="33"/>
      <c r="H1067" s="33"/>
    </row>
    <row r="1068" spans="2:8" s="2" customFormat="1" ht="15" x14ac:dyDescent="0.25">
      <c r="B1068" s="21"/>
      <c r="C1068" s="22"/>
      <c r="D1068" s="29" t="str">
        <f t="shared" si="16"/>
        <v/>
      </c>
      <c r="E1068" s="22"/>
      <c r="F1068" s="22" t="str">
        <f ca="1">auto_pop!H1068</f>
        <v/>
      </c>
      <c r="G1068" s="33"/>
      <c r="H1068" s="33"/>
    </row>
    <row r="1069" spans="2:8" s="2" customFormat="1" ht="15" x14ac:dyDescent="0.25">
      <c r="B1069" s="21"/>
      <c r="C1069" s="22"/>
      <c r="D1069" s="29" t="str">
        <f t="shared" si="16"/>
        <v/>
      </c>
      <c r="E1069" s="22"/>
      <c r="F1069" s="22" t="str">
        <f ca="1">auto_pop!H1069</f>
        <v/>
      </c>
      <c r="G1069" s="33"/>
      <c r="H1069" s="33"/>
    </row>
    <row r="1070" spans="2:8" s="2" customFormat="1" ht="15" x14ac:dyDescent="0.25">
      <c r="B1070" s="21"/>
      <c r="C1070" s="22"/>
      <c r="D1070" s="29" t="str">
        <f t="shared" si="16"/>
        <v/>
      </c>
      <c r="E1070" s="22"/>
      <c r="F1070" s="22" t="str">
        <f ca="1">auto_pop!H1070</f>
        <v/>
      </c>
      <c r="G1070" s="33"/>
      <c r="H1070" s="33"/>
    </row>
    <row r="1071" spans="2:8" s="2" customFormat="1" ht="15" x14ac:dyDescent="0.25">
      <c r="B1071" s="21"/>
      <c r="C1071" s="22"/>
      <c r="D1071" s="29" t="str">
        <f t="shared" si="16"/>
        <v/>
      </c>
      <c r="E1071" s="22"/>
      <c r="F1071" s="22" t="str">
        <f ca="1">auto_pop!H1071</f>
        <v/>
      </c>
      <c r="G1071" s="33"/>
      <c r="H1071" s="33"/>
    </row>
    <row r="1072" spans="2:8" s="2" customFormat="1" ht="15" x14ac:dyDescent="0.25">
      <c r="B1072" s="21"/>
      <c r="C1072" s="22"/>
      <c r="D1072" s="29" t="str">
        <f t="shared" si="16"/>
        <v/>
      </c>
      <c r="E1072" s="22"/>
      <c r="F1072" s="22" t="str">
        <f ca="1">auto_pop!H1072</f>
        <v/>
      </c>
      <c r="G1072" s="33"/>
      <c r="H1072" s="33"/>
    </row>
    <row r="1073" spans="2:8" s="2" customFormat="1" ht="15" x14ac:dyDescent="0.25">
      <c r="B1073" s="21"/>
      <c r="C1073" s="22"/>
      <c r="D1073" s="29" t="str">
        <f t="shared" si="16"/>
        <v/>
      </c>
      <c r="E1073" s="22"/>
      <c r="F1073" s="22" t="str">
        <f ca="1">auto_pop!H1073</f>
        <v/>
      </c>
      <c r="G1073" s="33"/>
      <c r="H1073" s="33"/>
    </row>
    <row r="1074" spans="2:8" s="2" customFormat="1" ht="15" x14ac:dyDescent="0.25">
      <c r="B1074" s="21"/>
      <c r="C1074" s="22"/>
      <c r="D1074" s="29" t="str">
        <f t="shared" si="16"/>
        <v/>
      </c>
      <c r="E1074" s="22"/>
      <c r="F1074" s="22" t="str">
        <f ca="1">auto_pop!H1074</f>
        <v/>
      </c>
      <c r="G1074" s="33"/>
      <c r="H1074" s="33"/>
    </row>
    <row r="1075" spans="2:8" s="2" customFormat="1" ht="15" x14ac:dyDescent="0.25">
      <c r="B1075" s="21"/>
      <c r="C1075" s="22"/>
      <c r="D1075" s="29" t="str">
        <f t="shared" si="16"/>
        <v/>
      </c>
      <c r="E1075" s="22"/>
      <c r="F1075" s="22" t="str">
        <f ca="1">auto_pop!H1075</f>
        <v/>
      </c>
      <c r="G1075" s="33"/>
      <c r="H1075" s="33"/>
    </row>
    <row r="1076" spans="2:8" s="2" customFormat="1" ht="15" x14ac:dyDescent="0.25">
      <c r="B1076" s="21"/>
      <c r="C1076" s="22"/>
      <c r="D1076" s="29" t="str">
        <f t="shared" si="16"/>
        <v/>
      </c>
      <c r="E1076" s="22"/>
      <c r="F1076" s="22" t="str">
        <f ca="1">auto_pop!H1076</f>
        <v/>
      </c>
      <c r="G1076" s="33"/>
      <c r="H1076" s="33"/>
    </row>
    <row r="1077" spans="2:8" s="2" customFormat="1" ht="15" x14ac:dyDescent="0.25">
      <c r="B1077" s="21"/>
      <c r="C1077" s="22"/>
      <c r="D1077" s="29" t="str">
        <f t="shared" si="16"/>
        <v/>
      </c>
      <c r="E1077" s="22"/>
      <c r="F1077" s="22" t="str">
        <f ca="1">auto_pop!H1077</f>
        <v/>
      </c>
      <c r="G1077" s="33"/>
      <c r="H1077" s="33"/>
    </row>
    <row r="1078" spans="2:8" s="2" customFormat="1" ht="15" x14ac:dyDescent="0.25">
      <c r="B1078" s="21"/>
      <c r="C1078" s="22"/>
      <c r="D1078" s="29" t="str">
        <f t="shared" si="16"/>
        <v/>
      </c>
      <c r="E1078" s="22"/>
      <c r="F1078" s="22" t="str">
        <f ca="1">auto_pop!H1078</f>
        <v/>
      </c>
      <c r="G1078" s="33"/>
      <c r="H1078" s="33"/>
    </row>
    <row r="1079" spans="2:8" s="2" customFormat="1" ht="15" x14ac:dyDescent="0.25">
      <c r="B1079" s="21"/>
      <c r="C1079" s="22"/>
      <c r="D1079" s="29" t="str">
        <f t="shared" si="16"/>
        <v/>
      </c>
      <c r="E1079" s="22"/>
      <c r="F1079" s="22" t="str">
        <f ca="1">auto_pop!H1079</f>
        <v/>
      </c>
      <c r="G1079" s="33"/>
      <c r="H1079" s="33"/>
    </row>
    <row r="1080" spans="2:8" s="2" customFormat="1" ht="15" x14ac:dyDescent="0.25">
      <c r="B1080" s="21"/>
      <c r="C1080" s="22"/>
      <c r="D1080" s="29" t="str">
        <f t="shared" si="16"/>
        <v/>
      </c>
      <c r="E1080" s="22"/>
      <c r="F1080" s="22" t="str">
        <f ca="1">auto_pop!H1080</f>
        <v/>
      </c>
      <c r="G1080" s="33"/>
      <c r="H1080" s="33"/>
    </row>
    <row r="1081" spans="2:8" s="2" customFormat="1" ht="15" x14ac:dyDescent="0.25">
      <c r="B1081" s="21"/>
      <c r="C1081" s="22"/>
      <c r="D1081" s="29" t="str">
        <f t="shared" si="16"/>
        <v/>
      </c>
      <c r="E1081" s="22"/>
      <c r="F1081" s="22" t="str">
        <f ca="1">auto_pop!H1081</f>
        <v/>
      </c>
      <c r="G1081" s="33"/>
      <c r="H1081" s="33"/>
    </row>
    <row r="1082" spans="2:8" s="2" customFormat="1" ht="15" x14ac:dyDescent="0.25">
      <c r="B1082" s="21"/>
      <c r="C1082" s="22"/>
      <c r="D1082" s="29" t="str">
        <f t="shared" si="16"/>
        <v/>
      </c>
      <c r="E1082" s="22"/>
      <c r="F1082" s="22" t="str">
        <f ca="1">auto_pop!H1082</f>
        <v/>
      </c>
      <c r="G1082" s="33"/>
      <c r="H1082" s="33"/>
    </row>
    <row r="1083" spans="2:8" s="2" customFormat="1" ht="15" x14ac:dyDescent="0.25">
      <c r="B1083" s="21"/>
      <c r="C1083" s="22"/>
      <c r="D1083" s="29" t="str">
        <f t="shared" si="16"/>
        <v/>
      </c>
      <c r="E1083" s="22"/>
      <c r="F1083" s="22" t="str">
        <f ca="1">auto_pop!H1083</f>
        <v/>
      </c>
      <c r="G1083" s="33"/>
      <c r="H1083" s="33"/>
    </row>
    <row r="1084" spans="2:8" s="2" customFormat="1" ht="15" x14ac:dyDescent="0.25">
      <c r="B1084" s="21"/>
      <c r="C1084" s="22"/>
      <c r="D1084" s="29" t="str">
        <f t="shared" si="16"/>
        <v/>
      </c>
      <c r="E1084" s="22"/>
      <c r="F1084" s="22" t="str">
        <f ca="1">auto_pop!H1084</f>
        <v/>
      </c>
      <c r="G1084" s="33"/>
      <c r="H1084" s="33"/>
    </row>
    <row r="1085" spans="2:8" s="2" customFormat="1" ht="15" x14ac:dyDescent="0.25">
      <c r="B1085" s="21"/>
      <c r="C1085" s="22"/>
      <c r="D1085" s="29" t="str">
        <f t="shared" si="16"/>
        <v/>
      </c>
      <c r="E1085" s="22"/>
      <c r="F1085" s="22" t="str">
        <f ca="1">auto_pop!H1085</f>
        <v/>
      </c>
      <c r="G1085" s="33"/>
      <c r="H1085" s="33"/>
    </row>
    <row r="1086" spans="2:8" s="2" customFormat="1" ht="15" x14ac:dyDescent="0.25">
      <c r="B1086" s="21"/>
      <c r="C1086" s="22"/>
      <c r="D1086" s="29" t="str">
        <f t="shared" si="16"/>
        <v/>
      </c>
      <c r="E1086" s="22"/>
      <c r="F1086" s="22" t="str">
        <f ca="1">auto_pop!H1086</f>
        <v/>
      </c>
      <c r="G1086" s="33"/>
      <c r="H1086" s="33"/>
    </row>
    <row r="1087" spans="2:8" s="2" customFormat="1" ht="15" x14ac:dyDescent="0.25">
      <c r="B1087" s="21"/>
      <c r="C1087" s="22"/>
      <c r="D1087" s="29" t="str">
        <f t="shared" si="16"/>
        <v/>
      </c>
      <c r="E1087" s="22"/>
      <c r="F1087" s="22" t="str">
        <f ca="1">auto_pop!H1087</f>
        <v/>
      </c>
      <c r="G1087" s="33"/>
      <c r="H1087" s="33"/>
    </row>
    <row r="1088" spans="2:8" s="2" customFormat="1" ht="15" x14ac:dyDescent="0.25">
      <c r="B1088" s="21"/>
      <c r="C1088" s="22"/>
      <c r="D1088" s="29" t="str">
        <f t="shared" si="16"/>
        <v/>
      </c>
      <c r="E1088" s="22"/>
      <c r="F1088" s="22" t="str">
        <f ca="1">auto_pop!H1088</f>
        <v/>
      </c>
      <c r="G1088" s="33"/>
      <c r="H1088" s="33"/>
    </row>
    <row r="1089" spans="2:8" s="2" customFormat="1" ht="15" x14ac:dyDescent="0.25">
      <c r="B1089" s="21"/>
      <c r="C1089" s="22"/>
      <c r="D1089" s="29" t="str">
        <f t="shared" si="16"/>
        <v/>
      </c>
      <c r="E1089" s="22"/>
      <c r="F1089" s="22" t="str">
        <f ca="1">auto_pop!H1089</f>
        <v/>
      </c>
      <c r="G1089" s="33"/>
      <c r="H1089" s="33"/>
    </row>
    <row r="1090" spans="2:8" s="2" customFormat="1" ht="15" x14ac:dyDescent="0.25">
      <c r="B1090" s="21"/>
      <c r="C1090" s="22"/>
      <c r="D1090" s="29" t="str">
        <f t="shared" si="16"/>
        <v/>
      </c>
      <c r="E1090" s="22"/>
      <c r="F1090" s="22" t="str">
        <f ca="1">auto_pop!H1090</f>
        <v/>
      </c>
      <c r="G1090" s="33"/>
      <c r="H1090" s="33"/>
    </row>
    <row r="1091" spans="2:8" s="2" customFormat="1" ht="15" x14ac:dyDescent="0.25">
      <c r="B1091" s="21"/>
      <c r="C1091" s="22"/>
      <c r="D1091" s="29" t="str">
        <f t="shared" si="16"/>
        <v/>
      </c>
      <c r="E1091" s="22"/>
      <c r="F1091" s="22" t="str">
        <f ca="1">auto_pop!H1091</f>
        <v/>
      </c>
      <c r="G1091" s="33"/>
      <c r="H1091" s="33"/>
    </row>
    <row r="1092" spans="2:8" s="2" customFormat="1" ht="15" x14ac:dyDescent="0.25">
      <c r="B1092" s="21"/>
      <c r="C1092" s="22"/>
      <c r="D1092" s="29" t="str">
        <f t="shared" ref="D1092:D1155" si="17">IF(C1092&lt;&gt;"", IF(OR(C1092="Chapin", C1092="Oatka", C1092="Seneca"), "", 1), "")</f>
        <v/>
      </c>
      <c r="E1092" s="22"/>
      <c r="F1092" s="22" t="str">
        <f ca="1">auto_pop!H1092</f>
        <v/>
      </c>
      <c r="G1092" s="33"/>
      <c r="H1092" s="33"/>
    </row>
    <row r="1093" spans="2:8" s="2" customFormat="1" ht="15" x14ac:dyDescent="0.25">
      <c r="B1093" s="21"/>
      <c r="C1093" s="22"/>
      <c r="D1093" s="29" t="str">
        <f t="shared" si="17"/>
        <v/>
      </c>
      <c r="E1093" s="22"/>
      <c r="F1093" s="22" t="str">
        <f ca="1">auto_pop!H1093</f>
        <v/>
      </c>
      <c r="G1093" s="33"/>
      <c r="H1093" s="33"/>
    </row>
    <row r="1094" spans="2:8" s="2" customFormat="1" ht="15" x14ac:dyDescent="0.25">
      <c r="B1094" s="21"/>
      <c r="C1094" s="22"/>
      <c r="D1094" s="29" t="str">
        <f t="shared" si="17"/>
        <v/>
      </c>
      <c r="E1094" s="22"/>
      <c r="F1094" s="22" t="str">
        <f ca="1">auto_pop!H1094</f>
        <v/>
      </c>
      <c r="G1094" s="33"/>
      <c r="H1094" s="33"/>
    </row>
    <row r="1095" spans="2:8" s="2" customFormat="1" ht="15" x14ac:dyDescent="0.25">
      <c r="B1095" s="21"/>
      <c r="C1095" s="22"/>
      <c r="D1095" s="29" t="str">
        <f t="shared" si="17"/>
        <v/>
      </c>
      <c r="E1095" s="22"/>
      <c r="F1095" s="22" t="str">
        <f ca="1">auto_pop!H1095</f>
        <v/>
      </c>
      <c r="G1095" s="33"/>
      <c r="H1095" s="33"/>
    </row>
    <row r="1096" spans="2:8" s="2" customFormat="1" ht="15" x14ac:dyDescent="0.25">
      <c r="B1096" s="21"/>
      <c r="C1096" s="22"/>
      <c r="D1096" s="29" t="str">
        <f t="shared" si="17"/>
        <v/>
      </c>
      <c r="E1096" s="22"/>
      <c r="F1096" s="22" t="str">
        <f ca="1">auto_pop!H1096</f>
        <v/>
      </c>
      <c r="G1096" s="33"/>
      <c r="H1096" s="33"/>
    </row>
    <row r="1097" spans="2:8" s="2" customFormat="1" ht="15" x14ac:dyDescent="0.25">
      <c r="B1097" s="21"/>
      <c r="C1097" s="22"/>
      <c r="D1097" s="29" t="str">
        <f t="shared" si="17"/>
        <v/>
      </c>
      <c r="E1097" s="22"/>
      <c r="F1097" s="22" t="str">
        <f ca="1">auto_pop!H1097</f>
        <v/>
      </c>
      <c r="G1097" s="33"/>
      <c r="H1097" s="33"/>
    </row>
    <row r="1098" spans="2:8" s="2" customFormat="1" ht="15" x14ac:dyDescent="0.25">
      <c r="B1098" s="21"/>
      <c r="C1098" s="22"/>
      <c r="D1098" s="29" t="str">
        <f t="shared" si="17"/>
        <v/>
      </c>
      <c r="E1098" s="22"/>
      <c r="F1098" s="22" t="str">
        <f ca="1">auto_pop!H1098</f>
        <v/>
      </c>
      <c r="G1098" s="33"/>
      <c r="H1098" s="33"/>
    </row>
    <row r="1099" spans="2:8" s="2" customFormat="1" ht="15" x14ac:dyDescent="0.25">
      <c r="B1099" s="21"/>
      <c r="C1099" s="22"/>
      <c r="D1099" s="29" t="str">
        <f t="shared" si="17"/>
        <v/>
      </c>
      <c r="E1099" s="22"/>
      <c r="F1099" s="22" t="str">
        <f ca="1">auto_pop!H1099</f>
        <v/>
      </c>
      <c r="G1099" s="33"/>
      <c r="H1099" s="33"/>
    </row>
    <row r="1100" spans="2:8" s="2" customFormat="1" ht="15" x14ac:dyDescent="0.25">
      <c r="B1100" s="21"/>
      <c r="C1100" s="22"/>
      <c r="D1100" s="29" t="str">
        <f t="shared" si="17"/>
        <v/>
      </c>
      <c r="E1100" s="22"/>
      <c r="F1100" s="22" t="str">
        <f ca="1">auto_pop!H1100</f>
        <v/>
      </c>
      <c r="G1100" s="33"/>
      <c r="H1100" s="33"/>
    </row>
    <row r="1101" spans="2:8" s="2" customFormat="1" ht="15" x14ac:dyDescent="0.25">
      <c r="B1101" s="21"/>
      <c r="C1101" s="22"/>
      <c r="D1101" s="29" t="str">
        <f t="shared" si="17"/>
        <v/>
      </c>
      <c r="E1101" s="22"/>
      <c r="F1101" s="22" t="str">
        <f ca="1">auto_pop!H1101</f>
        <v/>
      </c>
      <c r="G1101" s="33"/>
      <c r="H1101" s="33"/>
    </row>
    <row r="1102" spans="2:8" s="2" customFormat="1" ht="15" x14ac:dyDescent="0.25">
      <c r="B1102" s="21"/>
      <c r="C1102" s="22"/>
      <c r="D1102" s="29" t="str">
        <f t="shared" si="17"/>
        <v/>
      </c>
      <c r="E1102" s="22"/>
      <c r="F1102" s="22" t="str">
        <f ca="1">auto_pop!H1102</f>
        <v/>
      </c>
      <c r="G1102" s="33"/>
      <c r="H1102" s="33"/>
    </row>
    <row r="1103" spans="2:8" s="2" customFormat="1" ht="15" x14ac:dyDescent="0.25">
      <c r="B1103" s="21"/>
      <c r="C1103" s="22"/>
      <c r="D1103" s="29" t="str">
        <f t="shared" si="17"/>
        <v/>
      </c>
      <c r="E1103" s="22"/>
      <c r="F1103" s="22" t="str">
        <f ca="1">auto_pop!H1103</f>
        <v/>
      </c>
      <c r="G1103" s="33"/>
      <c r="H1103" s="33"/>
    </row>
    <row r="1104" spans="2:8" s="2" customFormat="1" ht="15" x14ac:dyDescent="0.25">
      <c r="B1104" s="21"/>
      <c r="C1104" s="22"/>
      <c r="D1104" s="29" t="str">
        <f t="shared" si="17"/>
        <v/>
      </c>
      <c r="E1104" s="22"/>
      <c r="F1104" s="22" t="str">
        <f ca="1">auto_pop!H1104</f>
        <v/>
      </c>
      <c r="G1104" s="33"/>
      <c r="H1104" s="33"/>
    </row>
    <row r="1105" spans="2:8" s="2" customFormat="1" ht="15" x14ac:dyDescent="0.25">
      <c r="B1105" s="21"/>
      <c r="C1105" s="22"/>
      <c r="D1105" s="29" t="str">
        <f t="shared" si="17"/>
        <v/>
      </c>
      <c r="E1105" s="22"/>
      <c r="F1105" s="22" t="str">
        <f ca="1">auto_pop!H1105</f>
        <v/>
      </c>
      <c r="G1105" s="33"/>
      <c r="H1105" s="33"/>
    </row>
    <row r="1106" spans="2:8" s="2" customFormat="1" ht="15" x14ac:dyDescent="0.25">
      <c r="B1106" s="21"/>
      <c r="C1106" s="22"/>
      <c r="D1106" s="29" t="str">
        <f t="shared" si="17"/>
        <v/>
      </c>
      <c r="E1106" s="22"/>
      <c r="F1106" s="22" t="str">
        <f ca="1">auto_pop!H1106</f>
        <v/>
      </c>
      <c r="G1106" s="33"/>
      <c r="H1106" s="33"/>
    </row>
    <row r="1107" spans="2:8" s="2" customFormat="1" ht="15" x14ac:dyDescent="0.25">
      <c r="B1107" s="21"/>
      <c r="C1107" s="22"/>
      <c r="D1107" s="29" t="str">
        <f t="shared" si="17"/>
        <v/>
      </c>
      <c r="E1107" s="22"/>
      <c r="F1107" s="22" t="str">
        <f ca="1">auto_pop!H1107</f>
        <v/>
      </c>
      <c r="G1107" s="33"/>
      <c r="H1107" s="33"/>
    </row>
    <row r="1108" spans="2:8" s="2" customFormat="1" ht="15" x14ac:dyDescent="0.25">
      <c r="B1108" s="21"/>
      <c r="C1108" s="22"/>
      <c r="D1108" s="29" t="str">
        <f t="shared" si="17"/>
        <v/>
      </c>
      <c r="E1108" s="22"/>
      <c r="F1108" s="22" t="str">
        <f ca="1">auto_pop!H1108</f>
        <v/>
      </c>
      <c r="G1108" s="33"/>
      <c r="H1108" s="33"/>
    </row>
    <row r="1109" spans="2:8" s="2" customFormat="1" ht="15" x14ac:dyDescent="0.25">
      <c r="B1109" s="21"/>
      <c r="C1109" s="22"/>
      <c r="D1109" s="29" t="str">
        <f t="shared" si="17"/>
        <v/>
      </c>
      <c r="E1109" s="22"/>
      <c r="F1109" s="22" t="str">
        <f ca="1">auto_pop!H1109</f>
        <v/>
      </c>
      <c r="G1109" s="33"/>
      <c r="H1109" s="33"/>
    </row>
    <row r="1110" spans="2:8" s="2" customFormat="1" ht="15" x14ac:dyDescent="0.25">
      <c r="B1110" s="21"/>
      <c r="C1110" s="22"/>
      <c r="D1110" s="29" t="str">
        <f t="shared" si="17"/>
        <v/>
      </c>
      <c r="E1110" s="22"/>
      <c r="F1110" s="22" t="str">
        <f ca="1">auto_pop!H1110</f>
        <v/>
      </c>
      <c r="G1110" s="33"/>
      <c r="H1110" s="33"/>
    </row>
    <row r="1111" spans="2:8" s="2" customFormat="1" ht="15" x14ac:dyDescent="0.25">
      <c r="B1111" s="21"/>
      <c r="C1111" s="22"/>
      <c r="D1111" s="29" t="str">
        <f t="shared" si="17"/>
        <v/>
      </c>
      <c r="E1111" s="22"/>
      <c r="F1111" s="22" t="str">
        <f ca="1">auto_pop!H1111</f>
        <v/>
      </c>
      <c r="G1111" s="33"/>
      <c r="H1111" s="33"/>
    </row>
    <row r="1112" spans="2:8" s="2" customFormat="1" ht="15" x14ac:dyDescent="0.25">
      <c r="B1112" s="21"/>
      <c r="C1112" s="22"/>
      <c r="D1112" s="29" t="str">
        <f t="shared" si="17"/>
        <v/>
      </c>
      <c r="E1112" s="22"/>
      <c r="F1112" s="22" t="str">
        <f ca="1">auto_pop!H1112</f>
        <v/>
      </c>
      <c r="G1112" s="33"/>
      <c r="H1112" s="33"/>
    </row>
    <row r="1113" spans="2:8" s="2" customFormat="1" ht="15" x14ac:dyDescent="0.25">
      <c r="B1113" s="21"/>
      <c r="C1113" s="22"/>
      <c r="D1113" s="29" t="str">
        <f t="shared" si="17"/>
        <v/>
      </c>
      <c r="E1113" s="22"/>
      <c r="F1113" s="22" t="str">
        <f ca="1">auto_pop!H1113</f>
        <v/>
      </c>
      <c r="G1113" s="33"/>
      <c r="H1113" s="33"/>
    </row>
    <row r="1114" spans="2:8" s="2" customFormat="1" ht="15" x14ac:dyDescent="0.25">
      <c r="B1114" s="21"/>
      <c r="C1114" s="22"/>
      <c r="D1114" s="29" t="str">
        <f t="shared" si="17"/>
        <v/>
      </c>
      <c r="E1114" s="22"/>
      <c r="F1114" s="22" t="str">
        <f ca="1">auto_pop!H1114</f>
        <v/>
      </c>
      <c r="G1114" s="33"/>
      <c r="H1114" s="33"/>
    </row>
    <row r="1115" spans="2:8" s="2" customFormat="1" ht="15" x14ac:dyDescent="0.25">
      <c r="B1115" s="21"/>
      <c r="C1115" s="22"/>
      <c r="D1115" s="29" t="str">
        <f t="shared" si="17"/>
        <v/>
      </c>
      <c r="E1115" s="22"/>
      <c r="F1115" s="22" t="str">
        <f ca="1">auto_pop!H1115</f>
        <v/>
      </c>
      <c r="G1115" s="33"/>
      <c r="H1115" s="33"/>
    </row>
    <row r="1116" spans="2:8" s="2" customFormat="1" ht="15" x14ac:dyDescent="0.25">
      <c r="B1116" s="21"/>
      <c r="C1116" s="22"/>
      <c r="D1116" s="29" t="str">
        <f t="shared" si="17"/>
        <v/>
      </c>
      <c r="E1116" s="22"/>
      <c r="F1116" s="22" t="str">
        <f ca="1">auto_pop!H1116</f>
        <v/>
      </c>
      <c r="G1116" s="33"/>
      <c r="H1116" s="33"/>
    </row>
    <row r="1117" spans="2:8" s="2" customFormat="1" ht="15" x14ac:dyDescent="0.25">
      <c r="B1117" s="21"/>
      <c r="C1117" s="22"/>
      <c r="D1117" s="29" t="str">
        <f t="shared" si="17"/>
        <v/>
      </c>
      <c r="E1117" s="22"/>
      <c r="F1117" s="22" t="str">
        <f ca="1">auto_pop!H1117</f>
        <v/>
      </c>
      <c r="G1117" s="33"/>
      <c r="H1117" s="33"/>
    </row>
    <row r="1118" spans="2:8" s="2" customFormat="1" ht="15" x14ac:dyDescent="0.25">
      <c r="B1118" s="21"/>
      <c r="C1118" s="22"/>
      <c r="D1118" s="29" t="str">
        <f t="shared" si="17"/>
        <v/>
      </c>
      <c r="E1118" s="22"/>
      <c r="F1118" s="22" t="str">
        <f ca="1">auto_pop!H1118</f>
        <v/>
      </c>
      <c r="G1118" s="33"/>
      <c r="H1118" s="33"/>
    </row>
    <row r="1119" spans="2:8" s="2" customFormat="1" ht="15" x14ac:dyDescent="0.25">
      <c r="B1119" s="21"/>
      <c r="C1119" s="22"/>
      <c r="D1119" s="29" t="str">
        <f t="shared" si="17"/>
        <v/>
      </c>
      <c r="E1119" s="22"/>
      <c r="F1119" s="22" t="str">
        <f ca="1">auto_pop!H1119</f>
        <v/>
      </c>
      <c r="G1119" s="33"/>
      <c r="H1119" s="33"/>
    </row>
    <row r="1120" spans="2:8" s="2" customFormat="1" ht="15" x14ac:dyDescent="0.25">
      <c r="B1120" s="21"/>
      <c r="C1120" s="22"/>
      <c r="D1120" s="29" t="str">
        <f t="shared" si="17"/>
        <v/>
      </c>
      <c r="E1120" s="22"/>
      <c r="F1120" s="22" t="str">
        <f ca="1">auto_pop!H1120</f>
        <v/>
      </c>
      <c r="G1120" s="33"/>
      <c r="H1120" s="33"/>
    </row>
    <row r="1121" spans="2:8" s="2" customFormat="1" ht="15" x14ac:dyDescent="0.25">
      <c r="B1121" s="21"/>
      <c r="C1121" s="22"/>
      <c r="D1121" s="29" t="str">
        <f t="shared" si="17"/>
        <v/>
      </c>
      <c r="E1121" s="22"/>
      <c r="F1121" s="22" t="str">
        <f ca="1">auto_pop!H1121</f>
        <v/>
      </c>
      <c r="G1121" s="33"/>
      <c r="H1121" s="33"/>
    </row>
    <row r="1122" spans="2:8" s="2" customFormat="1" ht="15" x14ac:dyDescent="0.25">
      <c r="B1122" s="21"/>
      <c r="C1122" s="22"/>
      <c r="D1122" s="29" t="str">
        <f t="shared" si="17"/>
        <v/>
      </c>
      <c r="E1122" s="22"/>
      <c r="F1122" s="22" t="str">
        <f ca="1">auto_pop!H1122</f>
        <v/>
      </c>
      <c r="G1122" s="33"/>
      <c r="H1122" s="33"/>
    </row>
    <row r="1123" spans="2:8" s="2" customFormat="1" ht="15" x14ac:dyDescent="0.25">
      <c r="B1123" s="21"/>
      <c r="C1123" s="22"/>
      <c r="D1123" s="29" t="str">
        <f t="shared" si="17"/>
        <v/>
      </c>
      <c r="E1123" s="22"/>
      <c r="F1123" s="22" t="str">
        <f ca="1">auto_pop!H1123</f>
        <v/>
      </c>
      <c r="G1123" s="33"/>
      <c r="H1123" s="33"/>
    </row>
    <row r="1124" spans="2:8" s="2" customFormat="1" ht="15" x14ac:dyDescent="0.25">
      <c r="B1124" s="21"/>
      <c r="C1124" s="22"/>
      <c r="D1124" s="29" t="str">
        <f t="shared" si="17"/>
        <v/>
      </c>
      <c r="E1124" s="22"/>
      <c r="F1124" s="22" t="str">
        <f ca="1">auto_pop!H1124</f>
        <v/>
      </c>
      <c r="G1124" s="33"/>
      <c r="H1124" s="33"/>
    </row>
    <row r="1125" spans="2:8" s="2" customFormat="1" ht="15" x14ac:dyDescent="0.25">
      <c r="B1125" s="21"/>
      <c r="C1125" s="22"/>
      <c r="D1125" s="29" t="str">
        <f t="shared" si="17"/>
        <v/>
      </c>
      <c r="E1125" s="22"/>
      <c r="F1125" s="22" t="str">
        <f ca="1">auto_pop!H1125</f>
        <v/>
      </c>
      <c r="G1125" s="33"/>
      <c r="H1125" s="33"/>
    </row>
    <row r="1126" spans="2:8" s="2" customFormat="1" ht="15" x14ac:dyDescent="0.25">
      <c r="B1126" s="21"/>
      <c r="C1126" s="22"/>
      <c r="D1126" s="29" t="str">
        <f t="shared" si="17"/>
        <v/>
      </c>
      <c r="E1126" s="22"/>
      <c r="F1126" s="22" t="str">
        <f ca="1">auto_pop!H1126</f>
        <v/>
      </c>
      <c r="G1126" s="33"/>
      <c r="H1126" s="33"/>
    </row>
    <row r="1127" spans="2:8" s="2" customFormat="1" ht="15" x14ac:dyDescent="0.25">
      <c r="B1127" s="21"/>
      <c r="C1127" s="22"/>
      <c r="D1127" s="29" t="str">
        <f t="shared" si="17"/>
        <v/>
      </c>
      <c r="E1127" s="22"/>
      <c r="F1127" s="22" t="str">
        <f ca="1">auto_pop!H1127</f>
        <v/>
      </c>
      <c r="G1127" s="33"/>
      <c r="H1127" s="33"/>
    </row>
    <row r="1128" spans="2:8" s="2" customFormat="1" ht="15" x14ac:dyDescent="0.25">
      <c r="B1128" s="21"/>
      <c r="C1128" s="22"/>
      <c r="D1128" s="29" t="str">
        <f t="shared" si="17"/>
        <v/>
      </c>
      <c r="E1128" s="22"/>
      <c r="F1128" s="22" t="str">
        <f ca="1">auto_pop!H1128</f>
        <v/>
      </c>
      <c r="G1128" s="33"/>
      <c r="H1128" s="33"/>
    </row>
    <row r="1129" spans="2:8" s="2" customFormat="1" ht="15" x14ac:dyDescent="0.25">
      <c r="B1129" s="21"/>
      <c r="C1129" s="22"/>
      <c r="D1129" s="29" t="str">
        <f t="shared" si="17"/>
        <v/>
      </c>
      <c r="E1129" s="22"/>
      <c r="F1129" s="22" t="str">
        <f ca="1">auto_pop!H1129</f>
        <v/>
      </c>
      <c r="G1129" s="33"/>
      <c r="H1129" s="33"/>
    </row>
    <row r="1130" spans="2:8" s="2" customFormat="1" ht="15" x14ac:dyDescent="0.25">
      <c r="B1130" s="21"/>
      <c r="C1130" s="22"/>
      <c r="D1130" s="29" t="str">
        <f t="shared" si="17"/>
        <v/>
      </c>
      <c r="E1130" s="22"/>
      <c r="F1130" s="22" t="str">
        <f ca="1">auto_pop!H1130</f>
        <v/>
      </c>
      <c r="G1130" s="33"/>
      <c r="H1130" s="33"/>
    </row>
    <row r="1131" spans="2:8" s="2" customFormat="1" ht="15" x14ac:dyDescent="0.25">
      <c r="B1131" s="21"/>
      <c r="C1131" s="22"/>
      <c r="D1131" s="29" t="str">
        <f t="shared" si="17"/>
        <v/>
      </c>
      <c r="E1131" s="22"/>
      <c r="F1131" s="22" t="str">
        <f ca="1">auto_pop!H1131</f>
        <v/>
      </c>
      <c r="G1131" s="33"/>
      <c r="H1131" s="33"/>
    </row>
    <row r="1132" spans="2:8" s="2" customFormat="1" ht="15" x14ac:dyDescent="0.25">
      <c r="B1132" s="21"/>
      <c r="C1132" s="22"/>
      <c r="D1132" s="29" t="str">
        <f t="shared" si="17"/>
        <v/>
      </c>
      <c r="E1132" s="22"/>
      <c r="F1132" s="22" t="str">
        <f ca="1">auto_pop!H1132</f>
        <v/>
      </c>
      <c r="G1132" s="33"/>
      <c r="H1132" s="33"/>
    </row>
    <row r="1133" spans="2:8" s="2" customFormat="1" ht="15" x14ac:dyDescent="0.25">
      <c r="B1133" s="21"/>
      <c r="C1133" s="22"/>
      <c r="D1133" s="29" t="str">
        <f t="shared" si="17"/>
        <v/>
      </c>
      <c r="E1133" s="22"/>
      <c r="F1133" s="22" t="str">
        <f ca="1">auto_pop!H1133</f>
        <v/>
      </c>
      <c r="G1133" s="33"/>
      <c r="H1133" s="33"/>
    </row>
    <row r="1134" spans="2:8" s="2" customFormat="1" ht="15" x14ac:dyDescent="0.25">
      <c r="B1134" s="21"/>
      <c r="C1134" s="22"/>
      <c r="D1134" s="29" t="str">
        <f t="shared" si="17"/>
        <v/>
      </c>
      <c r="E1134" s="22"/>
      <c r="F1134" s="22" t="str">
        <f ca="1">auto_pop!H1134</f>
        <v/>
      </c>
      <c r="G1134" s="33"/>
      <c r="H1134" s="33"/>
    </row>
    <row r="1135" spans="2:8" s="2" customFormat="1" ht="15" x14ac:dyDescent="0.25">
      <c r="B1135" s="21"/>
      <c r="C1135" s="22"/>
      <c r="D1135" s="29" t="str">
        <f t="shared" si="17"/>
        <v/>
      </c>
      <c r="E1135" s="22"/>
      <c r="F1135" s="22" t="str">
        <f ca="1">auto_pop!H1135</f>
        <v/>
      </c>
      <c r="G1135" s="33"/>
      <c r="H1135" s="33"/>
    </row>
    <row r="1136" spans="2:8" s="2" customFormat="1" ht="15" x14ac:dyDescent="0.25">
      <c r="B1136" s="21"/>
      <c r="C1136" s="22"/>
      <c r="D1136" s="29" t="str">
        <f t="shared" si="17"/>
        <v/>
      </c>
      <c r="E1136" s="22"/>
      <c r="F1136" s="22" t="str">
        <f ca="1">auto_pop!H1136</f>
        <v/>
      </c>
      <c r="G1136" s="33"/>
      <c r="H1136" s="33"/>
    </row>
    <row r="1137" spans="2:8" s="2" customFormat="1" ht="15" x14ac:dyDescent="0.25">
      <c r="B1137" s="21"/>
      <c r="C1137" s="22"/>
      <c r="D1137" s="29" t="str">
        <f t="shared" si="17"/>
        <v/>
      </c>
      <c r="E1137" s="22"/>
      <c r="F1137" s="22" t="str">
        <f ca="1">auto_pop!H1137</f>
        <v/>
      </c>
      <c r="G1137" s="33"/>
      <c r="H1137" s="33"/>
    </row>
    <row r="1138" spans="2:8" s="2" customFormat="1" ht="15" x14ac:dyDescent="0.25">
      <c r="B1138" s="21"/>
      <c r="C1138" s="22"/>
      <c r="D1138" s="29" t="str">
        <f t="shared" si="17"/>
        <v/>
      </c>
      <c r="E1138" s="22"/>
      <c r="F1138" s="22" t="str">
        <f ca="1">auto_pop!H1138</f>
        <v/>
      </c>
      <c r="G1138" s="33"/>
      <c r="H1138" s="33"/>
    </row>
    <row r="1139" spans="2:8" s="2" customFormat="1" ht="15" x14ac:dyDescent="0.25">
      <c r="B1139" s="21"/>
      <c r="C1139" s="22"/>
      <c r="D1139" s="29" t="str">
        <f t="shared" si="17"/>
        <v/>
      </c>
      <c r="E1139" s="22"/>
      <c r="F1139" s="22" t="str">
        <f ca="1">auto_pop!H1139</f>
        <v/>
      </c>
      <c r="G1139" s="33"/>
      <c r="H1139" s="33"/>
    </row>
    <row r="1140" spans="2:8" s="2" customFormat="1" ht="15" x14ac:dyDescent="0.25">
      <c r="B1140" s="21"/>
      <c r="C1140" s="22"/>
      <c r="D1140" s="29" t="str">
        <f t="shared" si="17"/>
        <v/>
      </c>
      <c r="E1140" s="22"/>
      <c r="F1140" s="22" t="str">
        <f ca="1">auto_pop!H1140</f>
        <v/>
      </c>
      <c r="G1140" s="33"/>
      <c r="H1140" s="33"/>
    </row>
    <row r="1141" spans="2:8" s="2" customFormat="1" ht="15" x14ac:dyDescent="0.25">
      <c r="B1141" s="21"/>
      <c r="C1141" s="22"/>
      <c r="D1141" s="29" t="str">
        <f t="shared" si="17"/>
        <v/>
      </c>
      <c r="E1141" s="22"/>
      <c r="F1141" s="22" t="str">
        <f ca="1">auto_pop!H1141</f>
        <v/>
      </c>
      <c r="G1141" s="33"/>
      <c r="H1141" s="33"/>
    </row>
    <row r="1142" spans="2:8" s="2" customFormat="1" ht="15" x14ac:dyDescent="0.25">
      <c r="B1142" s="21"/>
      <c r="C1142" s="22"/>
      <c r="D1142" s="29" t="str">
        <f t="shared" si="17"/>
        <v/>
      </c>
      <c r="E1142" s="22"/>
      <c r="F1142" s="22" t="str">
        <f ca="1">auto_pop!H1142</f>
        <v/>
      </c>
      <c r="G1142" s="33"/>
      <c r="H1142" s="33"/>
    </row>
    <row r="1143" spans="2:8" s="2" customFormat="1" ht="15" x14ac:dyDescent="0.25">
      <c r="B1143" s="21"/>
      <c r="C1143" s="22"/>
      <c r="D1143" s="29" t="str">
        <f t="shared" si="17"/>
        <v/>
      </c>
      <c r="E1143" s="22"/>
      <c r="F1143" s="22" t="str">
        <f ca="1">auto_pop!H1143</f>
        <v/>
      </c>
      <c r="G1143" s="33"/>
      <c r="H1143" s="33"/>
    </row>
    <row r="1144" spans="2:8" s="2" customFormat="1" ht="15" x14ac:dyDescent="0.25">
      <c r="B1144" s="21"/>
      <c r="C1144" s="22"/>
      <c r="D1144" s="29" t="str">
        <f t="shared" si="17"/>
        <v/>
      </c>
      <c r="E1144" s="22"/>
      <c r="F1144" s="22" t="str">
        <f ca="1">auto_pop!H1144</f>
        <v/>
      </c>
      <c r="G1144" s="33"/>
      <c r="H1144" s="33"/>
    </row>
    <row r="1145" spans="2:8" s="2" customFormat="1" ht="15" x14ac:dyDescent="0.25">
      <c r="B1145" s="21"/>
      <c r="C1145" s="22"/>
      <c r="D1145" s="29" t="str">
        <f t="shared" si="17"/>
        <v/>
      </c>
      <c r="E1145" s="22"/>
      <c r="F1145" s="22" t="str">
        <f ca="1">auto_pop!H1145</f>
        <v/>
      </c>
      <c r="G1145" s="33"/>
      <c r="H1145" s="33"/>
    </row>
    <row r="1146" spans="2:8" s="2" customFormat="1" ht="15" x14ac:dyDescent="0.25">
      <c r="B1146" s="21"/>
      <c r="C1146" s="22"/>
      <c r="D1146" s="29" t="str">
        <f t="shared" si="17"/>
        <v/>
      </c>
      <c r="E1146" s="22"/>
      <c r="F1146" s="22" t="str">
        <f ca="1">auto_pop!H1146</f>
        <v/>
      </c>
      <c r="G1146" s="33"/>
      <c r="H1146" s="33"/>
    </row>
    <row r="1147" spans="2:8" s="2" customFormat="1" ht="15" x14ac:dyDescent="0.25">
      <c r="B1147" s="21"/>
      <c r="C1147" s="22"/>
      <c r="D1147" s="29" t="str">
        <f t="shared" si="17"/>
        <v/>
      </c>
      <c r="E1147" s="22"/>
      <c r="F1147" s="22" t="str">
        <f ca="1">auto_pop!H1147</f>
        <v/>
      </c>
      <c r="G1147" s="33"/>
      <c r="H1147" s="33"/>
    </row>
    <row r="1148" spans="2:8" s="2" customFormat="1" ht="15" x14ac:dyDescent="0.25">
      <c r="B1148" s="21"/>
      <c r="C1148" s="22"/>
      <c r="D1148" s="29" t="str">
        <f t="shared" si="17"/>
        <v/>
      </c>
      <c r="E1148" s="22"/>
      <c r="F1148" s="22" t="str">
        <f ca="1">auto_pop!H1148</f>
        <v/>
      </c>
      <c r="G1148" s="33"/>
      <c r="H1148" s="33"/>
    </row>
    <row r="1149" spans="2:8" s="2" customFormat="1" ht="15" x14ac:dyDescent="0.25">
      <c r="B1149" s="21"/>
      <c r="C1149" s="22"/>
      <c r="D1149" s="29" t="str">
        <f t="shared" si="17"/>
        <v/>
      </c>
      <c r="E1149" s="22"/>
      <c r="F1149" s="22" t="str">
        <f ca="1">auto_pop!H1149</f>
        <v/>
      </c>
      <c r="G1149" s="33"/>
      <c r="H1149" s="33"/>
    </row>
    <row r="1150" spans="2:8" s="2" customFormat="1" ht="15" x14ac:dyDescent="0.25">
      <c r="B1150" s="21"/>
      <c r="C1150" s="22"/>
      <c r="D1150" s="29" t="str">
        <f t="shared" si="17"/>
        <v/>
      </c>
      <c r="E1150" s="22"/>
      <c r="F1150" s="22" t="str">
        <f ca="1">auto_pop!H1150</f>
        <v/>
      </c>
      <c r="G1150" s="33"/>
      <c r="H1150" s="33"/>
    </row>
    <row r="1151" spans="2:8" s="2" customFormat="1" ht="15" x14ac:dyDescent="0.25">
      <c r="B1151" s="21"/>
      <c r="C1151" s="22"/>
      <c r="D1151" s="29" t="str">
        <f t="shared" si="17"/>
        <v/>
      </c>
      <c r="E1151" s="22"/>
      <c r="F1151" s="22" t="str">
        <f ca="1">auto_pop!H1151</f>
        <v/>
      </c>
      <c r="G1151" s="33"/>
      <c r="H1151" s="33"/>
    </row>
    <row r="1152" spans="2:8" s="2" customFormat="1" ht="15" x14ac:dyDescent="0.25">
      <c r="B1152" s="21"/>
      <c r="C1152" s="22"/>
      <c r="D1152" s="29" t="str">
        <f t="shared" si="17"/>
        <v/>
      </c>
      <c r="E1152" s="22"/>
      <c r="F1152" s="22" t="str">
        <f ca="1">auto_pop!H1152</f>
        <v/>
      </c>
      <c r="G1152" s="33"/>
      <c r="H1152" s="33"/>
    </row>
    <row r="1153" spans="2:8" s="2" customFormat="1" ht="15" x14ac:dyDescent="0.25">
      <c r="B1153" s="21"/>
      <c r="C1153" s="22"/>
      <c r="D1153" s="29" t="str">
        <f t="shared" si="17"/>
        <v/>
      </c>
      <c r="E1153" s="22"/>
      <c r="F1153" s="22" t="str">
        <f ca="1">auto_pop!H1153</f>
        <v/>
      </c>
      <c r="G1153" s="33"/>
      <c r="H1153" s="33"/>
    </row>
    <row r="1154" spans="2:8" s="2" customFormat="1" ht="15" x14ac:dyDescent="0.25">
      <c r="B1154" s="21"/>
      <c r="C1154" s="22"/>
      <c r="D1154" s="29" t="str">
        <f t="shared" si="17"/>
        <v/>
      </c>
      <c r="E1154" s="22"/>
      <c r="F1154" s="22" t="str">
        <f ca="1">auto_pop!H1154</f>
        <v/>
      </c>
      <c r="G1154" s="33"/>
      <c r="H1154" s="33"/>
    </row>
    <row r="1155" spans="2:8" s="2" customFormat="1" ht="15" x14ac:dyDescent="0.25">
      <c r="B1155" s="21"/>
      <c r="C1155" s="22"/>
      <c r="D1155" s="29" t="str">
        <f t="shared" si="17"/>
        <v/>
      </c>
      <c r="E1155" s="22"/>
      <c r="F1155" s="22" t="str">
        <f ca="1">auto_pop!H1155</f>
        <v/>
      </c>
      <c r="G1155" s="33"/>
      <c r="H1155" s="33"/>
    </row>
    <row r="1156" spans="2:8" s="2" customFormat="1" ht="15" x14ac:dyDescent="0.25">
      <c r="B1156" s="21"/>
      <c r="C1156" s="22"/>
      <c r="D1156" s="29" t="str">
        <f t="shared" ref="D1156:D1219" si="18">IF(C1156&lt;&gt;"", IF(OR(C1156="Chapin", C1156="Oatka", C1156="Seneca"), "", 1), "")</f>
        <v/>
      </c>
      <c r="E1156" s="22"/>
      <c r="F1156" s="22" t="str">
        <f ca="1">auto_pop!H1156</f>
        <v/>
      </c>
      <c r="G1156" s="33"/>
      <c r="H1156" s="33"/>
    </row>
    <row r="1157" spans="2:8" s="2" customFormat="1" ht="15" x14ac:dyDescent="0.25">
      <c r="B1157" s="21"/>
      <c r="C1157" s="22"/>
      <c r="D1157" s="29" t="str">
        <f t="shared" si="18"/>
        <v/>
      </c>
      <c r="E1157" s="22"/>
      <c r="F1157" s="22" t="str">
        <f ca="1">auto_pop!H1157</f>
        <v/>
      </c>
      <c r="G1157" s="33"/>
      <c r="H1157" s="33"/>
    </row>
    <row r="1158" spans="2:8" s="2" customFormat="1" ht="15" x14ac:dyDescent="0.25">
      <c r="B1158" s="21"/>
      <c r="C1158" s="22"/>
      <c r="D1158" s="29" t="str">
        <f t="shared" si="18"/>
        <v/>
      </c>
      <c r="E1158" s="22"/>
      <c r="F1158" s="22" t="str">
        <f ca="1">auto_pop!H1158</f>
        <v/>
      </c>
      <c r="G1158" s="33"/>
      <c r="H1158" s="33"/>
    </row>
    <row r="1159" spans="2:8" s="2" customFormat="1" ht="15" x14ac:dyDescent="0.25">
      <c r="B1159" s="21"/>
      <c r="C1159" s="22"/>
      <c r="D1159" s="29" t="str">
        <f t="shared" si="18"/>
        <v/>
      </c>
      <c r="E1159" s="22"/>
      <c r="F1159" s="22" t="str">
        <f ca="1">auto_pop!H1159</f>
        <v/>
      </c>
      <c r="G1159" s="33"/>
      <c r="H1159" s="33"/>
    </row>
    <row r="1160" spans="2:8" s="2" customFormat="1" ht="15" x14ac:dyDescent="0.25">
      <c r="B1160" s="21"/>
      <c r="C1160" s="22"/>
      <c r="D1160" s="29" t="str">
        <f t="shared" si="18"/>
        <v/>
      </c>
      <c r="E1160" s="22"/>
      <c r="F1160" s="22" t="str">
        <f ca="1">auto_pop!H1160</f>
        <v/>
      </c>
      <c r="G1160" s="33"/>
      <c r="H1160" s="33"/>
    </row>
    <row r="1161" spans="2:8" s="2" customFormat="1" ht="15" x14ac:dyDescent="0.25">
      <c r="B1161" s="21"/>
      <c r="C1161" s="22"/>
      <c r="D1161" s="29" t="str">
        <f t="shared" si="18"/>
        <v/>
      </c>
      <c r="E1161" s="22"/>
      <c r="F1161" s="22" t="str">
        <f ca="1">auto_pop!H1161</f>
        <v/>
      </c>
      <c r="G1161" s="33"/>
      <c r="H1161" s="33"/>
    </row>
    <row r="1162" spans="2:8" s="2" customFormat="1" ht="15" x14ac:dyDescent="0.25">
      <c r="B1162" s="21"/>
      <c r="C1162" s="22"/>
      <c r="D1162" s="29" t="str">
        <f t="shared" si="18"/>
        <v/>
      </c>
      <c r="E1162" s="22"/>
      <c r="F1162" s="22" t="str">
        <f ca="1">auto_pop!H1162</f>
        <v/>
      </c>
      <c r="G1162" s="33"/>
      <c r="H1162" s="33"/>
    </row>
    <row r="1163" spans="2:8" s="2" customFormat="1" ht="15" x14ac:dyDescent="0.25">
      <c r="B1163" s="21"/>
      <c r="C1163" s="22"/>
      <c r="D1163" s="29" t="str">
        <f t="shared" si="18"/>
        <v/>
      </c>
      <c r="E1163" s="22"/>
      <c r="F1163" s="22" t="str">
        <f ca="1">auto_pop!H1163</f>
        <v/>
      </c>
      <c r="G1163" s="33"/>
      <c r="H1163" s="33"/>
    </row>
    <row r="1164" spans="2:8" s="2" customFormat="1" ht="15" x14ac:dyDescent="0.25">
      <c r="B1164" s="21"/>
      <c r="C1164" s="22"/>
      <c r="D1164" s="29" t="str">
        <f t="shared" si="18"/>
        <v/>
      </c>
      <c r="E1164" s="22"/>
      <c r="F1164" s="22" t="str">
        <f ca="1">auto_pop!H1164</f>
        <v/>
      </c>
      <c r="G1164" s="33"/>
      <c r="H1164" s="33"/>
    </row>
    <row r="1165" spans="2:8" s="2" customFormat="1" ht="15" x14ac:dyDescent="0.25">
      <c r="B1165" s="21"/>
      <c r="C1165" s="22"/>
      <c r="D1165" s="29" t="str">
        <f t="shared" si="18"/>
        <v/>
      </c>
      <c r="E1165" s="22"/>
      <c r="F1165" s="22" t="str">
        <f ca="1">auto_pop!H1165</f>
        <v/>
      </c>
      <c r="G1165" s="33"/>
      <c r="H1165" s="33"/>
    </row>
    <row r="1166" spans="2:8" s="2" customFormat="1" ht="15" x14ac:dyDescent="0.25">
      <c r="B1166" s="21"/>
      <c r="C1166" s="22"/>
      <c r="D1166" s="29" t="str">
        <f t="shared" si="18"/>
        <v/>
      </c>
      <c r="E1166" s="22"/>
      <c r="F1166" s="22" t="str">
        <f ca="1">auto_pop!H1166</f>
        <v/>
      </c>
      <c r="G1166" s="33"/>
      <c r="H1166" s="33"/>
    </row>
    <row r="1167" spans="2:8" s="2" customFormat="1" ht="15" x14ac:dyDescent="0.25">
      <c r="B1167" s="21"/>
      <c r="C1167" s="22"/>
      <c r="D1167" s="29" t="str">
        <f t="shared" si="18"/>
        <v/>
      </c>
      <c r="E1167" s="22"/>
      <c r="F1167" s="22" t="str">
        <f ca="1">auto_pop!H1167</f>
        <v/>
      </c>
      <c r="G1167" s="33"/>
      <c r="H1167" s="33"/>
    </row>
    <row r="1168" spans="2:8" s="2" customFormat="1" ht="15" x14ac:dyDescent="0.25">
      <c r="B1168" s="21"/>
      <c r="C1168" s="22"/>
      <c r="D1168" s="29" t="str">
        <f t="shared" si="18"/>
        <v/>
      </c>
      <c r="E1168" s="22"/>
      <c r="F1168" s="22" t="str">
        <f ca="1">auto_pop!H1168</f>
        <v/>
      </c>
      <c r="G1168" s="33"/>
      <c r="H1168" s="33"/>
    </row>
    <row r="1169" spans="2:8" s="2" customFormat="1" ht="15" x14ac:dyDescent="0.25">
      <c r="B1169" s="21"/>
      <c r="C1169" s="22"/>
      <c r="D1169" s="29" t="str">
        <f t="shared" si="18"/>
        <v/>
      </c>
      <c r="E1169" s="22"/>
      <c r="F1169" s="22" t="str">
        <f ca="1">auto_pop!H1169</f>
        <v/>
      </c>
      <c r="G1169" s="33"/>
      <c r="H1169" s="33"/>
    </row>
    <row r="1170" spans="2:8" s="2" customFormat="1" ht="15" x14ac:dyDescent="0.25">
      <c r="B1170" s="21"/>
      <c r="C1170" s="22"/>
      <c r="D1170" s="29" t="str">
        <f t="shared" si="18"/>
        <v/>
      </c>
      <c r="E1170" s="22"/>
      <c r="F1170" s="22" t="str">
        <f ca="1">auto_pop!H1170</f>
        <v/>
      </c>
      <c r="G1170" s="33"/>
      <c r="H1170" s="33"/>
    </row>
    <row r="1171" spans="2:8" s="2" customFormat="1" ht="15" x14ac:dyDescent="0.25">
      <c r="B1171" s="21"/>
      <c r="C1171" s="22"/>
      <c r="D1171" s="29" t="str">
        <f t="shared" si="18"/>
        <v/>
      </c>
      <c r="E1171" s="22"/>
      <c r="F1171" s="22" t="str">
        <f ca="1">auto_pop!H1171</f>
        <v/>
      </c>
      <c r="G1171" s="33"/>
      <c r="H1171" s="33"/>
    </row>
    <row r="1172" spans="2:8" s="2" customFormat="1" ht="15" x14ac:dyDescent="0.25">
      <c r="B1172" s="21"/>
      <c r="C1172" s="22"/>
      <c r="D1172" s="29" t="str">
        <f t="shared" si="18"/>
        <v/>
      </c>
      <c r="E1172" s="22"/>
      <c r="F1172" s="22" t="str">
        <f ca="1">auto_pop!H1172</f>
        <v/>
      </c>
      <c r="G1172" s="33"/>
      <c r="H1172" s="33"/>
    </row>
    <row r="1173" spans="2:8" s="2" customFormat="1" ht="15" x14ac:dyDescent="0.25">
      <c r="B1173" s="21"/>
      <c r="C1173" s="22"/>
      <c r="D1173" s="29" t="str">
        <f t="shared" si="18"/>
        <v/>
      </c>
      <c r="E1173" s="22"/>
      <c r="F1173" s="22" t="str">
        <f ca="1">auto_pop!H1173</f>
        <v/>
      </c>
      <c r="G1173" s="33"/>
      <c r="H1173" s="33"/>
    </row>
    <row r="1174" spans="2:8" s="2" customFormat="1" ht="15" x14ac:dyDescent="0.25">
      <c r="B1174" s="21"/>
      <c r="C1174" s="22"/>
      <c r="D1174" s="29" t="str">
        <f t="shared" si="18"/>
        <v/>
      </c>
      <c r="E1174" s="22"/>
      <c r="F1174" s="22" t="str">
        <f ca="1">auto_pop!H1174</f>
        <v/>
      </c>
      <c r="G1174" s="33"/>
      <c r="H1174" s="33"/>
    </row>
    <row r="1175" spans="2:8" s="2" customFormat="1" ht="15" x14ac:dyDescent="0.25">
      <c r="B1175" s="21"/>
      <c r="C1175" s="22"/>
      <c r="D1175" s="29" t="str">
        <f t="shared" si="18"/>
        <v/>
      </c>
      <c r="E1175" s="22"/>
      <c r="F1175" s="22" t="str">
        <f ca="1">auto_pop!H1175</f>
        <v/>
      </c>
      <c r="G1175" s="33"/>
      <c r="H1175" s="33"/>
    </row>
    <row r="1176" spans="2:8" s="2" customFormat="1" ht="15" x14ac:dyDescent="0.25">
      <c r="B1176" s="21"/>
      <c r="C1176" s="22"/>
      <c r="D1176" s="29" t="str">
        <f t="shared" si="18"/>
        <v/>
      </c>
      <c r="E1176" s="22"/>
      <c r="F1176" s="22" t="str">
        <f ca="1">auto_pop!H1176</f>
        <v/>
      </c>
      <c r="G1176" s="33"/>
      <c r="H1176" s="33"/>
    </row>
    <row r="1177" spans="2:8" s="2" customFormat="1" ht="15" x14ac:dyDescent="0.25">
      <c r="B1177" s="21"/>
      <c r="C1177" s="22"/>
      <c r="D1177" s="29" t="str">
        <f t="shared" si="18"/>
        <v/>
      </c>
      <c r="E1177" s="22"/>
      <c r="F1177" s="22" t="str">
        <f ca="1">auto_pop!H1177</f>
        <v/>
      </c>
      <c r="G1177" s="33"/>
      <c r="H1177" s="33"/>
    </row>
    <row r="1178" spans="2:8" s="2" customFormat="1" ht="15" x14ac:dyDescent="0.25">
      <c r="B1178" s="21"/>
      <c r="C1178" s="22"/>
      <c r="D1178" s="29" t="str">
        <f t="shared" si="18"/>
        <v/>
      </c>
      <c r="E1178" s="22"/>
      <c r="F1178" s="22" t="str">
        <f ca="1">auto_pop!H1178</f>
        <v/>
      </c>
      <c r="G1178" s="33"/>
      <c r="H1178" s="33"/>
    </row>
    <row r="1179" spans="2:8" s="2" customFormat="1" ht="15" x14ac:dyDescent="0.25">
      <c r="B1179" s="21"/>
      <c r="C1179" s="22"/>
      <c r="D1179" s="29" t="str">
        <f t="shared" si="18"/>
        <v/>
      </c>
      <c r="E1179" s="22"/>
      <c r="F1179" s="22" t="str">
        <f ca="1">auto_pop!H1179</f>
        <v/>
      </c>
      <c r="G1179" s="33"/>
      <c r="H1179" s="33"/>
    </row>
    <row r="1180" spans="2:8" s="2" customFormat="1" ht="15" x14ac:dyDescent="0.25">
      <c r="B1180" s="21"/>
      <c r="C1180" s="22"/>
      <c r="D1180" s="29" t="str">
        <f t="shared" si="18"/>
        <v/>
      </c>
      <c r="E1180" s="22"/>
      <c r="F1180" s="22" t="str">
        <f ca="1">auto_pop!H1180</f>
        <v/>
      </c>
      <c r="G1180" s="33"/>
      <c r="H1180" s="33"/>
    </row>
    <row r="1181" spans="2:8" s="2" customFormat="1" ht="15" x14ac:dyDescent="0.25">
      <c r="B1181" s="21"/>
      <c r="C1181" s="22"/>
      <c r="D1181" s="29" t="str">
        <f t="shared" si="18"/>
        <v/>
      </c>
      <c r="E1181" s="22"/>
      <c r="F1181" s="22" t="str">
        <f ca="1">auto_pop!H1181</f>
        <v/>
      </c>
      <c r="G1181" s="33"/>
      <c r="H1181" s="33"/>
    </row>
    <row r="1182" spans="2:8" s="2" customFormat="1" ht="15" x14ac:dyDescent="0.25">
      <c r="B1182" s="21"/>
      <c r="C1182" s="22"/>
      <c r="D1182" s="29" t="str">
        <f t="shared" si="18"/>
        <v/>
      </c>
      <c r="E1182" s="22"/>
      <c r="F1182" s="22" t="str">
        <f ca="1">auto_pop!H1182</f>
        <v/>
      </c>
      <c r="G1182" s="33"/>
      <c r="H1182" s="33"/>
    </row>
    <row r="1183" spans="2:8" s="2" customFormat="1" ht="15" x14ac:dyDescent="0.25">
      <c r="B1183" s="21"/>
      <c r="C1183" s="22"/>
      <c r="D1183" s="29" t="str">
        <f t="shared" si="18"/>
        <v/>
      </c>
      <c r="E1183" s="22"/>
      <c r="F1183" s="22" t="str">
        <f ca="1">auto_pop!H1183</f>
        <v/>
      </c>
      <c r="G1183" s="33"/>
      <c r="H1183" s="33"/>
    </row>
    <row r="1184" spans="2:8" s="2" customFormat="1" ht="15" x14ac:dyDescent="0.25">
      <c r="B1184" s="21"/>
      <c r="C1184" s="22"/>
      <c r="D1184" s="29" t="str">
        <f t="shared" si="18"/>
        <v/>
      </c>
      <c r="E1184" s="22"/>
      <c r="F1184" s="22" t="str">
        <f ca="1">auto_pop!H1184</f>
        <v/>
      </c>
      <c r="G1184" s="33"/>
      <c r="H1184" s="33"/>
    </row>
    <row r="1185" spans="2:8" s="2" customFormat="1" ht="15" x14ac:dyDescent="0.25">
      <c r="B1185" s="21"/>
      <c r="C1185" s="22"/>
      <c r="D1185" s="29" t="str">
        <f t="shared" si="18"/>
        <v/>
      </c>
      <c r="E1185" s="22"/>
      <c r="F1185" s="22" t="str">
        <f ca="1">auto_pop!H1185</f>
        <v/>
      </c>
      <c r="G1185" s="33"/>
      <c r="H1185" s="33"/>
    </row>
    <row r="1186" spans="2:8" s="2" customFormat="1" ht="15" x14ac:dyDescent="0.25">
      <c r="B1186" s="21"/>
      <c r="C1186" s="22"/>
      <c r="D1186" s="29" t="str">
        <f t="shared" si="18"/>
        <v/>
      </c>
      <c r="E1186" s="22"/>
      <c r="F1186" s="22" t="str">
        <f ca="1">auto_pop!H1186</f>
        <v/>
      </c>
      <c r="G1186" s="33"/>
      <c r="H1186" s="33"/>
    </row>
    <row r="1187" spans="2:8" s="2" customFormat="1" ht="15" x14ac:dyDescent="0.25">
      <c r="B1187" s="21"/>
      <c r="C1187" s="22"/>
      <c r="D1187" s="29" t="str">
        <f t="shared" si="18"/>
        <v/>
      </c>
      <c r="E1187" s="22"/>
      <c r="F1187" s="22" t="str">
        <f ca="1">auto_pop!H1187</f>
        <v/>
      </c>
      <c r="G1187" s="33"/>
      <c r="H1187" s="33"/>
    </row>
    <row r="1188" spans="2:8" s="2" customFormat="1" ht="15" x14ac:dyDescent="0.25">
      <c r="B1188" s="21"/>
      <c r="C1188" s="22"/>
      <c r="D1188" s="29" t="str">
        <f t="shared" si="18"/>
        <v/>
      </c>
      <c r="E1188" s="22"/>
      <c r="F1188" s="22" t="str">
        <f ca="1">auto_pop!H1188</f>
        <v/>
      </c>
      <c r="G1188" s="33"/>
      <c r="H1188" s="33"/>
    </row>
    <row r="1189" spans="2:8" s="2" customFormat="1" ht="15" x14ac:dyDescent="0.25">
      <c r="B1189" s="21"/>
      <c r="C1189" s="22"/>
      <c r="D1189" s="29" t="str">
        <f t="shared" si="18"/>
        <v/>
      </c>
      <c r="E1189" s="22"/>
      <c r="F1189" s="22" t="str">
        <f ca="1">auto_pop!H1189</f>
        <v/>
      </c>
      <c r="G1189" s="33"/>
      <c r="H1189" s="33"/>
    </row>
    <row r="1190" spans="2:8" s="2" customFormat="1" ht="15" x14ac:dyDescent="0.25">
      <c r="B1190" s="21"/>
      <c r="C1190" s="22"/>
      <c r="D1190" s="29" t="str">
        <f t="shared" si="18"/>
        <v/>
      </c>
      <c r="E1190" s="22"/>
      <c r="F1190" s="22" t="str">
        <f ca="1">auto_pop!H1190</f>
        <v/>
      </c>
      <c r="G1190" s="33"/>
      <c r="H1190" s="33"/>
    </row>
    <row r="1191" spans="2:8" s="2" customFormat="1" ht="15" x14ac:dyDescent="0.25">
      <c r="B1191" s="21"/>
      <c r="C1191" s="22"/>
      <c r="D1191" s="29" t="str">
        <f t="shared" si="18"/>
        <v/>
      </c>
      <c r="E1191" s="22"/>
      <c r="F1191" s="22" t="str">
        <f ca="1">auto_pop!H1191</f>
        <v/>
      </c>
      <c r="G1191" s="33"/>
      <c r="H1191" s="33"/>
    </row>
    <row r="1192" spans="2:8" s="2" customFormat="1" ht="15" x14ac:dyDescent="0.25">
      <c r="B1192" s="21"/>
      <c r="C1192" s="22"/>
      <c r="D1192" s="29" t="str">
        <f t="shared" si="18"/>
        <v/>
      </c>
      <c r="E1192" s="22"/>
      <c r="F1192" s="22" t="str">
        <f ca="1">auto_pop!H1192</f>
        <v/>
      </c>
      <c r="G1192" s="33"/>
      <c r="H1192" s="33"/>
    </row>
    <row r="1193" spans="2:8" s="2" customFormat="1" ht="15" x14ac:dyDescent="0.25">
      <c r="B1193" s="21"/>
      <c r="C1193" s="22"/>
      <c r="D1193" s="29" t="str">
        <f t="shared" si="18"/>
        <v/>
      </c>
      <c r="E1193" s="22"/>
      <c r="F1193" s="22" t="str">
        <f ca="1">auto_pop!H1193</f>
        <v/>
      </c>
      <c r="G1193" s="33"/>
      <c r="H1193" s="33"/>
    </row>
    <row r="1194" spans="2:8" s="2" customFormat="1" ht="15" x14ac:dyDescent="0.25">
      <c r="B1194" s="21"/>
      <c r="C1194" s="22"/>
      <c r="D1194" s="29" t="str">
        <f t="shared" si="18"/>
        <v/>
      </c>
      <c r="E1194" s="22"/>
      <c r="F1194" s="22" t="str">
        <f ca="1">auto_pop!H1194</f>
        <v/>
      </c>
      <c r="G1194" s="33"/>
      <c r="H1194" s="33"/>
    </row>
    <row r="1195" spans="2:8" s="2" customFormat="1" ht="15" x14ac:dyDescent="0.25">
      <c r="B1195" s="21"/>
      <c r="C1195" s="22"/>
      <c r="D1195" s="29" t="str">
        <f t="shared" si="18"/>
        <v/>
      </c>
      <c r="E1195" s="22"/>
      <c r="F1195" s="22" t="str">
        <f ca="1">auto_pop!H1195</f>
        <v/>
      </c>
      <c r="G1195" s="33"/>
      <c r="H1195" s="33"/>
    </row>
    <row r="1196" spans="2:8" s="2" customFormat="1" ht="15" x14ac:dyDescent="0.25">
      <c r="B1196" s="21"/>
      <c r="C1196" s="22"/>
      <c r="D1196" s="29" t="str">
        <f t="shared" si="18"/>
        <v/>
      </c>
      <c r="E1196" s="22"/>
      <c r="F1196" s="22" t="str">
        <f ca="1">auto_pop!H1196</f>
        <v/>
      </c>
      <c r="G1196" s="33"/>
      <c r="H1196" s="33"/>
    </row>
    <row r="1197" spans="2:8" s="2" customFormat="1" ht="15" x14ac:dyDescent="0.25">
      <c r="B1197" s="21"/>
      <c r="C1197" s="22"/>
      <c r="D1197" s="29" t="str">
        <f t="shared" si="18"/>
        <v/>
      </c>
      <c r="E1197" s="22"/>
      <c r="F1197" s="22" t="str">
        <f ca="1">auto_pop!H1197</f>
        <v/>
      </c>
      <c r="G1197" s="33"/>
      <c r="H1197" s="33"/>
    </row>
    <row r="1198" spans="2:8" s="2" customFormat="1" ht="15" x14ac:dyDescent="0.25">
      <c r="B1198" s="21"/>
      <c r="C1198" s="22"/>
      <c r="D1198" s="29" t="str">
        <f t="shared" si="18"/>
        <v/>
      </c>
      <c r="E1198" s="22"/>
      <c r="F1198" s="22" t="str">
        <f ca="1">auto_pop!H1198</f>
        <v/>
      </c>
      <c r="G1198" s="33"/>
      <c r="H1198" s="33"/>
    </row>
    <row r="1199" spans="2:8" s="2" customFormat="1" ht="15" x14ac:dyDescent="0.25">
      <c r="B1199" s="21"/>
      <c r="C1199" s="22"/>
      <c r="D1199" s="29" t="str">
        <f t="shared" si="18"/>
        <v/>
      </c>
      <c r="E1199" s="22"/>
      <c r="F1199" s="22" t="str">
        <f ca="1">auto_pop!H1199</f>
        <v/>
      </c>
      <c r="G1199" s="33"/>
      <c r="H1199" s="33"/>
    </row>
    <row r="1200" spans="2:8" s="2" customFormat="1" ht="15" x14ac:dyDescent="0.25">
      <c r="B1200" s="21"/>
      <c r="C1200" s="22"/>
      <c r="D1200" s="29" t="str">
        <f t="shared" si="18"/>
        <v/>
      </c>
      <c r="E1200" s="22"/>
      <c r="F1200" s="22" t="str">
        <f ca="1">auto_pop!H1200</f>
        <v/>
      </c>
      <c r="G1200" s="33"/>
      <c r="H1200" s="33"/>
    </row>
    <row r="1201" spans="2:8" s="2" customFormat="1" ht="15" x14ac:dyDescent="0.25">
      <c r="B1201" s="21"/>
      <c r="C1201" s="22"/>
      <c r="D1201" s="29" t="str">
        <f t="shared" si="18"/>
        <v/>
      </c>
      <c r="E1201" s="22"/>
      <c r="F1201" s="22" t="str">
        <f ca="1">auto_pop!H1201</f>
        <v/>
      </c>
      <c r="G1201" s="33"/>
      <c r="H1201" s="33"/>
    </row>
    <row r="1202" spans="2:8" s="2" customFormat="1" ht="15" x14ac:dyDescent="0.25">
      <c r="B1202" s="21"/>
      <c r="C1202" s="22"/>
      <c r="D1202" s="29" t="str">
        <f t="shared" si="18"/>
        <v/>
      </c>
      <c r="E1202" s="22"/>
      <c r="F1202" s="22" t="str">
        <f ca="1">auto_pop!H1202</f>
        <v/>
      </c>
      <c r="G1202" s="33"/>
      <c r="H1202" s="33"/>
    </row>
    <row r="1203" spans="2:8" s="2" customFormat="1" ht="15" x14ac:dyDescent="0.25">
      <c r="B1203" s="21"/>
      <c r="C1203" s="22"/>
      <c r="D1203" s="29" t="str">
        <f t="shared" si="18"/>
        <v/>
      </c>
      <c r="E1203" s="22"/>
      <c r="F1203" s="22" t="str">
        <f ca="1">auto_pop!H1203</f>
        <v/>
      </c>
      <c r="G1203" s="33"/>
      <c r="H1203" s="33"/>
    </row>
    <row r="1204" spans="2:8" s="2" customFormat="1" ht="15" x14ac:dyDescent="0.25">
      <c r="B1204" s="21"/>
      <c r="C1204" s="22"/>
      <c r="D1204" s="29" t="str">
        <f t="shared" si="18"/>
        <v/>
      </c>
      <c r="E1204" s="22"/>
      <c r="F1204" s="22" t="str">
        <f ca="1">auto_pop!H1204</f>
        <v/>
      </c>
      <c r="G1204" s="33"/>
      <c r="H1204" s="33"/>
    </row>
    <row r="1205" spans="2:8" s="2" customFormat="1" ht="15" x14ac:dyDescent="0.25">
      <c r="B1205" s="21"/>
      <c r="C1205" s="22"/>
      <c r="D1205" s="29" t="str">
        <f t="shared" si="18"/>
        <v/>
      </c>
      <c r="E1205" s="22"/>
      <c r="F1205" s="22" t="str">
        <f ca="1">auto_pop!H1205</f>
        <v/>
      </c>
      <c r="G1205" s="33"/>
      <c r="H1205" s="33"/>
    </row>
    <row r="1206" spans="2:8" s="2" customFormat="1" ht="15" x14ac:dyDescent="0.25">
      <c r="B1206" s="21"/>
      <c r="C1206" s="22"/>
      <c r="D1206" s="29" t="str">
        <f t="shared" si="18"/>
        <v/>
      </c>
      <c r="E1206" s="22"/>
      <c r="F1206" s="22" t="str">
        <f ca="1">auto_pop!H1206</f>
        <v/>
      </c>
      <c r="G1206" s="33"/>
      <c r="H1206" s="33"/>
    </row>
    <row r="1207" spans="2:8" s="2" customFormat="1" ht="15" x14ac:dyDescent="0.25">
      <c r="B1207" s="21"/>
      <c r="C1207" s="22"/>
      <c r="D1207" s="29" t="str">
        <f t="shared" si="18"/>
        <v/>
      </c>
      <c r="E1207" s="22"/>
      <c r="F1207" s="22" t="str">
        <f ca="1">auto_pop!H1207</f>
        <v/>
      </c>
      <c r="G1207" s="33"/>
      <c r="H1207" s="33"/>
    </row>
    <row r="1208" spans="2:8" s="2" customFormat="1" ht="15" x14ac:dyDescent="0.25">
      <c r="B1208" s="21"/>
      <c r="C1208" s="22"/>
      <c r="D1208" s="29" t="str">
        <f t="shared" si="18"/>
        <v/>
      </c>
      <c r="E1208" s="22"/>
      <c r="F1208" s="22" t="str">
        <f ca="1">auto_pop!H1208</f>
        <v/>
      </c>
      <c r="G1208" s="33"/>
      <c r="H1208" s="33"/>
    </row>
    <row r="1209" spans="2:8" s="2" customFormat="1" ht="15" x14ac:dyDescent="0.25">
      <c r="B1209" s="21"/>
      <c r="C1209" s="22"/>
      <c r="D1209" s="29" t="str">
        <f t="shared" si="18"/>
        <v/>
      </c>
      <c r="E1209" s="22"/>
      <c r="F1209" s="22" t="str">
        <f ca="1">auto_pop!H1209</f>
        <v/>
      </c>
      <c r="G1209" s="33"/>
      <c r="H1209" s="33"/>
    </row>
    <row r="1210" spans="2:8" s="2" customFormat="1" ht="15" x14ac:dyDescent="0.25">
      <c r="B1210" s="21"/>
      <c r="C1210" s="22"/>
      <c r="D1210" s="29" t="str">
        <f t="shared" si="18"/>
        <v/>
      </c>
      <c r="E1210" s="22"/>
      <c r="F1210" s="22" t="str">
        <f ca="1">auto_pop!H1210</f>
        <v/>
      </c>
      <c r="G1210" s="33"/>
      <c r="H1210" s="33"/>
    </row>
    <row r="1211" spans="2:8" s="2" customFormat="1" ht="15" x14ac:dyDescent="0.25">
      <c r="B1211" s="21"/>
      <c r="C1211" s="22"/>
      <c r="D1211" s="29" t="str">
        <f t="shared" si="18"/>
        <v/>
      </c>
      <c r="E1211" s="22"/>
      <c r="F1211" s="22" t="str">
        <f ca="1">auto_pop!H1211</f>
        <v/>
      </c>
      <c r="G1211" s="33"/>
      <c r="H1211" s="33"/>
    </row>
    <row r="1212" spans="2:8" s="2" customFormat="1" ht="15" x14ac:dyDescent="0.25">
      <c r="B1212" s="21"/>
      <c r="C1212" s="22"/>
      <c r="D1212" s="29" t="str">
        <f t="shared" si="18"/>
        <v/>
      </c>
      <c r="E1212" s="22"/>
      <c r="F1212" s="22" t="str">
        <f ca="1">auto_pop!H1212</f>
        <v/>
      </c>
      <c r="G1212" s="33"/>
      <c r="H1212" s="33"/>
    </row>
    <row r="1213" spans="2:8" s="2" customFormat="1" ht="15" x14ac:dyDescent="0.25">
      <c r="B1213" s="21"/>
      <c r="C1213" s="22"/>
      <c r="D1213" s="29" t="str">
        <f t="shared" si="18"/>
        <v/>
      </c>
      <c r="E1213" s="22"/>
      <c r="F1213" s="22" t="str">
        <f ca="1">auto_pop!H1213</f>
        <v/>
      </c>
      <c r="G1213" s="33"/>
      <c r="H1213" s="33"/>
    </row>
    <row r="1214" spans="2:8" s="2" customFormat="1" ht="15" x14ac:dyDescent="0.25">
      <c r="B1214" s="21"/>
      <c r="C1214" s="22"/>
      <c r="D1214" s="29" t="str">
        <f t="shared" si="18"/>
        <v/>
      </c>
      <c r="E1214" s="22"/>
      <c r="F1214" s="22" t="str">
        <f ca="1">auto_pop!H1214</f>
        <v/>
      </c>
      <c r="G1214" s="33"/>
      <c r="H1214" s="33"/>
    </row>
    <row r="1215" spans="2:8" s="2" customFormat="1" ht="15" x14ac:dyDescent="0.25">
      <c r="B1215" s="21"/>
      <c r="C1215" s="22"/>
      <c r="D1215" s="29" t="str">
        <f t="shared" si="18"/>
        <v/>
      </c>
      <c r="E1215" s="22"/>
      <c r="F1215" s="22" t="str">
        <f ca="1">auto_pop!H1215</f>
        <v/>
      </c>
      <c r="G1215" s="33"/>
      <c r="H1215" s="33"/>
    </row>
    <row r="1216" spans="2:8" s="2" customFormat="1" ht="15" x14ac:dyDescent="0.25">
      <c r="B1216" s="21"/>
      <c r="C1216" s="22"/>
      <c r="D1216" s="29" t="str">
        <f t="shared" si="18"/>
        <v/>
      </c>
      <c r="E1216" s="22"/>
      <c r="F1216" s="22" t="str">
        <f ca="1">auto_pop!H1216</f>
        <v/>
      </c>
      <c r="G1216" s="33"/>
      <c r="H1216" s="33"/>
    </row>
    <row r="1217" spans="2:8" s="2" customFormat="1" ht="15" x14ac:dyDescent="0.25">
      <c r="B1217" s="21"/>
      <c r="C1217" s="22"/>
      <c r="D1217" s="29" t="str">
        <f t="shared" si="18"/>
        <v/>
      </c>
      <c r="E1217" s="22"/>
      <c r="F1217" s="22" t="str">
        <f ca="1">auto_pop!H1217</f>
        <v/>
      </c>
      <c r="G1217" s="33"/>
      <c r="H1217" s="33"/>
    </row>
    <row r="1218" spans="2:8" s="2" customFormat="1" ht="15" x14ac:dyDescent="0.25">
      <c r="B1218" s="21"/>
      <c r="C1218" s="22"/>
      <c r="D1218" s="29" t="str">
        <f t="shared" si="18"/>
        <v/>
      </c>
      <c r="E1218" s="22"/>
      <c r="F1218" s="22" t="str">
        <f ca="1">auto_pop!H1218</f>
        <v/>
      </c>
      <c r="G1218" s="33"/>
      <c r="H1218" s="33"/>
    </row>
    <row r="1219" spans="2:8" s="2" customFormat="1" ht="15" x14ac:dyDescent="0.25">
      <c r="B1219" s="21"/>
      <c r="C1219" s="22"/>
      <c r="D1219" s="29" t="str">
        <f t="shared" si="18"/>
        <v/>
      </c>
      <c r="E1219" s="22"/>
      <c r="F1219" s="22" t="str">
        <f ca="1">auto_pop!H1219</f>
        <v/>
      </c>
      <c r="G1219" s="33"/>
      <c r="H1219" s="33"/>
    </row>
    <row r="1220" spans="2:8" s="2" customFormat="1" ht="15" x14ac:dyDescent="0.25">
      <c r="B1220" s="21"/>
      <c r="C1220" s="22"/>
      <c r="D1220" s="29" t="str">
        <f t="shared" ref="D1220:D1283" si="19">IF(C1220&lt;&gt;"", IF(OR(C1220="Chapin", C1220="Oatka", C1220="Seneca"), "", 1), "")</f>
        <v/>
      </c>
      <c r="E1220" s="22"/>
      <c r="F1220" s="22" t="str">
        <f ca="1">auto_pop!H1220</f>
        <v/>
      </c>
      <c r="G1220" s="33"/>
      <c r="H1220" s="33"/>
    </row>
    <row r="1221" spans="2:8" s="2" customFormat="1" ht="15" x14ac:dyDescent="0.25">
      <c r="B1221" s="21"/>
      <c r="C1221" s="22"/>
      <c r="D1221" s="29" t="str">
        <f t="shared" si="19"/>
        <v/>
      </c>
      <c r="E1221" s="22"/>
      <c r="F1221" s="22" t="str">
        <f ca="1">auto_pop!H1221</f>
        <v/>
      </c>
      <c r="G1221" s="33"/>
      <c r="H1221" s="33"/>
    </row>
    <row r="1222" spans="2:8" s="2" customFormat="1" ht="15" x14ac:dyDescent="0.25">
      <c r="B1222" s="21"/>
      <c r="C1222" s="22"/>
      <c r="D1222" s="29" t="str">
        <f t="shared" si="19"/>
        <v/>
      </c>
      <c r="E1222" s="22"/>
      <c r="F1222" s="22" t="str">
        <f ca="1">auto_pop!H1222</f>
        <v/>
      </c>
      <c r="G1222" s="33"/>
      <c r="H1222" s="33"/>
    </row>
    <row r="1223" spans="2:8" s="2" customFormat="1" ht="15" x14ac:dyDescent="0.25">
      <c r="B1223" s="21"/>
      <c r="C1223" s="22"/>
      <c r="D1223" s="29" t="str">
        <f t="shared" si="19"/>
        <v/>
      </c>
      <c r="E1223" s="22"/>
      <c r="F1223" s="22" t="str">
        <f ca="1">auto_pop!H1223</f>
        <v/>
      </c>
      <c r="G1223" s="33"/>
      <c r="H1223" s="33"/>
    </row>
    <row r="1224" spans="2:8" s="2" customFormat="1" ht="15" x14ac:dyDescent="0.25">
      <c r="B1224" s="21"/>
      <c r="C1224" s="22"/>
      <c r="D1224" s="29" t="str">
        <f t="shared" si="19"/>
        <v/>
      </c>
      <c r="E1224" s="22"/>
      <c r="F1224" s="22" t="str">
        <f ca="1">auto_pop!H1224</f>
        <v/>
      </c>
      <c r="G1224" s="33"/>
      <c r="H1224" s="33"/>
    </row>
    <row r="1225" spans="2:8" s="2" customFormat="1" ht="15" x14ac:dyDescent="0.25">
      <c r="B1225" s="21"/>
      <c r="C1225" s="22"/>
      <c r="D1225" s="29" t="str">
        <f t="shared" si="19"/>
        <v/>
      </c>
      <c r="E1225" s="22"/>
      <c r="F1225" s="22" t="str">
        <f ca="1">auto_pop!H1225</f>
        <v/>
      </c>
      <c r="G1225" s="33"/>
      <c r="H1225" s="33"/>
    </row>
    <row r="1226" spans="2:8" s="2" customFormat="1" ht="15" x14ac:dyDescent="0.25">
      <c r="B1226" s="21"/>
      <c r="C1226" s="22"/>
      <c r="D1226" s="29" t="str">
        <f t="shared" si="19"/>
        <v/>
      </c>
      <c r="E1226" s="22"/>
      <c r="F1226" s="22" t="str">
        <f ca="1">auto_pop!H1226</f>
        <v/>
      </c>
      <c r="G1226" s="33"/>
      <c r="H1226" s="33"/>
    </row>
    <row r="1227" spans="2:8" s="2" customFormat="1" ht="15" x14ac:dyDescent="0.25">
      <c r="B1227" s="21"/>
      <c r="C1227" s="22"/>
      <c r="D1227" s="29" t="str">
        <f t="shared" si="19"/>
        <v/>
      </c>
      <c r="E1227" s="22"/>
      <c r="F1227" s="22" t="str">
        <f ca="1">auto_pop!H1227</f>
        <v/>
      </c>
      <c r="G1227" s="33"/>
      <c r="H1227" s="33"/>
    </row>
    <row r="1228" spans="2:8" s="2" customFormat="1" ht="15" x14ac:dyDescent="0.25">
      <c r="B1228" s="21"/>
      <c r="C1228" s="22"/>
      <c r="D1228" s="29" t="str">
        <f t="shared" si="19"/>
        <v/>
      </c>
      <c r="E1228" s="22"/>
      <c r="F1228" s="22" t="str">
        <f ca="1">auto_pop!H1228</f>
        <v/>
      </c>
      <c r="G1228" s="33"/>
      <c r="H1228" s="33"/>
    </row>
    <row r="1229" spans="2:8" s="2" customFormat="1" ht="15" x14ac:dyDescent="0.25">
      <c r="B1229" s="21"/>
      <c r="C1229" s="22"/>
      <c r="D1229" s="29" t="str">
        <f t="shared" si="19"/>
        <v/>
      </c>
      <c r="E1229" s="22"/>
      <c r="F1229" s="22" t="str">
        <f ca="1">auto_pop!H1229</f>
        <v/>
      </c>
      <c r="G1229" s="33"/>
      <c r="H1229" s="33"/>
    </row>
    <row r="1230" spans="2:8" s="2" customFormat="1" ht="15" x14ac:dyDescent="0.25">
      <c r="B1230" s="21"/>
      <c r="C1230" s="22"/>
      <c r="D1230" s="29" t="str">
        <f t="shared" si="19"/>
        <v/>
      </c>
      <c r="E1230" s="22"/>
      <c r="F1230" s="22" t="str">
        <f ca="1">auto_pop!H1230</f>
        <v/>
      </c>
      <c r="G1230" s="33"/>
      <c r="H1230" s="33"/>
    </row>
    <row r="1231" spans="2:8" s="2" customFormat="1" ht="15" x14ac:dyDescent="0.25">
      <c r="B1231" s="21"/>
      <c r="C1231" s="22"/>
      <c r="D1231" s="29" t="str">
        <f t="shared" si="19"/>
        <v/>
      </c>
      <c r="E1231" s="22"/>
      <c r="F1231" s="22" t="str">
        <f ca="1">auto_pop!H1231</f>
        <v/>
      </c>
      <c r="G1231" s="33"/>
      <c r="H1231" s="33"/>
    </row>
    <row r="1232" spans="2:8" s="2" customFormat="1" ht="15" x14ac:dyDescent="0.25">
      <c r="B1232" s="21"/>
      <c r="C1232" s="22"/>
      <c r="D1232" s="29" t="str">
        <f t="shared" si="19"/>
        <v/>
      </c>
      <c r="E1232" s="22"/>
      <c r="F1232" s="22" t="str">
        <f ca="1">auto_pop!H1232</f>
        <v/>
      </c>
      <c r="G1232" s="33"/>
      <c r="H1232" s="33"/>
    </row>
    <row r="1233" spans="2:8" s="2" customFormat="1" ht="15" x14ac:dyDescent="0.25">
      <c r="B1233" s="21"/>
      <c r="C1233" s="22"/>
      <c r="D1233" s="29" t="str">
        <f t="shared" si="19"/>
        <v/>
      </c>
      <c r="E1233" s="22"/>
      <c r="F1233" s="22" t="str">
        <f ca="1">auto_pop!H1233</f>
        <v/>
      </c>
      <c r="G1233" s="33"/>
      <c r="H1233" s="33"/>
    </row>
    <row r="1234" spans="2:8" s="2" customFormat="1" ht="15" x14ac:dyDescent="0.25">
      <c r="B1234" s="21"/>
      <c r="C1234" s="22"/>
      <c r="D1234" s="29" t="str">
        <f t="shared" si="19"/>
        <v/>
      </c>
      <c r="E1234" s="22"/>
      <c r="F1234" s="22" t="str">
        <f ca="1">auto_pop!H1234</f>
        <v/>
      </c>
      <c r="G1234" s="33"/>
      <c r="H1234" s="33"/>
    </row>
    <row r="1235" spans="2:8" s="2" customFormat="1" ht="15" x14ac:dyDescent="0.25">
      <c r="B1235" s="21"/>
      <c r="C1235" s="22"/>
      <c r="D1235" s="29" t="str">
        <f t="shared" si="19"/>
        <v/>
      </c>
      <c r="E1235" s="22"/>
      <c r="F1235" s="22" t="str">
        <f ca="1">auto_pop!H1235</f>
        <v/>
      </c>
      <c r="G1235" s="33"/>
      <c r="H1235" s="33"/>
    </row>
    <row r="1236" spans="2:8" s="2" customFormat="1" ht="15" x14ac:dyDescent="0.25">
      <c r="B1236" s="21"/>
      <c r="C1236" s="22"/>
      <c r="D1236" s="29" t="str">
        <f t="shared" si="19"/>
        <v/>
      </c>
      <c r="E1236" s="22"/>
      <c r="F1236" s="22" t="str">
        <f ca="1">auto_pop!H1236</f>
        <v/>
      </c>
      <c r="G1236" s="33"/>
      <c r="H1236" s="33"/>
    </row>
    <row r="1237" spans="2:8" s="2" customFormat="1" ht="15" x14ac:dyDescent="0.25">
      <c r="B1237" s="21"/>
      <c r="C1237" s="22"/>
      <c r="D1237" s="29" t="str">
        <f t="shared" si="19"/>
        <v/>
      </c>
      <c r="E1237" s="22"/>
      <c r="F1237" s="22" t="str">
        <f ca="1">auto_pop!H1237</f>
        <v/>
      </c>
      <c r="G1237" s="33"/>
      <c r="H1237" s="33"/>
    </row>
    <row r="1238" spans="2:8" s="2" customFormat="1" ht="15" x14ac:dyDescent="0.25">
      <c r="B1238" s="21"/>
      <c r="C1238" s="22"/>
      <c r="D1238" s="29" t="str">
        <f t="shared" si="19"/>
        <v/>
      </c>
      <c r="E1238" s="22"/>
      <c r="F1238" s="22" t="str">
        <f ca="1">auto_pop!H1238</f>
        <v/>
      </c>
      <c r="G1238" s="33"/>
      <c r="H1238" s="33"/>
    </row>
    <row r="1239" spans="2:8" s="2" customFormat="1" ht="15" x14ac:dyDescent="0.25">
      <c r="B1239" s="21"/>
      <c r="C1239" s="22"/>
      <c r="D1239" s="29" t="str">
        <f t="shared" si="19"/>
        <v/>
      </c>
      <c r="E1239" s="22"/>
      <c r="F1239" s="22" t="str">
        <f ca="1">auto_pop!H1239</f>
        <v/>
      </c>
      <c r="G1239" s="33"/>
      <c r="H1239" s="33"/>
    </row>
    <row r="1240" spans="2:8" s="2" customFormat="1" ht="15" x14ac:dyDescent="0.25">
      <c r="B1240" s="21"/>
      <c r="C1240" s="22"/>
      <c r="D1240" s="29" t="str">
        <f t="shared" si="19"/>
        <v/>
      </c>
      <c r="E1240" s="22"/>
      <c r="F1240" s="22" t="str">
        <f ca="1">auto_pop!H1240</f>
        <v/>
      </c>
      <c r="G1240" s="33"/>
      <c r="H1240" s="33"/>
    </row>
    <row r="1241" spans="2:8" s="2" customFormat="1" ht="15" x14ac:dyDescent="0.25">
      <c r="B1241" s="21"/>
      <c r="C1241" s="22"/>
      <c r="D1241" s="29" t="str">
        <f t="shared" si="19"/>
        <v/>
      </c>
      <c r="E1241" s="22"/>
      <c r="F1241" s="22" t="str">
        <f ca="1">auto_pop!H1241</f>
        <v/>
      </c>
      <c r="G1241" s="33"/>
      <c r="H1241" s="33"/>
    </row>
    <row r="1242" spans="2:8" s="2" customFormat="1" ht="15" x14ac:dyDescent="0.25">
      <c r="B1242" s="21"/>
      <c r="C1242" s="22"/>
      <c r="D1242" s="29" t="str">
        <f t="shared" si="19"/>
        <v/>
      </c>
      <c r="E1242" s="22"/>
      <c r="F1242" s="22" t="str">
        <f ca="1">auto_pop!H1242</f>
        <v/>
      </c>
      <c r="G1242" s="33"/>
      <c r="H1242" s="33"/>
    </row>
    <row r="1243" spans="2:8" s="2" customFormat="1" ht="15" x14ac:dyDescent="0.25">
      <c r="B1243" s="21"/>
      <c r="C1243" s="22"/>
      <c r="D1243" s="29" t="str">
        <f t="shared" si="19"/>
        <v/>
      </c>
      <c r="E1243" s="22"/>
      <c r="F1243" s="22" t="str">
        <f ca="1">auto_pop!H1243</f>
        <v/>
      </c>
      <c r="G1243" s="33"/>
      <c r="H1243" s="33"/>
    </row>
    <row r="1244" spans="2:8" s="2" customFormat="1" ht="15" x14ac:dyDescent="0.25">
      <c r="B1244" s="21"/>
      <c r="C1244" s="22"/>
      <c r="D1244" s="29" t="str">
        <f t="shared" si="19"/>
        <v/>
      </c>
      <c r="E1244" s="22"/>
      <c r="F1244" s="22" t="str">
        <f ca="1">auto_pop!H1244</f>
        <v/>
      </c>
      <c r="G1244" s="33"/>
      <c r="H1244" s="33"/>
    </row>
    <row r="1245" spans="2:8" s="2" customFormat="1" ht="15" x14ac:dyDescent="0.25">
      <c r="B1245" s="21"/>
      <c r="C1245" s="22"/>
      <c r="D1245" s="29" t="str">
        <f t="shared" si="19"/>
        <v/>
      </c>
      <c r="E1245" s="22"/>
      <c r="F1245" s="22" t="str">
        <f ca="1">auto_pop!H1245</f>
        <v/>
      </c>
      <c r="G1245" s="33"/>
      <c r="H1245" s="33"/>
    </row>
    <row r="1246" spans="2:8" s="2" customFormat="1" ht="15" x14ac:dyDescent="0.25">
      <c r="B1246" s="21"/>
      <c r="C1246" s="22"/>
      <c r="D1246" s="29" t="str">
        <f t="shared" si="19"/>
        <v/>
      </c>
      <c r="E1246" s="22"/>
      <c r="F1246" s="22" t="str">
        <f ca="1">auto_pop!H1246</f>
        <v/>
      </c>
      <c r="G1246" s="33"/>
      <c r="H1246" s="33"/>
    </row>
    <row r="1247" spans="2:8" s="2" customFormat="1" ht="15" x14ac:dyDescent="0.25">
      <c r="B1247" s="21"/>
      <c r="C1247" s="22"/>
      <c r="D1247" s="29" t="str">
        <f t="shared" si="19"/>
        <v/>
      </c>
      <c r="E1247" s="22"/>
      <c r="F1247" s="22" t="str">
        <f ca="1">auto_pop!H1247</f>
        <v/>
      </c>
      <c r="G1247" s="33"/>
      <c r="H1247" s="33"/>
    </row>
    <row r="1248" spans="2:8" s="2" customFormat="1" ht="15" x14ac:dyDescent="0.25">
      <c r="B1248" s="21"/>
      <c r="C1248" s="22"/>
      <c r="D1248" s="29" t="str">
        <f t="shared" si="19"/>
        <v/>
      </c>
      <c r="E1248" s="22"/>
      <c r="F1248" s="22" t="str">
        <f ca="1">auto_pop!H1248</f>
        <v/>
      </c>
      <c r="G1248" s="33"/>
      <c r="H1248" s="33"/>
    </row>
    <row r="1249" spans="2:8" s="2" customFormat="1" ht="15" x14ac:dyDescent="0.25">
      <c r="B1249" s="21"/>
      <c r="C1249" s="22"/>
      <c r="D1249" s="29" t="str">
        <f t="shared" si="19"/>
        <v/>
      </c>
      <c r="E1249" s="22"/>
      <c r="F1249" s="22" t="str">
        <f ca="1">auto_pop!H1249</f>
        <v/>
      </c>
      <c r="G1249" s="33"/>
      <c r="H1249" s="33"/>
    </row>
    <row r="1250" spans="2:8" s="2" customFormat="1" ht="15" x14ac:dyDescent="0.25">
      <c r="B1250" s="21"/>
      <c r="C1250" s="22"/>
      <c r="D1250" s="29" t="str">
        <f t="shared" si="19"/>
        <v/>
      </c>
      <c r="E1250" s="22"/>
      <c r="F1250" s="22" t="str">
        <f ca="1">auto_pop!H1250</f>
        <v/>
      </c>
      <c r="G1250" s="33"/>
      <c r="H1250" s="33"/>
    </row>
    <row r="1251" spans="2:8" s="2" customFormat="1" ht="15" x14ac:dyDescent="0.25">
      <c r="B1251" s="21"/>
      <c r="C1251" s="22"/>
      <c r="D1251" s="29" t="str">
        <f t="shared" si="19"/>
        <v/>
      </c>
      <c r="E1251" s="22"/>
      <c r="F1251" s="22" t="str">
        <f ca="1">auto_pop!H1251</f>
        <v/>
      </c>
      <c r="G1251" s="33"/>
      <c r="H1251" s="33"/>
    </row>
    <row r="1252" spans="2:8" s="2" customFormat="1" ht="15" x14ac:dyDescent="0.25">
      <c r="B1252" s="21"/>
      <c r="C1252" s="22"/>
      <c r="D1252" s="29" t="str">
        <f t="shared" si="19"/>
        <v/>
      </c>
      <c r="E1252" s="22"/>
      <c r="F1252" s="22" t="str">
        <f ca="1">auto_pop!H1252</f>
        <v/>
      </c>
      <c r="G1252" s="33"/>
      <c r="H1252" s="33"/>
    </row>
    <row r="1253" spans="2:8" s="2" customFormat="1" ht="15" x14ac:dyDescent="0.25">
      <c r="B1253" s="21"/>
      <c r="C1253" s="22"/>
      <c r="D1253" s="29" t="str">
        <f t="shared" si="19"/>
        <v/>
      </c>
      <c r="E1253" s="22"/>
      <c r="F1253" s="22" t="str">
        <f ca="1">auto_pop!H1253</f>
        <v/>
      </c>
      <c r="G1253" s="33"/>
      <c r="H1253" s="33"/>
    </row>
    <row r="1254" spans="2:8" s="2" customFormat="1" ht="15" x14ac:dyDescent="0.25">
      <c r="B1254" s="21"/>
      <c r="C1254" s="22"/>
      <c r="D1254" s="29" t="str">
        <f t="shared" si="19"/>
        <v/>
      </c>
      <c r="E1254" s="22"/>
      <c r="F1254" s="22" t="str">
        <f ca="1">auto_pop!H1254</f>
        <v/>
      </c>
      <c r="G1254" s="33"/>
      <c r="H1254" s="33"/>
    </row>
    <row r="1255" spans="2:8" s="2" customFormat="1" ht="15" x14ac:dyDescent="0.25">
      <c r="B1255" s="21"/>
      <c r="C1255" s="22"/>
      <c r="D1255" s="29" t="str">
        <f t="shared" si="19"/>
        <v/>
      </c>
      <c r="E1255" s="22"/>
      <c r="F1255" s="22" t="str">
        <f ca="1">auto_pop!H1255</f>
        <v/>
      </c>
      <c r="G1255" s="33"/>
      <c r="H1255" s="33"/>
    </row>
    <row r="1256" spans="2:8" s="2" customFormat="1" ht="15" x14ac:dyDescent="0.25">
      <c r="B1256" s="21"/>
      <c r="C1256" s="22"/>
      <c r="D1256" s="29" t="str">
        <f t="shared" si="19"/>
        <v/>
      </c>
      <c r="E1256" s="22"/>
      <c r="F1256" s="22" t="str">
        <f ca="1">auto_pop!H1256</f>
        <v/>
      </c>
      <c r="G1256" s="33"/>
      <c r="H1256" s="33"/>
    </row>
    <row r="1257" spans="2:8" s="2" customFormat="1" ht="15" x14ac:dyDescent="0.25">
      <c r="B1257" s="21"/>
      <c r="C1257" s="22"/>
      <c r="D1257" s="29" t="str">
        <f t="shared" si="19"/>
        <v/>
      </c>
      <c r="E1257" s="22"/>
      <c r="F1257" s="22" t="str">
        <f ca="1">auto_pop!H1257</f>
        <v/>
      </c>
      <c r="G1257" s="33"/>
      <c r="H1257" s="33"/>
    </row>
    <row r="1258" spans="2:8" s="2" customFormat="1" ht="15" x14ac:dyDescent="0.25">
      <c r="B1258" s="21"/>
      <c r="C1258" s="22"/>
      <c r="D1258" s="29" t="str">
        <f t="shared" si="19"/>
        <v/>
      </c>
      <c r="E1258" s="22"/>
      <c r="F1258" s="22" t="str">
        <f ca="1">auto_pop!H1258</f>
        <v/>
      </c>
      <c r="G1258" s="33"/>
      <c r="H1258" s="33"/>
    </row>
    <row r="1259" spans="2:8" s="2" customFormat="1" ht="15" x14ac:dyDescent="0.25">
      <c r="B1259" s="21"/>
      <c r="C1259" s="22"/>
      <c r="D1259" s="29" t="str">
        <f t="shared" si="19"/>
        <v/>
      </c>
      <c r="E1259" s="22"/>
      <c r="F1259" s="22" t="str">
        <f ca="1">auto_pop!H1259</f>
        <v/>
      </c>
      <c r="G1259" s="33"/>
      <c r="H1259" s="33"/>
    </row>
    <row r="1260" spans="2:8" s="2" customFormat="1" ht="15" x14ac:dyDescent="0.25">
      <c r="B1260" s="21"/>
      <c r="C1260" s="22"/>
      <c r="D1260" s="29" t="str">
        <f t="shared" si="19"/>
        <v/>
      </c>
      <c r="E1260" s="22"/>
      <c r="F1260" s="22" t="str">
        <f ca="1">auto_pop!H1260</f>
        <v/>
      </c>
      <c r="G1260" s="33"/>
      <c r="H1260" s="33"/>
    </row>
    <row r="1261" spans="2:8" s="2" customFormat="1" ht="15" x14ac:dyDescent="0.25">
      <c r="B1261" s="21"/>
      <c r="C1261" s="22"/>
      <c r="D1261" s="29" t="str">
        <f t="shared" si="19"/>
        <v/>
      </c>
      <c r="E1261" s="22"/>
      <c r="F1261" s="22" t="str">
        <f ca="1">auto_pop!H1261</f>
        <v/>
      </c>
      <c r="G1261" s="33"/>
      <c r="H1261" s="33"/>
    </row>
    <row r="1262" spans="2:8" s="2" customFormat="1" ht="15" x14ac:dyDescent="0.25">
      <c r="B1262" s="21"/>
      <c r="C1262" s="22"/>
      <c r="D1262" s="29" t="str">
        <f t="shared" si="19"/>
        <v/>
      </c>
      <c r="E1262" s="22"/>
      <c r="F1262" s="22" t="str">
        <f ca="1">auto_pop!H1262</f>
        <v/>
      </c>
      <c r="G1262" s="33"/>
      <c r="H1262" s="33"/>
    </row>
    <row r="1263" spans="2:8" s="2" customFormat="1" ht="15" x14ac:dyDescent="0.25">
      <c r="B1263" s="21"/>
      <c r="C1263" s="22"/>
      <c r="D1263" s="29" t="str">
        <f t="shared" si="19"/>
        <v/>
      </c>
      <c r="E1263" s="22"/>
      <c r="F1263" s="22" t="str">
        <f ca="1">auto_pop!H1263</f>
        <v/>
      </c>
      <c r="G1263" s="33"/>
      <c r="H1263" s="33"/>
    </row>
    <row r="1264" spans="2:8" s="2" customFormat="1" ht="15" x14ac:dyDescent="0.25">
      <c r="B1264" s="21"/>
      <c r="C1264" s="22"/>
      <c r="D1264" s="29" t="str">
        <f t="shared" si="19"/>
        <v/>
      </c>
      <c r="E1264" s="22"/>
      <c r="F1264" s="22" t="str">
        <f ca="1">auto_pop!H1264</f>
        <v/>
      </c>
      <c r="G1264" s="33"/>
      <c r="H1264" s="33"/>
    </row>
    <row r="1265" spans="2:8" s="2" customFormat="1" ht="15" x14ac:dyDescent="0.25">
      <c r="B1265" s="21"/>
      <c r="C1265" s="22"/>
      <c r="D1265" s="29" t="str">
        <f t="shared" si="19"/>
        <v/>
      </c>
      <c r="E1265" s="22"/>
      <c r="F1265" s="22" t="str">
        <f ca="1">auto_pop!H1265</f>
        <v/>
      </c>
      <c r="G1265" s="33"/>
      <c r="H1265" s="33"/>
    </row>
    <row r="1266" spans="2:8" s="2" customFormat="1" ht="15" x14ac:dyDescent="0.25">
      <c r="B1266" s="21"/>
      <c r="C1266" s="22"/>
      <c r="D1266" s="29" t="str">
        <f t="shared" si="19"/>
        <v/>
      </c>
      <c r="E1266" s="22"/>
      <c r="F1266" s="22" t="str">
        <f ca="1">auto_pop!H1266</f>
        <v/>
      </c>
      <c r="G1266" s="33"/>
      <c r="H1266" s="33"/>
    </row>
    <row r="1267" spans="2:8" s="2" customFormat="1" ht="15" x14ac:dyDescent="0.25">
      <c r="B1267" s="21"/>
      <c r="C1267" s="22"/>
      <c r="D1267" s="29" t="str">
        <f t="shared" si="19"/>
        <v/>
      </c>
      <c r="E1267" s="22"/>
      <c r="F1267" s="22" t="str">
        <f ca="1">auto_pop!H1267</f>
        <v/>
      </c>
      <c r="G1267" s="33"/>
      <c r="H1267" s="33"/>
    </row>
    <row r="1268" spans="2:8" s="2" customFormat="1" ht="15" x14ac:dyDescent="0.25">
      <c r="B1268" s="21"/>
      <c r="C1268" s="22"/>
      <c r="D1268" s="29" t="str">
        <f t="shared" si="19"/>
        <v/>
      </c>
      <c r="E1268" s="22"/>
      <c r="F1268" s="22" t="str">
        <f ca="1">auto_pop!H1268</f>
        <v/>
      </c>
      <c r="G1268" s="33"/>
      <c r="H1268" s="33"/>
    </row>
    <row r="1269" spans="2:8" s="2" customFormat="1" ht="15" x14ac:dyDescent="0.25">
      <c r="B1269" s="21"/>
      <c r="C1269" s="22"/>
      <c r="D1269" s="29" t="str">
        <f t="shared" si="19"/>
        <v/>
      </c>
      <c r="E1269" s="22"/>
      <c r="F1269" s="22" t="str">
        <f ca="1">auto_pop!H1269</f>
        <v/>
      </c>
      <c r="G1269" s="33"/>
      <c r="H1269" s="33"/>
    </row>
    <row r="1270" spans="2:8" s="2" customFormat="1" ht="15" x14ac:dyDescent="0.25">
      <c r="B1270" s="21"/>
      <c r="C1270" s="22"/>
      <c r="D1270" s="29" t="str">
        <f t="shared" si="19"/>
        <v/>
      </c>
      <c r="E1270" s="22"/>
      <c r="F1270" s="22" t="str">
        <f ca="1">auto_pop!H1270</f>
        <v/>
      </c>
      <c r="G1270" s="33"/>
      <c r="H1270" s="33"/>
    </row>
    <row r="1271" spans="2:8" s="2" customFormat="1" ht="15" x14ac:dyDescent="0.25">
      <c r="B1271" s="21"/>
      <c r="C1271" s="22"/>
      <c r="D1271" s="29" t="str">
        <f t="shared" si="19"/>
        <v/>
      </c>
      <c r="E1271" s="22"/>
      <c r="F1271" s="22" t="str">
        <f ca="1">auto_pop!H1271</f>
        <v/>
      </c>
      <c r="G1271" s="33"/>
      <c r="H1271" s="33"/>
    </row>
    <row r="1272" spans="2:8" s="2" customFormat="1" ht="15" x14ac:dyDescent="0.25">
      <c r="B1272" s="21"/>
      <c r="C1272" s="22"/>
      <c r="D1272" s="29" t="str">
        <f t="shared" si="19"/>
        <v/>
      </c>
      <c r="E1272" s="22"/>
      <c r="F1272" s="22" t="str">
        <f ca="1">auto_pop!H1272</f>
        <v/>
      </c>
      <c r="G1272" s="33"/>
      <c r="H1272" s="33"/>
    </row>
    <row r="1273" spans="2:8" s="2" customFormat="1" ht="15" x14ac:dyDescent="0.25">
      <c r="B1273" s="21"/>
      <c r="C1273" s="22"/>
      <c r="D1273" s="29" t="str">
        <f t="shared" si="19"/>
        <v/>
      </c>
      <c r="E1273" s="22"/>
      <c r="F1273" s="22" t="str">
        <f ca="1">auto_pop!H1273</f>
        <v/>
      </c>
      <c r="G1273" s="33"/>
      <c r="H1273" s="33"/>
    </row>
    <row r="1274" spans="2:8" s="2" customFormat="1" ht="15" x14ac:dyDescent="0.25">
      <c r="B1274" s="21"/>
      <c r="C1274" s="22"/>
      <c r="D1274" s="29" t="str">
        <f t="shared" si="19"/>
        <v/>
      </c>
      <c r="E1274" s="22"/>
      <c r="F1274" s="22" t="str">
        <f ca="1">auto_pop!H1274</f>
        <v/>
      </c>
      <c r="G1274" s="33"/>
      <c r="H1274" s="33"/>
    </row>
    <row r="1275" spans="2:8" s="2" customFormat="1" ht="15" x14ac:dyDescent="0.25">
      <c r="B1275" s="21"/>
      <c r="C1275" s="22"/>
      <c r="D1275" s="29" t="str">
        <f t="shared" si="19"/>
        <v/>
      </c>
      <c r="E1275" s="22"/>
      <c r="F1275" s="22" t="str">
        <f ca="1">auto_pop!H1275</f>
        <v/>
      </c>
      <c r="G1275" s="33"/>
      <c r="H1275" s="33"/>
    </row>
    <row r="1276" spans="2:8" s="2" customFormat="1" ht="15" x14ac:dyDescent="0.25">
      <c r="B1276" s="21"/>
      <c r="C1276" s="22"/>
      <c r="D1276" s="29" t="str">
        <f t="shared" si="19"/>
        <v/>
      </c>
      <c r="E1276" s="22"/>
      <c r="F1276" s="22" t="str">
        <f ca="1">auto_pop!H1276</f>
        <v/>
      </c>
      <c r="G1276" s="33"/>
      <c r="H1276" s="33"/>
    </row>
    <row r="1277" spans="2:8" s="2" customFormat="1" ht="15" x14ac:dyDescent="0.25">
      <c r="B1277" s="21"/>
      <c r="C1277" s="22"/>
      <c r="D1277" s="29" t="str">
        <f t="shared" si="19"/>
        <v/>
      </c>
      <c r="E1277" s="22"/>
      <c r="F1277" s="22" t="str">
        <f ca="1">auto_pop!H1277</f>
        <v/>
      </c>
      <c r="G1277" s="33"/>
      <c r="H1277" s="33"/>
    </row>
    <row r="1278" spans="2:8" s="2" customFormat="1" ht="15" x14ac:dyDescent="0.25">
      <c r="B1278" s="21"/>
      <c r="C1278" s="22"/>
      <c r="D1278" s="29" t="str">
        <f t="shared" si="19"/>
        <v/>
      </c>
      <c r="E1278" s="22"/>
      <c r="F1278" s="22" t="str">
        <f ca="1">auto_pop!H1278</f>
        <v/>
      </c>
      <c r="G1278" s="33"/>
      <c r="H1278" s="33"/>
    </row>
    <row r="1279" spans="2:8" s="2" customFormat="1" ht="15" x14ac:dyDescent="0.25">
      <c r="B1279" s="21"/>
      <c r="C1279" s="22"/>
      <c r="D1279" s="29" t="str">
        <f t="shared" si="19"/>
        <v/>
      </c>
      <c r="E1279" s="22"/>
      <c r="F1279" s="22" t="str">
        <f ca="1">auto_pop!H1279</f>
        <v/>
      </c>
      <c r="G1279" s="33"/>
      <c r="H1279" s="33"/>
    </row>
    <row r="1280" spans="2:8" s="2" customFormat="1" ht="15" x14ac:dyDescent="0.25">
      <c r="B1280" s="21"/>
      <c r="C1280" s="22"/>
      <c r="D1280" s="29" t="str">
        <f t="shared" si="19"/>
        <v/>
      </c>
      <c r="E1280" s="22"/>
      <c r="F1280" s="22" t="str">
        <f ca="1">auto_pop!H1280</f>
        <v/>
      </c>
      <c r="G1280" s="33"/>
      <c r="H1280" s="33"/>
    </row>
    <row r="1281" spans="2:8" s="2" customFormat="1" ht="15" x14ac:dyDescent="0.25">
      <c r="B1281" s="21"/>
      <c r="C1281" s="22"/>
      <c r="D1281" s="29" t="str">
        <f t="shared" si="19"/>
        <v/>
      </c>
      <c r="E1281" s="22"/>
      <c r="F1281" s="22" t="str">
        <f ca="1">auto_pop!H1281</f>
        <v/>
      </c>
      <c r="G1281" s="33"/>
      <c r="H1281" s="33"/>
    </row>
    <row r="1282" spans="2:8" s="2" customFormat="1" ht="15" x14ac:dyDescent="0.25">
      <c r="B1282" s="21"/>
      <c r="C1282" s="22"/>
      <c r="D1282" s="29" t="str">
        <f t="shared" si="19"/>
        <v/>
      </c>
      <c r="E1282" s="22"/>
      <c r="F1282" s="22" t="str">
        <f ca="1">auto_pop!H1282</f>
        <v/>
      </c>
      <c r="G1282" s="33"/>
      <c r="H1282" s="33"/>
    </row>
    <row r="1283" spans="2:8" s="2" customFormat="1" ht="15" x14ac:dyDescent="0.25">
      <c r="B1283" s="21"/>
      <c r="C1283" s="22"/>
      <c r="D1283" s="29" t="str">
        <f t="shared" si="19"/>
        <v/>
      </c>
      <c r="E1283" s="22"/>
      <c r="F1283" s="22" t="str">
        <f ca="1">auto_pop!H1283</f>
        <v/>
      </c>
      <c r="G1283" s="33"/>
      <c r="H1283" s="33"/>
    </row>
    <row r="1284" spans="2:8" s="2" customFormat="1" ht="15" x14ac:dyDescent="0.25">
      <c r="B1284" s="21"/>
      <c r="C1284" s="22"/>
      <c r="D1284" s="29" t="str">
        <f t="shared" ref="D1284:D1347" si="20">IF(C1284&lt;&gt;"", IF(OR(C1284="Chapin", C1284="Oatka", C1284="Seneca"), "", 1), "")</f>
        <v/>
      </c>
      <c r="E1284" s="22"/>
      <c r="F1284" s="22" t="str">
        <f ca="1">auto_pop!H1284</f>
        <v/>
      </c>
      <c r="G1284" s="33"/>
      <c r="H1284" s="33"/>
    </row>
    <row r="1285" spans="2:8" s="2" customFormat="1" ht="15" x14ac:dyDescent="0.25">
      <c r="B1285" s="21"/>
      <c r="C1285" s="22"/>
      <c r="D1285" s="29" t="str">
        <f t="shared" si="20"/>
        <v/>
      </c>
      <c r="E1285" s="22"/>
      <c r="F1285" s="22" t="str">
        <f ca="1">auto_pop!H1285</f>
        <v/>
      </c>
      <c r="G1285" s="33"/>
      <c r="H1285" s="33"/>
    </row>
    <row r="1286" spans="2:8" s="2" customFormat="1" ht="15" x14ac:dyDescent="0.25">
      <c r="B1286" s="21"/>
      <c r="C1286" s="22"/>
      <c r="D1286" s="29" t="str">
        <f t="shared" si="20"/>
        <v/>
      </c>
      <c r="E1286" s="22"/>
      <c r="F1286" s="22" t="str">
        <f ca="1">auto_pop!H1286</f>
        <v/>
      </c>
      <c r="G1286" s="33"/>
      <c r="H1286" s="33"/>
    </row>
    <row r="1287" spans="2:8" s="2" customFormat="1" ht="15" x14ac:dyDescent="0.25">
      <c r="B1287" s="21"/>
      <c r="C1287" s="22"/>
      <c r="D1287" s="29" t="str">
        <f t="shared" si="20"/>
        <v/>
      </c>
      <c r="E1287" s="22"/>
      <c r="F1287" s="22" t="str">
        <f ca="1">auto_pop!H1287</f>
        <v/>
      </c>
      <c r="G1287" s="33"/>
      <c r="H1287" s="33"/>
    </row>
    <row r="1288" spans="2:8" s="2" customFormat="1" ht="15" x14ac:dyDescent="0.25">
      <c r="B1288" s="21"/>
      <c r="C1288" s="22"/>
      <c r="D1288" s="29" t="str">
        <f t="shared" si="20"/>
        <v/>
      </c>
      <c r="E1288" s="22"/>
      <c r="F1288" s="22" t="str">
        <f ca="1">auto_pop!H1288</f>
        <v/>
      </c>
      <c r="G1288" s="33"/>
      <c r="H1288" s="33"/>
    </row>
    <row r="1289" spans="2:8" s="2" customFormat="1" ht="15" x14ac:dyDescent="0.25">
      <c r="B1289" s="21"/>
      <c r="C1289" s="22"/>
      <c r="D1289" s="29" t="str">
        <f t="shared" si="20"/>
        <v/>
      </c>
      <c r="E1289" s="22"/>
      <c r="F1289" s="22" t="str">
        <f ca="1">auto_pop!H1289</f>
        <v/>
      </c>
      <c r="G1289" s="33"/>
      <c r="H1289" s="33"/>
    </row>
    <row r="1290" spans="2:8" s="2" customFormat="1" ht="15" x14ac:dyDescent="0.25">
      <c r="B1290" s="21"/>
      <c r="C1290" s="22"/>
      <c r="D1290" s="29" t="str">
        <f t="shared" si="20"/>
        <v/>
      </c>
      <c r="E1290" s="22"/>
      <c r="F1290" s="22" t="str">
        <f ca="1">auto_pop!H1290</f>
        <v/>
      </c>
      <c r="G1290" s="33"/>
      <c r="H1290" s="33"/>
    </row>
    <row r="1291" spans="2:8" s="2" customFormat="1" ht="15" x14ac:dyDescent="0.25">
      <c r="B1291" s="21"/>
      <c r="C1291" s="22"/>
      <c r="D1291" s="29" t="str">
        <f t="shared" si="20"/>
        <v/>
      </c>
      <c r="E1291" s="22"/>
      <c r="F1291" s="22" t="str">
        <f ca="1">auto_pop!H1291</f>
        <v/>
      </c>
      <c r="G1291" s="33"/>
      <c r="H1291" s="33"/>
    </row>
    <row r="1292" spans="2:8" s="2" customFormat="1" ht="15" x14ac:dyDescent="0.25">
      <c r="B1292" s="21"/>
      <c r="C1292" s="22"/>
      <c r="D1292" s="29" t="str">
        <f t="shared" si="20"/>
        <v/>
      </c>
      <c r="E1292" s="22"/>
      <c r="F1292" s="22" t="str">
        <f ca="1">auto_pop!H1292</f>
        <v/>
      </c>
      <c r="G1292" s="33"/>
      <c r="H1292" s="33"/>
    </row>
    <row r="1293" spans="2:8" s="2" customFormat="1" ht="15" x14ac:dyDescent="0.25">
      <c r="B1293" s="21"/>
      <c r="C1293" s="22"/>
      <c r="D1293" s="29" t="str">
        <f t="shared" si="20"/>
        <v/>
      </c>
      <c r="E1293" s="22"/>
      <c r="F1293" s="22" t="str">
        <f ca="1">auto_pop!H1293</f>
        <v/>
      </c>
      <c r="G1293" s="33"/>
      <c r="H1293" s="33"/>
    </row>
    <row r="1294" spans="2:8" s="2" customFormat="1" ht="15" x14ac:dyDescent="0.25">
      <c r="B1294" s="21"/>
      <c r="C1294" s="22"/>
      <c r="D1294" s="29" t="str">
        <f t="shared" si="20"/>
        <v/>
      </c>
      <c r="E1294" s="22"/>
      <c r="F1294" s="22" t="str">
        <f ca="1">auto_pop!H1294</f>
        <v/>
      </c>
      <c r="G1294" s="33"/>
      <c r="H1294" s="33"/>
    </row>
    <row r="1295" spans="2:8" s="2" customFormat="1" ht="15" x14ac:dyDescent="0.25">
      <c r="B1295" s="21"/>
      <c r="C1295" s="22"/>
      <c r="D1295" s="29" t="str">
        <f t="shared" si="20"/>
        <v/>
      </c>
      <c r="E1295" s="22"/>
      <c r="F1295" s="22" t="str">
        <f ca="1">auto_pop!H1295</f>
        <v/>
      </c>
      <c r="G1295" s="33"/>
      <c r="H1295" s="33"/>
    </row>
    <row r="1296" spans="2:8" s="2" customFormat="1" ht="15" x14ac:dyDescent="0.25">
      <c r="B1296" s="21"/>
      <c r="C1296" s="22"/>
      <c r="D1296" s="29" t="str">
        <f t="shared" si="20"/>
        <v/>
      </c>
      <c r="E1296" s="22"/>
      <c r="F1296" s="22" t="str">
        <f ca="1">auto_pop!H1296</f>
        <v/>
      </c>
      <c r="G1296" s="33"/>
      <c r="H1296" s="33"/>
    </row>
    <row r="1297" spans="2:8" s="2" customFormat="1" ht="15" x14ac:dyDescent="0.25">
      <c r="B1297" s="21"/>
      <c r="C1297" s="22"/>
      <c r="D1297" s="29" t="str">
        <f t="shared" si="20"/>
        <v/>
      </c>
      <c r="E1297" s="22"/>
      <c r="F1297" s="22" t="str">
        <f ca="1">auto_pop!H1297</f>
        <v/>
      </c>
      <c r="G1297" s="33"/>
      <c r="H1297" s="33"/>
    </row>
    <row r="1298" spans="2:8" s="2" customFormat="1" ht="15" x14ac:dyDescent="0.25">
      <c r="B1298" s="21"/>
      <c r="C1298" s="22"/>
      <c r="D1298" s="29" t="str">
        <f t="shared" si="20"/>
        <v/>
      </c>
      <c r="E1298" s="22"/>
      <c r="F1298" s="22" t="str">
        <f ca="1">auto_pop!H1298</f>
        <v/>
      </c>
      <c r="G1298" s="33"/>
      <c r="H1298" s="33"/>
    </row>
    <row r="1299" spans="2:8" s="2" customFormat="1" ht="15" x14ac:dyDescent="0.25">
      <c r="B1299" s="21"/>
      <c r="C1299" s="22"/>
      <c r="D1299" s="29" t="str">
        <f t="shared" si="20"/>
        <v/>
      </c>
      <c r="E1299" s="22"/>
      <c r="F1299" s="22" t="str">
        <f ca="1">auto_pop!H1299</f>
        <v/>
      </c>
      <c r="G1299" s="33"/>
      <c r="H1299" s="33"/>
    </row>
    <row r="1300" spans="2:8" s="2" customFormat="1" ht="15" x14ac:dyDescent="0.25">
      <c r="B1300" s="21"/>
      <c r="C1300" s="22"/>
      <c r="D1300" s="29" t="str">
        <f t="shared" si="20"/>
        <v/>
      </c>
      <c r="E1300" s="22"/>
      <c r="F1300" s="22" t="str">
        <f ca="1">auto_pop!H1300</f>
        <v/>
      </c>
      <c r="G1300" s="33"/>
      <c r="H1300" s="33"/>
    </row>
    <row r="1301" spans="2:8" s="2" customFormat="1" ht="15" x14ac:dyDescent="0.25">
      <c r="B1301" s="21"/>
      <c r="C1301" s="22"/>
      <c r="D1301" s="29" t="str">
        <f t="shared" si="20"/>
        <v/>
      </c>
      <c r="E1301" s="22"/>
      <c r="F1301" s="22" t="str">
        <f ca="1">auto_pop!H1301</f>
        <v/>
      </c>
      <c r="G1301" s="33"/>
      <c r="H1301" s="33"/>
    </row>
    <row r="1302" spans="2:8" s="2" customFormat="1" ht="15" x14ac:dyDescent="0.25">
      <c r="B1302" s="21"/>
      <c r="C1302" s="22"/>
      <c r="D1302" s="29" t="str">
        <f t="shared" si="20"/>
        <v/>
      </c>
      <c r="E1302" s="22"/>
      <c r="F1302" s="22" t="str">
        <f ca="1">auto_pop!H1302</f>
        <v/>
      </c>
      <c r="G1302" s="33"/>
      <c r="H1302" s="33"/>
    </row>
    <row r="1303" spans="2:8" s="2" customFormat="1" ht="15" x14ac:dyDescent="0.25">
      <c r="B1303" s="21"/>
      <c r="C1303" s="22"/>
      <c r="D1303" s="29" t="str">
        <f t="shared" si="20"/>
        <v/>
      </c>
      <c r="E1303" s="22"/>
      <c r="F1303" s="22" t="str">
        <f ca="1">auto_pop!H1303</f>
        <v/>
      </c>
      <c r="G1303" s="33"/>
      <c r="H1303" s="33"/>
    </row>
    <row r="1304" spans="2:8" s="2" customFormat="1" ht="15" x14ac:dyDescent="0.25">
      <c r="B1304" s="21"/>
      <c r="C1304" s="22"/>
      <c r="D1304" s="29" t="str">
        <f t="shared" si="20"/>
        <v/>
      </c>
      <c r="E1304" s="22"/>
      <c r="F1304" s="22" t="str">
        <f ca="1">auto_pop!H1304</f>
        <v/>
      </c>
      <c r="G1304" s="33"/>
      <c r="H1304" s="33"/>
    </row>
    <row r="1305" spans="2:8" s="2" customFormat="1" ht="15" x14ac:dyDescent="0.25">
      <c r="B1305" s="21"/>
      <c r="C1305" s="22"/>
      <c r="D1305" s="29" t="str">
        <f t="shared" si="20"/>
        <v/>
      </c>
      <c r="E1305" s="22"/>
      <c r="F1305" s="22" t="str">
        <f ca="1">auto_pop!H1305</f>
        <v/>
      </c>
      <c r="G1305" s="33"/>
      <c r="H1305" s="33"/>
    </row>
    <row r="1306" spans="2:8" s="2" customFormat="1" ht="15" x14ac:dyDescent="0.25">
      <c r="B1306" s="21"/>
      <c r="C1306" s="22"/>
      <c r="D1306" s="29" t="str">
        <f t="shared" si="20"/>
        <v/>
      </c>
      <c r="E1306" s="22"/>
      <c r="F1306" s="22" t="str">
        <f ca="1">auto_pop!H1306</f>
        <v/>
      </c>
      <c r="G1306" s="33"/>
      <c r="H1306" s="33"/>
    </row>
    <row r="1307" spans="2:8" s="2" customFormat="1" ht="15" x14ac:dyDescent="0.25">
      <c r="B1307" s="21"/>
      <c r="C1307" s="22"/>
      <c r="D1307" s="29" t="str">
        <f t="shared" si="20"/>
        <v/>
      </c>
      <c r="E1307" s="22"/>
      <c r="F1307" s="22" t="str">
        <f ca="1">auto_pop!H1307</f>
        <v/>
      </c>
      <c r="G1307" s="33"/>
      <c r="H1307" s="33"/>
    </row>
    <row r="1308" spans="2:8" s="2" customFormat="1" ht="15" x14ac:dyDescent="0.25">
      <c r="B1308" s="21"/>
      <c r="C1308" s="22"/>
      <c r="D1308" s="29" t="str">
        <f t="shared" si="20"/>
        <v/>
      </c>
      <c r="E1308" s="22"/>
      <c r="F1308" s="22" t="str">
        <f ca="1">auto_pop!H1308</f>
        <v/>
      </c>
      <c r="G1308" s="33"/>
      <c r="H1308" s="33"/>
    </row>
    <row r="1309" spans="2:8" s="2" customFormat="1" ht="15" x14ac:dyDescent="0.25">
      <c r="B1309" s="21"/>
      <c r="C1309" s="22"/>
      <c r="D1309" s="29" t="str">
        <f t="shared" si="20"/>
        <v/>
      </c>
      <c r="E1309" s="22"/>
      <c r="F1309" s="22" t="str">
        <f ca="1">auto_pop!H1309</f>
        <v/>
      </c>
      <c r="G1309" s="33"/>
      <c r="H1309" s="33"/>
    </row>
    <row r="1310" spans="2:8" s="2" customFormat="1" ht="15" x14ac:dyDescent="0.25">
      <c r="B1310" s="21"/>
      <c r="C1310" s="22"/>
      <c r="D1310" s="29" t="str">
        <f t="shared" si="20"/>
        <v/>
      </c>
      <c r="E1310" s="22"/>
      <c r="F1310" s="22" t="str">
        <f ca="1">auto_pop!H1310</f>
        <v/>
      </c>
      <c r="G1310" s="33"/>
      <c r="H1310" s="33"/>
    </row>
    <row r="1311" spans="2:8" s="2" customFormat="1" ht="15" x14ac:dyDescent="0.25">
      <c r="B1311" s="21"/>
      <c r="C1311" s="22"/>
      <c r="D1311" s="29" t="str">
        <f t="shared" si="20"/>
        <v/>
      </c>
      <c r="E1311" s="22"/>
      <c r="F1311" s="22" t="str">
        <f ca="1">auto_pop!H1311</f>
        <v/>
      </c>
      <c r="G1311" s="33"/>
      <c r="H1311" s="33"/>
    </row>
    <row r="1312" spans="2:8" s="2" customFormat="1" ht="15" x14ac:dyDescent="0.25">
      <c r="B1312" s="21"/>
      <c r="C1312" s="22"/>
      <c r="D1312" s="29" t="str">
        <f t="shared" si="20"/>
        <v/>
      </c>
      <c r="E1312" s="22"/>
      <c r="F1312" s="22" t="str">
        <f ca="1">auto_pop!H1312</f>
        <v/>
      </c>
      <c r="G1312" s="33"/>
      <c r="H1312" s="33"/>
    </row>
    <row r="1313" spans="2:8" s="2" customFormat="1" ht="15" x14ac:dyDescent="0.25">
      <c r="B1313" s="21"/>
      <c r="C1313" s="22"/>
      <c r="D1313" s="29" t="str">
        <f t="shared" si="20"/>
        <v/>
      </c>
      <c r="E1313" s="22"/>
      <c r="F1313" s="22" t="str">
        <f ca="1">auto_pop!H1313</f>
        <v/>
      </c>
      <c r="G1313" s="33"/>
      <c r="H1313" s="33"/>
    </row>
    <row r="1314" spans="2:8" s="2" customFormat="1" ht="15" x14ac:dyDescent="0.25">
      <c r="B1314" s="21"/>
      <c r="C1314" s="22"/>
      <c r="D1314" s="29" t="str">
        <f t="shared" si="20"/>
        <v/>
      </c>
      <c r="E1314" s="22"/>
      <c r="F1314" s="22" t="str">
        <f ca="1">auto_pop!H1314</f>
        <v/>
      </c>
      <c r="G1314" s="33"/>
      <c r="H1314" s="33"/>
    </row>
    <row r="1315" spans="2:8" s="2" customFormat="1" ht="15" x14ac:dyDescent="0.25">
      <c r="B1315" s="21"/>
      <c r="C1315" s="22"/>
      <c r="D1315" s="29" t="str">
        <f t="shared" si="20"/>
        <v/>
      </c>
      <c r="E1315" s="22"/>
      <c r="F1315" s="22" t="str">
        <f ca="1">auto_pop!H1315</f>
        <v/>
      </c>
      <c r="G1315" s="33"/>
      <c r="H1315" s="33"/>
    </row>
    <row r="1316" spans="2:8" s="2" customFormat="1" ht="15" x14ac:dyDescent="0.25">
      <c r="B1316" s="21"/>
      <c r="C1316" s="22"/>
      <c r="D1316" s="29" t="str">
        <f t="shared" si="20"/>
        <v/>
      </c>
      <c r="E1316" s="22"/>
      <c r="F1316" s="22" t="str">
        <f ca="1">auto_pop!H1316</f>
        <v/>
      </c>
      <c r="G1316" s="33"/>
      <c r="H1316" s="33"/>
    </row>
    <row r="1317" spans="2:8" s="2" customFormat="1" ht="15" x14ac:dyDescent="0.25">
      <c r="B1317" s="21"/>
      <c r="C1317" s="22"/>
      <c r="D1317" s="29" t="str">
        <f t="shared" si="20"/>
        <v/>
      </c>
      <c r="E1317" s="22"/>
      <c r="F1317" s="22" t="str">
        <f ca="1">auto_pop!H1317</f>
        <v/>
      </c>
      <c r="G1317" s="33"/>
      <c r="H1317" s="33"/>
    </row>
    <row r="1318" spans="2:8" s="2" customFormat="1" ht="15" x14ac:dyDescent="0.25">
      <c r="B1318" s="21"/>
      <c r="C1318" s="22"/>
      <c r="D1318" s="29" t="str">
        <f t="shared" si="20"/>
        <v/>
      </c>
      <c r="E1318" s="22"/>
      <c r="F1318" s="22" t="str">
        <f ca="1">auto_pop!H1318</f>
        <v/>
      </c>
      <c r="G1318" s="33"/>
      <c r="H1318" s="33"/>
    </row>
    <row r="1319" spans="2:8" s="2" customFormat="1" ht="15" x14ac:dyDescent="0.25">
      <c r="B1319" s="21"/>
      <c r="C1319" s="22"/>
      <c r="D1319" s="29" t="str">
        <f t="shared" si="20"/>
        <v/>
      </c>
      <c r="E1319" s="22"/>
      <c r="F1319" s="22" t="str">
        <f ca="1">auto_pop!H1319</f>
        <v/>
      </c>
      <c r="G1319" s="33"/>
      <c r="H1319" s="33"/>
    </row>
    <row r="1320" spans="2:8" s="2" customFormat="1" ht="15" x14ac:dyDescent="0.25">
      <c r="B1320" s="21"/>
      <c r="C1320" s="22"/>
      <c r="D1320" s="29" t="str">
        <f t="shared" si="20"/>
        <v/>
      </c>
      <c r="E1320" s="22"/>
      <c r="F1320" s="22" t="str">
        <f ca="1">auto_pop!H1320</f>
        <v/>
      </c>
      <c r="G1320" s="33"/>
      <c r="H1320" s="33"/>
    </row>
    <row r="1321" spans="2:8" s="2" customFormat="1" ht="15" x14ac:dyDescent="0.25">
      <c r="B1321" s="21"/>
      <c r="C1321" s="22"/>
      <c r="D1321" s="29" t="str">
        <f t="shared" si="20"/>
        <v/>
      </c>
      <c r="E1321" s="22"/>
      <c r="F1321" s="22" t="str">
        <f ca="1">auto_pop!H1321</f>
        <v/>
      </c>
      <c r="G1321" s="33"/>
      <c r="H1321" s="33"/>
    </row>
    <row r="1322" spans="2:8" s="2" customFormat="1" ht="15" x14ac:dyDescent="0.25">
      <c r="B1322" s="21"/>
      <c r="C1322" s="22"/>
      <c r="D1322" s="29" t="str">
        <f t="shared" si="20"/>
        <v/>
      </c>
      <c r="E1322" s="22"/>
      <c r="F1322" s="22" t="str">
        <f ca="1">auto_pop!H1322</f>
        <v/>
      </c>
      <c r="G1322" s="33"/>
      <c r="H1322" s="33"/>
    </row>
    <row r="1323" spans="2:8" s="2" customFormat="1" ht="15" x14ac:dyDescent="0.25">
      <c r="B1323" s="21"/>
      <c r="C1323" s="22"/>
      <c r="D1323" s="29" t="str">
        <f t="shared" si="20"/>
        <v/>
      </c>
      <c r="E1323" s="22"/>
      <c r="F1323" s="22" t="str">
        <f ca="1">auto_pop!H1323</f>
        <v/>
      </c>
      <c r="G1323" s="33"/>
      <c r="H1323" s="33"/>
    </row>
    <row r="1324" spans="2:8" s="2" customFormat="1" ht="15" x14ac:dyDescent="0.25">
      <c r="B1324" s="21"/>
      <c r="C1324" s="22"/>
      <c r="D1324" s="29" t="str">
        <f t="shared" si="20"/>
        <v/>
      </c>
      <c r="E1324" s="22"/>
      <c r="F1324" s="22" t="str">
        <f ca="1">auto_pop!H1324</f>
        <v/>
      </c>
      <c r="G1324" s="33"/>
      <c r="H1324" s="33"/>
    </row>
    <row r="1325" spans="2:8" s="2" customFormat="1" ht="15" x14ac:dyDescent="0.25">
      <c r="B1325" s="21"/>
      <c r="C1325" s="22"/>
      <c r="D1325" s="29" t="str">
        <f t="shared" si="20"/>
        <v/>
      </c>
      <c r="E1325" s="22"/>
      <c r="F1325" s="22" t="str">
        <f ca="1">auto_pop!H1325</f>
        <v/>
      </c>
      <c r="G1325" s="33"/>
      <c r="H1325" s="33"/>
    </row>
    <row r="1326" spans="2:8" s="2" customFormat="1" ht="15" x14ac:dyDescent="0.25">
      <c r="B1326" s="21"/>
      <c r="C1326" s="22"/>
      <c r="D1326" s="29" t="str">
        <f t="shared" si="20"/>
        <v/>
      </c>
      <c r="E1326" s="22"/>
      <c r="F1326" s="22" t="str">
        <f ca="1">auto_pop!H1326</f>
        <v/>
      </c>
      <c r="G1326" s="33"/>
      <c r="H1326" s="33"/>
    </row>
    <row r="1327" spans="2:8" s="2" customFormat="1" ht="15" x14ac:dyDescent="0.25">
      <c r="B1327" s="21"/>
      <c r="C1327" s="22"/>
      <c r="D1327" s="29" t="str">
        <f t="shared" si="20"/>
        <v/>
      </c>
      <c r="E1327" s="22"/>
      <c r="F1327" s="22" t="str">
        <f ca="1">auto_pop!H1327</f>
        <v/>
      </c>
      <c r="G1327" s="33"/>
      <c r="H1327" s="33"/>
    </row>
    <row r="1328" spans="2:8" s="2" customFormat="1" ht="15" x14ac:dyDescent="0.25">
      <c r="B1328" s="21"/>
      <c r="C1328" s="22"/>
      <c r="D1328" s="29" t="str">
        <f t="shared" si="20"/>
        <v/>
      </c>
      <c r="E1328" s="22"/>
      <c r="F1328" s="22" t="str">
        <f ca="1">auto_pop!H1328</f>
        <v/>
      </c>
      <c r="G1328" s="33"/>
      <c r="H1328" s="33"/>
    </row>
    <row r="1329" spans="2:8" s="2" customFormat="1" ht="15" x14ac:dyDescent="0.25">
      <c r="B1329" s="21"/>
      <c r="C1329" s="22"/>
      <c r="D1329" s="29" t="str">
        <f t="shared" si="20"/>
        <v/>
      </c>
      <c r="E1329" s="22"/>
      <c r="F1329" s="22" t="str">
        <f ca="1">auto_pop!H1329</f>
        <v/>
      </c>
      <c r="G1329" s="33"/>
      <c r="H1329" s="33"/>
    </row>
    <row r="1330" spans="2:8" s="2" customFormat="1" ht="15" x14ac:dyDescent="0.25">
      <c r="B1330" s="21"/>
      <c r="C1330" s="22"/>
      <c r="D1330" s="29" t="str">
        <f t="shared" si="20"/>
        <v/>
      </c>
      <c r="E1330" s="22"/>
      <c r="F1330" s="22" t="str">
        <f ca="1">auto_pop!H1330</f>
        <v/>
      </c>
      <c r="G1330" s="33"/>
      <c r="H1330" s="33"/>
    </row>
    <row r="1331" spans="2:8" s="2" customFormat="1" ht="15" x14ac:dyDescent="0.25">
      <c r="B1331" s="21"/>
      <c r="C1331" s="22"/>
      <c r="D1331" s="29" t="str">
        <f t="shared" si="20"/>
        <v/>
      </c>
      <c r="E1331" s="22"/>
      <c r="F1331" s="22" t="str">
        <f ca="1">auto_pop!H1331</f>
        <v/>
      </c>
      <c r="G1331" s="33"/>
      <c r="H1331" s="33"/>
    </row>
    <row r="1332" spans="2:8" s="2" customFormat="1" ht="15" x14ac:dyDescent="0.25">
      <c r="B1332" s="21"/>
      <c r="C1332" s="22"/>
      <c r="D1332" s="29" t="str">
        <f t="shared" si="20"/>
        <v/>
      </c>
      <c r="E1332" s="22"/>
      <c r="F1332" s="22" t="str">
        <f ca="1">auto_pop!H1332</f>
        <v/>
      </c>
      <c r="G1332" s="33"/>
      <c r="H1332" s="33"/>
    </row>
    <row r="1333" spans="2:8" s="2" customFormat="1" ht="15" x14ac:dyDescent="0.25">
      <c r="B1333" s="21"/>
      <c r="C1333" s="22"/>
      <c r="D1333" s="29" t="str">
        <f t="shared" si="20"/>
        <v/>
      </c>
      <c r="E1333" s="22"/>
      <c r="F1333" s="22" t="str">
        <f ca="1">auto_pop!H1333</f>
        <v/>
      </c>
      <c r="G1333" s="33"/>
      <c r="H1333" s="33"/>
    </row>
    <row r="1334" spans="2:8" s="2" customFormat="1" ht="15" x14ac:dyDescent="0.25">
      <c r="B1334" s="21"/>
      <c r="C1334" s="22"/>
      <c r="D1334" s="29" t="str">
        <f t="shared" si="20"/>
        <v/>
      </c>
      <c r="E1334" s="22"/>
      <c r="F1334" s="22" t="str">
        <f ca="1">auto_pop!H1334</f>
        <v/>
      </c>
      <c r="G1334" s="33"/>
      <c r="H1334" s="33"/>
    </row>
    <row r="1335" spans="2:8" s="2" customFormat="1" ht="15" x14ac:dyDescent="0.25">
      <c r="B1335" s="21"/>
      <c r="C1335" s="22"/>
      <c r="D1335" s="29" t="str">
        <f t="shared" si="20"/>
        <v/>
      </c>
      <c r="E1335" s="22"/>
      <c r="F1335" s="22" t="str">
        <f ca="1">auto_pop!H1335</f>
        <v/>
      </c>
      <c r="G1335" s="33"/>
      <c r="H1335" s="33"/>
    </row>
    <row r="1336" spans="2:8" s="2" customFormat="1" ht="15" x14ac:dyDescent="0.25">
      <c r="B1336" s="21"/>
      <c r="C1336" s="22"/>
      <c r="D1336" s="29" t="str">
        <f t="shared" si="20"/>
        <v/>
      </c>
      <c r="E1336" s="22"/>
      <c r="F1336" s="22" t="str">
        <f ca="1">auto_pop!H1336</f>
        <v/>
      </c>
      <c r="G1336" s="33"/>
      <c r="H1336" s="33"/>
    </row>
    <row r="1337" spans="2:8" s="2" customFormat="1" ht="15" x14ac:dyDescent="0.25">
      <c r="B1337" s="21"/>
      <c r="C1337" s="22"/>
      <c r="D1337" s="29" t="str">
        <f t="shared" si="20"/>
        <v/>
      </c>
      <c r="E1337" s="22"/>
      <c r="F1337" s="22" t="str">
        <f ca="1">auto_pop!H1337</f>
        <v/>
      </c>
      <c r="G1337" s="33"/>
      <c r="H1337" s="33"/>
    </row>
    <row r="1338" spans="2:8" s="2" customFormat="1" ht="15" x14ac:dyDescent="0.25">
      <c r="B1338" s="21"/>
      <c r="C1338" s="22"/>
      <c r="D1338" s="29" t="str">
        <f t="shared" si="20"/>
        <v/>
      </c>
      <c r="E1338" s="22"/>
      <c r="F1338" s="22" t="str">
        <f ca="1">auto_pop!H1338</f>
        <v/>
      </c>
      <c r="G1338" s="33"/>
      <c r="H1338" s="33"/>
    </row>
    <row r="1339" spans="2:8" s="2" customFormat="1" ht="15" x14ac:dyDescent="0.25">
      <c r="B1339" s="21"/>
      <c r="C1339" s="22"/>
      <c r="D1339" s="29" t="str">
        <f t="shared" si="20"/>
        <v/>
      </c>
      <c r="E1339" s="22"/>
      <c r="F1339" s="22" t="str">
        <f ca="1">auto_pop!H1339</f>
        <v/>
      </c>
      <c r="G1339" s="33"/>
      <c r="H1339" s="33"/>
    </row>
    <row r="1340" spans="2:8" s="2" customFormat="1" ht="15" x14ac:dyDescent="0.25">
      <c r="B1340" s="21"/>
      <c r="C1340" s="22"/>
      <c r="D1340" s="29" t="str">
        <f t="shared" si="20"/>
        <v/>
      </c>
      <c r="E1340" s="22"/>
      <c r="F1340" s="22" t="str">
        <f ca="1">auto_pop!H1340</f>
        <v/>
      </c>
      <c r="G1340" s="33"/>
      <c r="H1340" s="33"/>
    </row>
    <row r="1341" spans="2:8" s="2" customFormat="1" ht="15" x14ac:dyDescent="0.25">
      <c r="B1341" s="21"/>
      <c r="C1341" s="22"/>
      <c r="D1341" s="29" t="str">
        <f t="shared" si="20"/>
        <v/>
      </c>
      <c r="E1341" s="22"/>
      <c r="F1341" s="22" t="str">
        <f ca="1">auto_pop!H1341</f>
        <v/>
      </c>
      <c r="G1341" s="33"/>
      <c r="H1341" s="33"/>
    </row>
    <row r="1342" spans="2:8" s="2" customFormat="1" ht="15" x14ac:dyDescent="0.25">
      <c r="B1342" s="21"/>
      <c r="C1342" s="22"/>
      <c r="D1342" s="29" t="str">
        <f t="shared" si="20"/>
        <v/>
      </c>
      <c r="E1342" s="22"/>
      <c r="F1342" s="22" t="str">
        <f ca="1">auto_pop!H1342</f>
        <v/>
      </c>
      <c r="G1342" s="33"/>
      <c r="H1342" s="33"/>
    </row>
    <row r="1343" spans="2:8" s="2" customFormat="1" ht="15" x14ac:dyDescent="0.25">
      <c r="B1343" s="21"/>
      <c r="C1343" s="22"/>
      <c r="D1343" s="29" t="str">
        <f t="shared" si="20"/>
        <v/>
      </c>
      <c r="E1343" s="22"/>
      <c r="F1343" s="22" t="str">
        <f ca="1">auto_pop!H1343</f>
        <v/>
      </c>
      <c r="G1343" s="33"/>
      <c r="H1343" s="33"/>
    </row>
    <row r="1344" spans="2:8" s="2" customFormat="1" ht="15" x14ac:dyDescent="0.25">
      <c r="B1344" s="21"/>
      <c r="C1344" s="22"/>
      <c r="D1344" s="29" t="str">
        <f t="shared" si="20"/>
        <v/>
      </c>
      <c r="E1344" s="22"/>
      <c r="F1344" s="22" t="str">
        <f ca="1">auto_pop!H1344</f>
        <v/>
      </c>
      <c r="G1344" s="33"/>
      <c r="H1344" s="33"/>
    </row>
    <row r="1345" spans="2:8" s="2" customFormat="1" ht="15" x14ac:dyDescent="0.25">
      <c r="B1345" s="21"/>
      <c r="C1345" s="22"/>
      <c r="D1345" s="29" t="str">
        <f t="shared" si="20"/>
        <v/>
      </c>
      <c r="E1345" s="22"/>
      <c r="F1345" s="22" t="str">
        <f ca="1">auto_pop!H1345</f>
        <v/>
      </c>
      <c r="G1345" s="33"/>
      <c r="H1345" s="33"/>
    </row>
    <row r="1346" spans="2:8" s="2" customFormat="1" ht="15" x14ac:dyDescent="0.25">
      <c r="B1346" s="21"/>
      <c r="C1346" s="22"/>
      <c r="D1346" s="29" t="str">
        <f t="shared" si="20"/>
        <v/>
      </c>
      <c r="E1346" s="22"/>
      <c r="F1346" s="22" t="str">
        <f ca="1">auto_pop!H1346</f>
        <v/>
      </c>
      <c r="G1346" s="33"/>
      <c r="H1346" s="33"/>
    </row>
    <row r="1347" spans="2:8" s="2" customFormat="1" ht="15" x14ac:dyDescent="0.25">
      <c r="B1347" s="21"/>
      <c r="C1347" s="22"/>
      <c r="D1347" s="29" t="str">
        <f t="shared" si="20"/>
        <v/>
      </c>
      <c r="E1347" s="22"/>
      <c r="F1347" s="22" t="str">
        <f ca="1">auto_pop!H1347</f>
        <v/>
      </c>
      <c r="G1347" s="33"/>
      <c r="H1347" s="33"/>
    </row>
    <row r="1348" spans="2:8" s="2" customFormat="1" ht="15" x14ac:dyDescent="0.25">
      <c r="B1348" s="21"/>
      <c r="C1348" s="22"/>
      <c r="D1348" s="29" t="str">
        <f t="shared" ref="D1348:D1411" si="21">IF(C1348&lt;&gt;"", IF(OR(C1348="Chapin", C1348="Oatka", C1348="Seneca"), "", 1), "")</f>
        <v/>
      </c>
      <c r="E1348" s="22"/>
      <c r="F1348" s="22" t="str">
        <f ca="1">auto_pop!H1348</f>
        <v/>
      </c>
      <c r="G1348" s="33"/>
      <c r="H1348" s="33"/>
    </row>
    <row r="1349" spans="2:8" s="2" customFormat="1" ht="15" x14ac:dyDescent="0.25">
      <c r="B1349" s="21"/>
      <c r="C1349" s="22"/>
      <c r="D1349" s="29" t="str">
        <f t="shared" si="21"/>
        <v/>
      </c>
      <c r="E1349" s="22"/>
      <c r="F1349" s="22" t="str">
        <f ca="1">auto_pop!H1349</f>
        <v/>
      </c>
      <c r="G1349" s="33"/>
      <c r="H1349" s="33"/>
    </row>
    <row r="1350" spans="2:8" s="2" customFormat="1" ht="15" x14ac:dyDescent="0.25">
      <c r="B1350" s="21"/>
      <c r="C1350" s="22"/>
      <c r="D1350" s="29" t="str">
        <f t="shared" si="21"/>
        <v/>
      </c>
      <c r="E1350" s="22"/>
      <c r="F1350" s="22" t="str">
        <f ca="1">auto_pop!H1350</f>
        <v/>
      </c>
      <c r="G1350" s="33"/>
      <c r="H1350" s="33"/>
    </row>
    <row r="1351" spans="2:8" s="2" customFormat="1" ht="15" x14ac:dyDescent="0.25">
      <c r="B1351" s="21"/>
      <c r="C1351" s="22"/>
      <c r="D1351" s="29" t="str">
        <f t="shared" si="21"/>
        <v/>
      </c>
      <c r="E1351" s="22"/>
      <c r="F1351" s="22" t="str">
        <f ca="1">auto_pop!H1351</f>
        <v/>
      </c>
      <c r="G1351" s="33"/>
      <c r="H1351" s="33"/>
    </row>
    <row r="1352" spans="2:8" s="2" customFormat="1" ht="15" x14ac:dyDescent="0.25">
      <c r="B1352" s="21"/>
      <c r="C1352" s="22"/>
      <c r="D1352" s="29" t="str">
        <f t="shared" si="21"/>
        <v/>
      </c>
      <c r="E1352" s="22"/>
      <c r="F1352" s="22" t="str">
        <f ca="1">auto_pop!H1352</f>
        <v/>
      </c>
      <c r="G1352" s="33"/>
      <c r="H1352" s="33"/>
    </row>
    <row r="1353" spans="2:8" s="2" customFormat="1" ht="15" x14ac:dyDescent="0.25">
      <c r="B1353" s="21"/>
      <c r="C1353" s="22"/>
      <c r="D1353" s="29" t="str">
        <f t="shared" si="21"/>
        <v/>
      </c>
      <c r="E1353" s="22"/>
      <c r="F1353" s="22" t="str">
        <f ca="1">auto_pop!H1353</f>
        <v/>
      </c>
      <c r="G1353" s="33"/>
      <c r="H1353" s="33"/>
    </row>
    <row r="1354" spans="2:8" s="2" customFormat="1" ht="15" x14ac:dyDescent="0.25">
      <c r="B1354" s="21"/>
      <c r="C1354" s="22"/>
      <c r="D1354" s="29" t="str">
        <f t="shared" si="21"/>
        <v/>
      </c>
      <c r="E1354" s="22"/>
      <c r="F1354" s="22" t="str">
        <f ca="1">auto_pop!H1354</f>
        <v/>
      </c>
      <c r="G1354" s="33"/>
      <c r="H1354" s="33"/>
    </row>
    <row r="1355" spans="2:8" s="2" customFormat="1" ht="15" x14ac:dyDescent="0.25">
      <c r="B1355" s="21"/>
      <c r="C1355" s="22"/>
      <c r="D1355" s="29" t="str">
        <f t="shared" si="21"/>
        <v/>
      </c>
      <c r="E1355" s="22"/>
      <c r="F1355" s="22" t="str">
        <f ca="1">auto_pop!H1355</f>
        <v/>
      </c>
      <c r="G1355" s="33"/>
      <c r="H1355" s="33"/>
    </row>
    <row r="1356" spans="2:8" s="2" customFormat="1" ht="15" x14ac:dyDescent="0.25">
      <c r="B1356" s="21"/>
      <c r="C1356" s="22"/>
      <c r="D1356" s="29" t="str">
        <f t="shared" si="21"/>
        <v/>
      </c>
      <c r="E1356" s="22"/>
      <c r="F1356" s="22" t="str">
        <f ca="1">auto_pop!H1356</f>
        <v/>
      </c>
      <c r="G1356" s="33"/>
      <c r="H1356" s="33"/>
    </row>
    <row r="1357" spans="2:8" s="2" customFormat="1" ht="15" x14ac:dyDescent="0.25">
      <c r="B1357" s="21"/>
      <c r="C1357" s="22"/>
      <c r="D1357" s="29" t="str">
        <f t="shared" si="21"/>
        <v/>
      </c>
      <c r="E1357" s="22"/>
      <c r="F1357" s="22" t="str">
        <f ca="1">auto_pop!H1357</f>
        <v/>
      </c>
      <c r="G1357" s="33"/>
      <c r="H1357" s="33"/>
    </row>
    <row r="1358" spans="2:8" s="2" customFormat="1" ht="15" x14ac:dyDescent="0.25">
      <c r="B1358" s="21"/>
      <c r="C1358" s="22"/>
      <c r="D1358" s="29" t="str">
        <f t="shared" si="21"/>
        <v/>
      </c>
      <c r="E1358" s="22"/>
      <c r="F1358" s="22" t="str">
        <f ca="1">auto_pop!H1358</f>
        <v/>
      </c>
      <c r="G1358" s="33"/>
      <c r="H1358" s="33"/>
    </row>
    <row r="1359" spans="2:8" s="2" customFormat="1" ht="15" x14ac:dyDescent="0.25">
      <c r="B1359" s="21"/>
      <c r="C1359" s="22"/>
      <c r="D1359" s="29" t="str">
        <f t="shared" si="21"/>
        <v/>
      </c>
      <c r="E1359" s="22"/>
      <c r="F1359" s="22" t="str">
        <f ca="1">auto_pop!H1359</f>
        <v/>
      </c>
      <c r="G1359" s="33"/>
      <c r="H1359" s="33"/>
    </row>
    <row r="1360" spans="2:8" s="2" customFormat="1" ht="15" x14ac:dyDescent="0.25">
      <c r="B1360" s="21"/>
      <c r="C1360" s="22"/>
      <c r="D1360" s="29" t="str">
        <f t="shared" si="21"/>
        <v/>
      </c>
      <c r="E1360" s="22"/>
      <c r="F1360" s="22" t="str">
        <f ca="1">auto_pop!H1360</f>
        <v/>
      </c>
      <c r="G1360" s="33"/>
      <c r="H1360" s="33"/>
    </row>
    <row r="1361" spans="2:8" s="2" customFormat="1" ht="15" x14ac:dyDescent="0.25">
      <c r="B1361" s="21"/>
      <c r="C1361" s="22"/>
      <c r="D1361" s="29" t="str">
        <f t="shared" si="21"/>
        <v/>
      </c>
      <c r="E1361" s="22"/>
      <c r="F1361" s="22" t="str">
        <f ca="1">auto_pop!H1361</f>
        <v/>
      </c>
      <c r="G1361" s="33"/>
      <c r="H1361" s="33"/>
    </row>
    <row r="1362" spans="2:8" s="2" customFormat="1" ht="15" x14ac:dyDescent="0.25">
      <c r="B1362" s="21"/>
      <c r="C1362" s="22"/>
      <c r="D1362" s="29" t="str">
        <f t="shared" si="21"/>
        <v/>
      </c>
      <c r="E1362" s="22"/>
      <c r="F1362" s="22" t="str">
        <f ca="1">auto_pop!H1362</f>
        <v/>
      </c>
      <c r="G1362" s="33"/>
      <c r="H1362" s="33"/>
    </row>
    <row r="1363" spans="2:8" s="2" customFormat="1" ht="15" x14ac:dyDescent="0.25">
      <c r="B1363" s="21"/>
      <c r="C1363" s="22"/>
      <c r="D1363" s="29" t="str">
        <f t="shared" si="21"/>
        <v/>
      </c>
      <c r="E1363" s="22"/>
      <c r="F1363" s="22" t="str">
        <f ca="1">auto_pop!H1363</f>
        <v/>
      </c>
      <c r="G1363" s="33"/>
      <c r="H1363" s="33"/>
    </row>
    <row r="1364" spans="2:8" s="2" customFormat="1" ht="15" x14ac:dyDescent="0.25">
      <c r="B1364" s="21"/>
      <c r="C1364" s="22"/>
      <c r="D1364" s="29" t="str">
        <f t="shared" si="21"/>
        <v/>
      </c>
      <c r="E1364" s="22"/>
      <c r="F1364" s="22" t="str">
        <f ca="1">auto_pop!H1364</f>
        <v/>
      </c>
      <c r="G1364" s="33"/>
      <c r="H1364" s="33"/>
    </row>
    <row r="1365" spans="2:8" s="2" customFormat="1" ht="15" x14ac:dyDescent="0.25">
      <c r="B1365" s="21"/>
      <c r="C1365" s="22"/>
      <c r="D1365" s="29" t="str">
        <f t="shared" si="21"/>
        <v/>
      </c>
      <c r="E1365" s="22"/>
      <c r="F1365" s="22" t="str">
        <f ca="1">auto_pop!H1365</f>
        <v/>
      </c>
      <c r="G1365" s="33"/>
      <c r="H1365" s="33"/>
    </row>
    <row r="1366" spans="2:8" s="2" customFormat="1" ht="15" x14ac:dyDescent="0.25">
      <c r="B1366" s="21"/>
      <c r="C1366" s="22"/>
      <c r="D1366" s="29" t="str">
        <f t="shared" si="21"/>
        <v/>
      </c>
      <c r="E1366" s="22"/>
      <c r="F1366" s="22" t="str">
        <f ca="1">auto_pop!H1366</f>
        <v/>
      </c>
      <c r="G1366" s="33"/>
      <c r="H1366" s="33"/>
    </row>
    <row r="1367" spans="2:8" s="2" customFormat="1" ht="15" x14ac:dyDescent="0.25">
      <c r="B1367" s="21"/>
      <c r="C1367" s="22"/>
      <c r="D1367" s="29" t="str">
        <f t="shared" si="21"/>
        <v/>
      </c>
      <c r="E1367" s="22"/>
      <c r="F1367" s="22" t="str">
        <f ca="1">auto_pop!H1367</f>
        <v/>
      </c>
      <c r="G1367" s="33"/>
      <c r="H1367" s="33"/>
    </row>
    <row r="1368" spans="2:8" s="2" customFormat="1" ht="15" x14ac:dyDescent="0.25">
      <c r="B1368" s="21"/>
      <c r="C1368" s="22"/>
      <c r="D1368" s="29" t="str">
        <f t="shared" si="21"/>
        <v/>
      </c>
      <c r="E1368" s="22"/>
      <c r="F1368" s="22" t="str">
        <f ca="1">auto_pop!H1368</f>
        <v/>
      </c>
      <c r="G1368" s="33"/>
      <c r="H1368" s="33"/>
    </row>
    <row r="1369" spans="2:8" s="2" customFormat="1" ht="15" x14ac:dyDescent="0.25">
      <c r="B1369" s="21"/>
      <c r="C1369" s="22"/>
      <c r="D1369" s="29" t="str">
        <f t="shared" si="21"/>
        <v/>
      </c>
      <c r="E1369" s="22"/>
      <c r="F1369" s="22" t="str">
        <f ca="1">auto_pop!H1369</f>
        <v/>
      </c>
      <c r="G1369" s="33"/>
      <c r="H1369" s="33"/>
    </row>
    <row r="1370" spans="2:8" s="2" customFormat="1" ht="15" x14ac:dyDescent="0.25">
      <c r="B1370" s="21"/>
      <c r="C1370" s="22"/>
      <c r="D1370" s="29" t="str">
        <f t="shared" si="21"/>
        <v/>
      </c>
      <c r="E1370" s="22"/>
      <c r="F1370" s="22" t="str">
        <f ca="1">auto_pop!H1370</f>
        <v/>
      </c>
      <c r="G1370" s="33"/>
      <c r="H1370" s="33"/>
    </row>
    <row r="1371" spans="2:8" s="2" customFormat="1" ht="15" x14ac:dyDescent="0.25">
      <c r="B1371" s="21"/>
      <c r="C1371" s="22"/>
      <c r="D1371" s="29" t="str">
        <f t="shared" si="21"/>
        <v/>
      </c>
      <c r="E1371" s="22"/>
      <c r="F1371" s="22" t="str">
        <f ca="1">auto_pop!H1371</f>
        <v/>
      </c>
      <c r="G1371" s="33"/>
      <c r="H1371" s="33"/>
    </row>
    <row r="1372" spans="2:8" s="2" customFormat="1" ht="15" x14ac:dyDescent="0.25">
      <c r="B1372" s="21"/>
      <c r="C1372" s="22"/>
      <c r="D1372" s="29" t="str">
        <f t="shared" si="21"/>
        <v/>
      </c>
      <c r="E1372" s="22"/>
      <c r="F1372" s="22" t="str">
        <f ca="1">auto_pop!H1372</f>
        <v/>
      </c>
      <c r="G1372" s="33"/>
      <c r="H1372" s="33"/>
    </row>
    <row r="1373" spans="2:8" s="2" customFormat="1" ht="15" x14ac:dyDescent="0.25">
      <c r="B1373" s="21"/>
      <c r="C1373" s="22"/>
      <c r="D1373" s="29" t="str">
        <f t="shared" si="21"/>
        <v/>
      </c>
      <c r="E1373" s="22"/>
      <c r="F1373" s="22" t="str">
        <f ca="1">auto_pop!H1373</f>
        <v/>
      </c>
      <c r="G1373" s="33"/>
      <c r="H1373" s="33"/>
    </row>
    <row r="1374" spans="2:8" s="2" customFormat="1" ht="15" x14ac:dyDescent="0.25">
      <c r="B1374" s="21"/>
      <c r="C1374" s="22"/>
      <c r="D1374" s="29" t="str">
        <f t="shared" si="21"/>
        <v/>
      </c>
      <c r="E1374" s="22"/>
      <c r="F1374" s="22" t="str">
        <f ca="1">auto_pop!H1374</f>
        <v/>
      </c>
      <c r="G1374" s="33"/>
      <c r="H1374" s="33"/>
    </row>
    <row r="1375" spans="2:8" s="2" customFormat="1" ht="15" x14ac:dyDescent="0.25">
      <c r="B1375" s="21"/>
      <c r="C1375" s="22"/>
      <c r="D1375" s="29" t="str">
        <f t="shared" si="21"/>
        <v/>
      </c>
      <c r="E1375" s="22"/>
      <c r="F1375" s="22" t="str">
        <f ca="1">auto_pop!H1375</f>
        <v/>
      </c>
      <c r="G1375" s="33"/>
      <c r="H1375" s="33"/>
    </row>
    <row r="1376" spans="2:8" s="2" customFormat="1" ht="15" x14ac:dyDescent="0.25">
      <c r="B1376" s="21"/>
      <c r="C1376" s="22"/>
      <c r="D1376" s="29" t="str">
        <f t="shared" si="21"/>
        <v/>
      </c>
      <c r="E1376" s="22"/>
      <c r="F1376" s="22" t="str">
        <f ca="1">auto_pop!H1376</f>
        <v/>
      </c>
      <c r="G1376" s="33"/>
      <c r="H1376" s="33"/>
    </row>
    <row r="1377" spans="2:8" s="2" customFormat="1" ht="15" x14ac:dyDescent="0.25">
      <c r="B1377" s="21"/>
      <c r="C1377" s="22"/>
      <c r="D1377" s="29" t="str">
        <f t="shared" si="21"/>
        <v/>
      </c>
      <c r="E1377" s="22"/>
      <c r="F1377" s="22" t="str">
        <f ca="1">auto_pop!H1377</f>
        <v/>
      </c>
      <c r="G1377" s="33"/>
      <c r="H1377" s="33"/>
    </row>
    <row r="1378" spans="2:8" s="2" customFormat="1" ht="15" x14ac:dyDescent="0.25">
      <c r="B1378" s="21"/>
      <c r="C1378" s="22"/>
      <c r="D1378" s="29" t="str">
        <f t="shared" si="21"/>
        <v/>
      </c>
      <c r="E1378" s="22"/>
      <c r="F1378" s="22" t="str">
        <f ca="1">auto_pop!H1378</f>
        <v/>
      </c>
      <c r="G1378" s="33"/>
      <c r="H1378" s="33"/>
    </row>
    <row r="1379" spans="2:8" s="2" customFormat="1" ht="15" x14ac:dyDescent="0.25">
      <c r="B1379" s="21"/>
      <c r="C1379" s="22"/>
      <c r="D1379" s="29" t="str">
        <f t="shared" si="21"/>
        <v/>
      </c>
      <c r="E1379" s="22"/>
      <c r="F1379" s="22" t="str">
        <f ca="1">auto_pop!H1379</f>
        <v/>
      </c>
      <c r="G1379" s="33"/>
      <c r="H1379" s="33"/>
    </row>
    <row r="1380" spans="2:8" s="2" customFormat="1" ht="15" x14ac:dyDescent="0.25">
      <c r="B1380" s="21"/>
      <c r="C1380" s="22"/>
      <c r="D1380" s="29" t="str">
        <f t="shared" si="21"/>
        <v/>
      </c>
      <c r="E1380" s="22"/>
      <c r="F1380" s="22" t="str">
        <f ca="1">auto_pop!H1380</f>
        <v/>
      </c>
      <c r="G1380" s="33"/>
      <c r="H1380" s="33"/>
    </row>
    <row r="1381" spans="2:8" s="2" customFormat="1" ht="15" x14ac:dyDescent="0.25">
      <c r="B1381" s="21"/>
      <c r="C1381" s="22"/>
      <c r="D1381" s="29" t="str">
        <f t="shared" si="21"/>
        <v/>
      </c>
      <c r="E1381" s="22"/>
      <c r="F1381" s="22" t="str">
        <f ca="1">auto_pop!H1381</f>
        <v/>
      </c>
      <c r="G1381" s="33"/>
      <c r="H1381" s="33"/>
    </row>
    <row r="1382" spans="2:8" s="2" customFormat="1" ht="15" x14ac:dyDescent="0.25">
      <c r="B1382" s="21"/>
      <c r="C1382" s="22"/>
      <c r="D1382" s="29" t="str">
        <f t="shared" si="21"/>
        <v/>
      </c>
      <c r="E1382" s="22"/>
      <c r="F1382" s="22" t="str">
        <f ca="1">auto_pop!H1382</f>
        <v/>
      </c>
      <c r="G1382" s="33"/>
      <c r="H1382" s="33"/>
    </row>
    <row r="1383" spans="2:8" s="2" customFormat="1" ht="15" x14ac:dyDescent="0.25">
      <c r="B1383" s="21"/>
      <c r="C1383" s="22"/>
      <c r="D1383" s="29" t="str">
        <f t="shared" si="21"/>
        <v/>
      </c>
      <c r="E1383" s="22"/>
      <c r="F1383" s="22" t="str">
        <f ca="1">auto_pop!H1383</f>
        <v/>
      </c>
      <c r="G1383" s="33"/>
      <c r="H1383" s="33"/>
    </row>
    <row r="1384" spans="2:8" s="2" customFormat="1" ht="15" x14ac:dyDescent="0.25">
      <c r="B1384" s="21"/>
      <c r="C1384" s="22"/>
      <c r="D1384" s="29" t="str">
        <f t="shared" si="21"/>
        <v/>
      </c>
      <c r="E1384" s="22"/>
      <c r="F1384" s="22" t="str">
        <f ca="1">auto_pop!H1384</f>
        <v/>
      </c>
      <c r="G1384" s="33"/>
      <c r="H1384" s="33"/>
    </row>
    <row r="1385" spans="2:8" s="2" customFormat="1" ht="15" x14ac:dyDescent="0.25">
      <c r="B1385" s="21"/>
      <c r="C1385" s="22"/>
      <c r="D1385" s="29" t="str">
        <f t="shared" si="21"/>
        <v/>
      </c>
      <c r="E1385" s="22"/>
      <c r="F1385" s="22" t="str">
        <f ca="1">auto_pop!H1385</f>
        <v/>
      </c>
      <c r="G1385" s="33"/>
      <c r="H1385" s="33"/>
    </row>
    <row r="1386" spans="2:8" s="2" customFormat="1" ht="15" x14ac:dyDescent="0.25">
      <c r="B1386" s="21"/>
      <c r="C1386" s="22"/>
      <c r="D1386" s="29" t="str">
        <f t="shared" si="21"/>
        <v/>
      </c>
      <c r="E1386" s="22"/>
      <c r="F1386" s="22" t="str">
        <f ca="1">auto_pop!H1386</f>
        <v/>
      </c>
      <c r="G1386" s="33"/>
      <c r="H1386" s="33"/>
    </row>
    <row r="1387" spans="2:8" s="2" customFormat="1" ht="15" x14ac:dyDescent="0.25">
      <c r="B1387" s="21"/>
      <c r="C1387" s="22"/>
      <c r="D1387" s="29" t="str">
        <f t="shared" si="21"/>
        <v/>
      </c>
      <c r="E1387" s="22"/>
      <c r="F1387" s="22" t="str">
        <f ca="1">auto_pop!H1387</f>
        <v/>
      </c>
      <c r="G1387" s="33"/>
      <c r="H1387" s="33"/>
    </row>
    <row r="1388" spans="2:8" s="2" customFormat="1" ht="15" x14ac:dyDescent="0.25">
      <c r="B1388" s="21"/>
      <c r="C1388" s="22"/>
      <c r="D1388" s="29" t="str">
        <f t="shared" si="21"/>
        <v/>
      </c>
      <c r="E1388" s="22"/>
      <c r="F1388" s="22" t="str">
        <f ca="1">auto_pop!H1388</f>
        <v/>
      </c>
      <c r="G1388" s="33"/>
      <c r="H1388" s="33"/>
    </row>
    <row r="1389" spans="2:8" s="2" customFormat="1" ht="15" x14ac:dyDescent="0.25">
      <c r="B1389" s="21"/>
      <c r="C1389" s="22"/>
      <c r="D1389" s="29" t="str">
        <f t="shared" si="21"/>
        <v/>
      </c>
      <c r="E1389" s="22"/>
      <c r="F1389" s="22" t="str">
        <f ca="1">auto_pop!H1389</f>
        <v/>
      </c>
      <c r="G1389" s="33"/>
      <c r="H1389" s="33"/>
    </row>
    <row r="1390" spans="2:8" s="2" customFormat="1" ht="15" x14ac:dyDescent="0.25">
      <c r="B1390" s="21"/>
      <c r="C1390" s="22"/>
      <c r="D1390" s="29" t="str">
        <f t="shared" si="21"/>
        <v/>
      </c>
      <c r="E1390" s="22"/>
      <c r="F1390" s="22" t="str">
        <f ca="1">auto_pop!H1390</f>
        <v/>
      </c>
      <c r="G1390" s="33"/>
      <c r="H1390" s="33"/>
    </row>
    <row r="1391" spans="2:8" s="2" customFormat="1" ht="15" x14ac:dyDescent="0.25">
      <c r="B1391" s="21"/>
      <c r="C1391" s="22"/>
      <c r="D1391" s="29" t="str">
        <f t="shared" si="21"/>
        <v/>
      </c>
      <c r="E1391" s="22"/>
      <c r="F1391" s="22" t="str">
        <f ca="1">auto_pop!H1391</f>
        <v/>
      </c>
      <c r="G1391" s="33"/>
      <c r="H1391" s="33"/>
    </row>
    <row r="1392" spans="2:8" s="2" customFormat="1" ht="15" x14ac:dyDescent="0.25">
      <c r="B1392" s="21"/>
      <c r="C1392" s="22"/>
      <c r="D1392" s="29" t="str">
        <f t="shared" si="21"/>
        <v/>
      </c>
      <c r="E1392" s="22"/>
      <c r="F1392" s="22" t="str">
        <f ca="1">auto_pop!H1392</f>
        <v/>
      </c>
      <c r="G1392" s="33"/>
      <c r="H1392" s="33"/>
    </row>
    <row r="1393" spans="2:8" s="2" customFormat="1" ht="15" x14ac:dyDescent="0.25">
      <c r="B1393" s="21"/>
      <c r="C1393" s="22"/>
      <c r="D1393" s="29" t="str">
        <f t="shared" si="21"/>
        <v/>
      </c>
      <c r="E1393" s="22"/>
      <c r="F1393" s="22" t="str">
        <f ca="1">auto_pop!H1393</f>
        <v/>
      </c>
      <c r="G1393" s="33"/>
      <c r="H1393" s="33"/>
    </row>
    <row r="1394" spans="2:8" s="2" customFormat="1" ht="15" x14ac:dyDescent="0.25">
      <c r="B1394" s="21"/>
      <c r="C1394" s="22"/>
      <c r="D1394" s="29" t="str">
        <f t="shared" si="21"/>
        <v/>
      </c>
      <c r="E1394" s="22"/>
      <c r="F1394" s="22" t="str">
        <f ca="1">auto_pop!H1394</f>
        <v/>
      </c>
      <c r="G1394" s="33"/>
      <c r="H1394" s="33"/>
    </row>
    <row r="1395" spans="2:8" s="2" customFormat="1" ht="15" x14ac:dyDescent="0.25">
      <c r="B1395" s="21"/>
      <c r="C1395" s="22"/>
      <c r="D1395" s="29" t="str">
        <f t="shared" si="21"/>
        <v/>
      </c>
      <c r="E1395" s="22"/>
      <c r="F1395" s="22" t="str">
        <f ca="1">auto_pop!H1395</f>
        <v/>
      </c>
      <c r="G1395" s="33"/>
      <c r="H1395" s="33"/>
    </row>
    <row r="1396" spans="2:8" s="2" customFormat="1" ht="15" x14ac:dyDescent="0.25">
      <c r="B1396" s="21"/>
      <c r="C1396" s="22"/>
      <c r="D1396" s="29" t="str">
        <f t="shared" si="21"/>
        <v/>
      </c>
      <c r="E1396" s="22"/>
      <c r="F1396" s="22" t="str">
        <f ca="1">auto_pop!H1396</f>
        <v/>
      </c>
      <c r="G1396" s="33"/>
      <c r="H1396" s="33"/>
    </row>
    <row r="1397" spans="2:8" s="2" customFormat="1" ht="15" x14ac:dyDescent="0.25">
      <c r="B1397" s="21"/>
      <c r="C1397" s="22"/>
      <c r="D1397" s="29" t="str">
        <f t="shared" si="21"/>
        <v/>
      </c>
      <c r="E1397" s="22"/>
      <c r="F1397" s="22" t="str">
        <f ca="1">auto_pop!H1397</f>
        <v/>
      </c>
      <c r="G1397" s="33"/>
      <c r="H1397" s="33"/>
    </row>
    <row r="1398" spans="2:8" s="2" customFormat="1" ht="15" x14ac:dyDescent="0.25">
      <c r="B1398" s="21"/>
      <c r="C1398" s="22"/>
      <c r="D1398" s="29" t="str">
        <f t="shared" si="21"/>
        <v/>
      </c>
      <c r="E1398" s="22"/>
      <c r="F1398" s="22" t="str">
        <f ca="1">auto_pop!H1398</f>
        <v/>
      </c>
      <c r="G1398" s="33"/>
      <c r="H1398" s="33"/>
    </row>
    <row r="1399" spans="2:8" s="2" customFormat="1" ht="15" x14ac:dyDescent="0.25">
      <c r="B1399" s="21"/>
      <c r="C1399" s="22"/>
      <c r="D1399" s="29" t="str">
        <f t="shared" si="21"/>
        <v/>
      </c>
      <c r="E1399" s="22"/>
      <c r="F1399" s="22" t="str">
        <f ca="1">auto_pop!H1399</f>
        <v/>
      </c>
      <c r="G1399" s="33"/>
      <c r="H1399" s="33"/>
    </row>
    <row r="1400" spans="2:8" s="2" customFormat="1" ht="15" x14ac:dyDescent="0.25">
      <c r="B1400" s="21"/>
      <c r="C1400" s="22"/>
      <c r="D1400" s="29" t="str">
        <f t="shared" si="21"/>
        <v/>
      </c>
      <c r="E1400" s="22"/>
      <c r="F1400" s="22" t="str">
        <f ca="1">auto_pop!H1400</f>
        <v/>
      </c>
      <c r="G1400" s="33"/>
      <c r="H1400" s="33"/>
    </row>
    <row r="1401" spans="2:8" s="2" customFormat="1" ht="15" x14ac:dyDescent="0.25">
      <c r="B1401" s="21"/>
      <c r="C1401" s="22"/>
      <c r="D1401" s="29" t="str">
        <f t="shared" si="21"/>
        <v/>
      </c>
      <c r="E1401" s="22"/>
      <c r="F1401" s="22" t="str">
        <f ca="1">auto_pop!H1401</f>
        <v/>
      </c>
      <c r="G1401" s="33"/>
      <c r="H1401" s="33"/>
    </row>
    <row r="1402" spans="2:8" s="2" customFormat="1" ht="15" x14ac:dyDescent="0.25">
      <c r="B1402" s="21"/>
      <c r="C1402" s="22"/>
      <c r="D1402" s="29" t="str">
        <f t="shared" si="21"/>
        <v/>
      </c>
      <c r="E1402" s="22"/>
      <c r="F1402" s="22" t="str">
        <f ca="1">auto_pop!H1402</f>
        <v/>
      </c>
      <c r="G1402" s="33"/>
      <c r="H1402" s="33"/>
    </row>
    <row r="1403" spans="2:8" s="2" customFormat="1" ht="15" x14ac:dyDescent="0.25">
      <c r="B1403" s="21"/>
      <c r="C1403" s="22"/>
      <c r="D1403" s="29" t="str">
        <f t="shared" si="21"/>
        <v/>
      </c>
      <c r="E1403" s="22"/>
      <c r="F1403" s="22" t="str">
        <f ca="1">auto_pop!H1403</f>
        <v/>
      </c>
      <c r="G1403" s="33"/>
      <c r="H1403" s="33"/>
    </row>
    <row r="1404" spans="2:8" s="2" customFormat="1" ht="15" x14ac:dyDescent="0.25">
      <c r="B1404" s="21"/>
      <c r="C1404" s="22"/>
      <c r="D1404" s="29" t="str">
        <f t="shared" si="21"/>
        <v/>
      </c>
      <c r="E1404" s="22"/>
      <c r="F1404" s="22" t="str">
        <f ca="1">auto_pop!H1404</f>
        <v/>
      </c>
      <c r="G1404" s="33"/>
      <c r="H1404" s="33"/>
    </row>
    <row r="1405" spans="2:8" s="2" customFormat="1" ht="15" x14ac:dyDescent="0.25">
      <c r="B1405" s="21"/>
      <c r="C1405" s="22"/>
      <c r="D1405" s="29" t="str">
        <f t="shared" si="21"/>
        <v/>
      </c>
      <c r="E1405" s="22"/>
      <c r="F1405" s="22" t="str">
        <f ca="1">auto_pop!H1405</f>
        <v/>
      </c>
      <c r="G1405" s="33"/>
      <c r="H1405" s="33"/>
    </row>
    <row r="1406" spans="2:8" s="2" customFormat="1" ht="15" x14ac:dyDescent="0.25">
      <c r="B1406" s="21"/>
      <c r="C1406" s="22"/>
      <c r="D1406" s="29" t="str">
        <f t="shared" si="21"/>
        <v/>
      </c>
      <c r="E1406" s="22"/>
      <c r="F1406" s="22" t="str">
        <f ca="1">auto_pop!H1406</f>
        <v/>
      </c>
      <c r="G1406" s="33"/>
      <c r="H1406" s="33"/>
    </row>
    <row r="1407" spans="2:8" s="2" customFormat="1" ht="15" x14ac:dyDescent="0.25">
      <c r="B1407" s="21"/>
      <c r="C1407" s="22"/>
      <c r="D1407" s="29" t="str">
        <f t="shared" si="21"/>
        <v/>
      </c>
      <c r="E1407" s="22"/>
      <c r="F1407" s="22" t="str">
        <f ca="1">auto_pop!H1407</f>
        <v/>
      </c>
      <c r="G1407" s="33"/>
      <c r="H1407" s="33"/>
    </row>
    <row r="1408" spans="2:8" s="2" customFormat="1" ht="15" x14ac:dyDescent="0.25">
      <c r="B1408" s="21"/>
      <c r="C1408" s="22"/>
      <c r="D1408" s="29" t="str">
        <f t="shared" si="21"/>
        <v/>
      </c>
      <c r="E1408" s="22"/>
      <c r="F1408" s="22" t="str">
        <f ca="1">auto_pop!H1408</f>
        <v/>
      </c>
      <c r="G1408" s="33"/>
      <c r="H1408" s="33"/>
    </row>
    <row r="1409" spans="2:8" s="2" customFormat="1" ht="15" x14ac:dyDescent="0.25">
      <c r="B1409" s="21"/>
      <c r="C1409" s="22"/>
      <c r="D1409" s="29" t="str">
        <f t="shared" si="21"/>
        <v/>
      </c>
      <c r="E1409" s="22"/>
      <c r="F1409" s="22" t="str">
        <f ca="1">auto_pop!H1409</f>
        <v/>
      </c>
      <c r="G1409" s="33"/>
      <c r="H1409" s="33"/>
    </row>
    <row r="1410" spans="2:8" s="2" customFormat="1" ht="15" x14ac:dyDescent="0.25">
      <c r="B1410" s="21"/>
      <c r="C1410" s="22"/>
      <c r="D1410" s="29" t="str">
        <f t="shared" si="21"/>
        <v/>
      </c>
      <c r="E1410" s="22"/>
      <c r="F1410" s="22" t="str">
        <f ca="1">auto_pop!H1410</f>
        <v/>
      </c>
      <c r="G1410" s="33"/>
      <c r="H1410" s="33"/>
    </row>
    <row r="1411" spans="2:8" s="2" customFormat="1" ht="15" x14ac:dyDescent="0.25">
      <c r="B1411" s="21"/>
      <c r="C1411" s="22"/>
      <c r="D1411" s="29" t="str">
        <f t="shared" si="21"/>
        <v/>
      </c>
      <c r="E1411" s="22"/>
      <c r="F1411" s="22" t="str">
        <f ca="1">auto_pop!H1411</f>
        <v/>
      </c>
      <c r="G1411" s="33"/>
      <c r="H1411" s="33"/>
    </row>
    <row r="1412" spans="2:8" s="2" customFormat="1" ht="15" x14ac:dyDescent="0.25">
      <c r="B1412" s="21"/>
      <c r="C1412" s="22"/>
      <c r="D1412" s="29" t="str">
        <f t="shared" ref="D1412:D1475" si="22">IF(C1412&lt;&gt;"", IF(OR(C1412="Chapin", C1412="Oatka", C1412="Seneca"), "", 1), "")</f>
        <v/>
      </c>
      <c r="E1412" s="22"/>
      <c r="F1412" s="22" t="str">
        <f ca="1">auto_pop!H1412</f>
        <v/>
      </c>
      <c r="G1412" s="33"/>
      <c r="H1412" s="33"/>
    </row>
    <row r="1413" spans="2:8" s="2" customFormat="1" ht="15" x14ac:dyDescent="0.25">
      <c r="B1413" s="21"/>
      <c r="C1413" s="22"/>
      <c r="D1413" s="29" t="str">
        <f t="shared" si="22"/>
        <v/>
      </c>
      <c r="E1413" s="22"/>
      <c r="F1413" s="22" t="str">
        <f ca="1">auto_pop!H1413</f>
        <v/>
      </c>
      <c r="G1413" s="33"/>
      <c r="H1413" s="33"/>
    </row>
    <row r="1414" spans="2:8" s="2" customFormat="1" ht="15" x14ac:dyDescent="0.25">
      <c r="B1414" s="21"/>
      <c r="C1414" s="22"/>
      <c r="D1414" s="29" t="str">
        <f t="shared" si="22"/>
        <v/>
      </c>
      <c r="E1414" s="22"/>
      <c r="F1414" s="22" t="str">
        <f ca="1">auto_pop!H1414</f>
        <v/>
      </c>
      <c r="G1414" s="33"/>
      <c r="H1414" s="33"/>
    </row>
    <row r="1415" spans="2:8" s="2" customFormat="1" ht="15" x14ac:dyDescent="0.25">
      <c r="B1415" s="21"/>
      <c r="C1415" s="22"/>
      <c r="D1415" s="29" t="str">
        <f t="shared" si="22"/>
        <v/>
      </c>
      <c r="E1415" s="22"/>
      <c r="F1415" s="22" t="str">
        <f ca="1">auto_pop!H1415</f>
        <v/>
      </c>
      <c r="G1415" s="33"/>
      <c r="H1415" s="33"/>
    </row>
    <row r="1416" spans="2:8" s="2" customFormat="1" ht="15" x14ac:dyDescent="0.25">
      <c r="B1416" s="21"/>
      <c r="C1416" s="22"/>
      <c r="D1416" s="29" t="str">
        <f t="shared" si="22"/>
        <v/>
      </c>
      <c r="E1416" s="22"/>
      <c r="F1416" s="22" t="str">
        <f ca="1">auto_pop!H1416</f>
        <v/>
      </c>
      <c r="G1416" s="33"/>
      <c r="H1416" s="33"/>
    </row>
    <row r="1417" spans="2:8" s="2" customFormat="1" ht="15" x14ac:dyDescent="0.25">
      <c r="B1417" s="21"/>
      <c r="C1417" s="22"/>
      <c r="D1417" s="29" t="str">
        <f t="shared" si="22"/>
        <v/>
      </c>
      <c r="E1417" s="22"/>
      <c r="F1417" s="22" t="str">
        <f ca="1">auto_pop!H1417</f>
        <v/>
      </c>
      <c r="G1417" s="33"/>
      <c r="H1417" s="33"/>
    </row>
    <row r="1418" spans="2:8" s="2" customFormat="1" ht="15" x14ac:dyDescent="0.25">
      <c r="B1418" s="21"/>
      <c r="C1418" s="22"/>
      <c r="D1418" s="29" t="str">
        <f t="shared" si="22"/>
        <v/>
      </c>
      <c r="E1418" s="22"/>
      <c r="F1418" s="22" t="str">
        <f ca="1">auto_pop!H1418</f>
        <v/>
      </c>
      <c r="G1418" s="33"/>
      <c r="H1418" s="33"/>
    </row>
    <row r="1419" spans="2:8" s="2" customFormat="1" ht="15" x14ac:dyDescent="0.25">
      <c r="B1419" s="21"/>
      <c r="C1419" s="22"/>
      <c r="D1419" s="29" t="str">
        <f t="shared" si="22"/>
        <v/>
      </c>
      <c r="E1419" s="22"/>
      <c r="F1419" s="22" t="str">
        <f ca="1">auto_pop!H1419</f>
        <v/>
      </c>
      <c r="G1419" s="33"/>
      <c r="H1419" s="33"/>
    </row>
    <row r="1420" spans="2:8" s="2" customFormat="1" ht="15" x14ac:dyDescent="0.25">
      <c r="B1420" s="21"/>
      <c r="C1420" s="22"/>
      <c r="D1420" s="29" t="str">
        <f t="shared" si="22"/>
        <v/>
      </c>
      <c r="E1420" s="22"/>
      <c r="F1420" s="22" t="str">
        <f ca="1">auto_pop!H1420</f>
        <v/>
      </c>
      <c r="G1420" s="33"/>
      <c r="H1420" s="33"/>
    </row>
    <row r="1421" spans="2:8" s="2" customFormat="1" ht="15" x14ac:dyDescent="0.25">
      <c r="B1421" s="21"/>
      <c r="C1421" s="22"/>
      <c r="D1421" s="29" t="str">
        <f t="shared" si="22"/>
        <v/>
      </c>
      <c r="E1421" s="22"/>
      <c r="F1421" s="22" t="str">
        <f ca="1">auto_pop!H1421</f>
        <v/>
      </c>
      <c r="G1421" s="33"/>
      <c r="H1421" s="33"/>
    </row>
    <row r="1422" spans="2:8" s="2" customFormat="1" ht="15" x14ac:dyDescent="0.25">
      <c r="B1422" s="21"/>
      <c r="C1422" s="22"/>
      <c r="D1422" s="29" t="str">
        <f t="shared" si="22"/>
        <v/>
      </c>
      <c r="E1422" s="22"/>
      <c r="F1422" s="22" t="str">
        <f ca="1">auto_pop!H1422</f>
        <v/>
      </c>
      <c r="G1422" s="33"/>
      <c r="H1422" s="33"/>
    </row>
    <row r="1423" spans="2:8" s="2" customFormat="1" ht="15" x14ac:dyDescent="0.25">
      <c r="B1423" s="21"/>
      <c r="C1423" s="22"/>
      <c r="D1423" s="29" t="str">
        <f t="shared" si="22"/>
        <v/>
      </c>
      <c r="E1423" s="22"/>
      <c r="F1423" s="22" t="str">
        <f ca="1">auto_pop!H1423</f>
        <v/>
      </c>
      <c r="G1423" s="33"/>
      <c r="H1423" s="33"/>
    </row>
    <row r="1424" spans="2:8" s="2" customFormat="1" ht="15" x14ac:dyDescent="0.25">
      <c r="B1424" s="21"/>
      <c r="C1424" s="22"/>
      <c r="D1424" s="29" t="str">
        <f t="shared" si="22"/>
        <v/>
      </c>
      <c r="E1424" s="22"/>
      <c r="F1424" s="22" t="str">
        <f ca="1">auto_pop!H1424</f>
        <v/>
      </c>
      <c r="G1424" s="33"/>
      <c r="H1424" s="33"/>
    </row>
    <row r="1425" spans="2:8" s="2" customFormat="1" ht="15" x14ac:dyDescent="0.25">
      <c r="B1425" s="21"/>
      <c r="C1425" s="22"/>
      <c r="D1425" s="29" t="str">
        <f t="shared" si="22"/>
        <v/>
      </c>
      <c r="E1425" s="22"/>
      <c r="F1425" s="22" t="str">
        <f ca="1">auto_pop!H1425</f>
        <v/>
      </c>
      <c r="G1425" s="33"/>
      <c r="H1425" s="33"/>
    </row>
    <row r="1426" spans="2:8" s="2" customFormat="1" ht="15" x14ac:dyDescent="0.25">
      <c r="B1426" s="21"/>
      <c r="C1426" s="22"/>
      <c r="D1426" s="29" t="str">
        <f t="shared" si="22"/>
        <v/>
      </c>
      <c r="E1426" s="22"/>
      <c r="F1426" s="22" t="str">
        <f ca="1">auto_pop!H1426</f>
        <v/>
      </c>
      <c r="G1426" s="33"/>
      <c r="H1426" s="33"/>
    </row>
    <row r="1427" spans="2:8" s="2" customFormat="1" ht="15" x14ac:dyDescent="0.25">
      <c r="B1427" s="21"/>
      <c r="C1427" s="22"/>
      <c r="D1427" s="29" t="str">
        <f t="shared" si="22"/>
        <v/>
      </c>
      <c r="E1427" s="22"/>
      <c r="F1427" s="22" t="str">
        <f ca="1">auto_pop!H1427</f>
        <v/>
      </c>
      <c r="G1427" s="33"/>
      <c r="H1427" s="33"/>
    </row>
    <row r="1428" spans="2:8" s="2" customFormat="1" ht="15" x14ac:dyDescent="0.25">
      <c r="B1428" s="21"/>
      <c r="C1428" s="22"/>
      <c r="D1428" s="29" t="str">
        <f t="shared" si="22"/>
        <v/>
      </c>
      <c r="E1428" s="22"/>
      <c r="F1428" s="22" t="str">
        <f ca="1">auto_pop!H1428</f>
        <v/>
      </c>
      <c r="G1428" s="33"/>
      <c r="H1428" s="33"/>
    </row>
    <row r="1429" spans="2:8" s="2" customFormat="1" ht="15" x14ac:dyDescent="0.25">
      <c r="B1429" s="21"/>
      <c r="C1429" s="22"/>
      <c r="D1429" s="29" t="str">
        <f t="shared" si="22"/>
        <v/>
      </c>
      <c r="E1429" s="22"/>
      <c r="F1429" s="22" t="str">
        <f ca="1">auto_pop!H1429</f>
        <v/>
      </c>
      <c r="G1429" s="33"/>
      <c r="H1429" s="33"/>
    </row>
    <row r="1430" spans="2:8" s="2" customFormat="1" ht="15" x14ac:dyDescent="0.25">
      <c r="B1430" s="21"/>
      <c r="C1430" s="22"/>
      <c r="D1430" s="29" t="str">
        <f t="shared" si="22"/>
        <v/>
      </c>
      <c r="E1430" s="22"/>
      <c r="F1430" s="22" t="str">
        <f ca="1">auto_pop!H1430</f>
        <v/>
      </c>
      <c r="G1430" s="33"/>
      <c r="H1430" s="33"/>
    </row>
    <row r="1431" spans="2:8" s="2" customFormat="1" ht="15" x14ac:dyDescent="0.25">
      <c r="B1431" s="21"/>
      <c r="C1431" s="22"/>
      <c r="D1431" s="29" t="str">
        <f t="shared" si="22"/>
        <v/>
      </c>
      <c r="E1431" s="22"/>
      <c r="F1431" s="22" t="str">
        <f ca="1">auto_pop!H1431</f>
        <v/>
      </c>
      <c r="G1431" s="33"/>
      <c r="H1431" s="33"/>
    </row>
    <row r="1432" spans="2:8" s="2" customFormat="1" ht="15" x14ac:dyDescent="0.25">
      <c r="B1432" s="21"/>
      <c r="C1432" s="22"/>
      <c r="D1432" s="29" t="str">
        <f t="shared" si="22"/>
        <v/>
      </c>
      <c r="E1432" s="22"/>
      <c r="F1432" s="22" t="str">
        <f ca="1">auto_pop!H1432</f>
        <v/>
      </c>
      <c r="G1432" s="33"/>
      <c r="H1432" s="33"/>
    </row>
    <row r="1433" spans="2:8" s="2" customFormat="1" ht="15" x14ac:dyDescent="0.25">
      <c r="B1433" s="21"/>
      <c r="C1433" s="22"/>
      <c r="D1433" s="29" t="str">
        <f t="shared" si="22"/>
        <v/>
      </c>
      <c r="E1433" s="22"/>
      <c r="F1433" s="22" t="str">
        <f ca="1">auto_pop!H1433</f>
        <v/>
      </c>
      <c r="G1433" s="33"/>
      <c r="H1433" s="33"/>
    </row>
    <row r="1434" spans="2:8" s="2" customFormat="1" ht="15" x14ac:dyDescent="0.25">
      <c r="B1434" s="21"/>
      <c r="C1434" s="22"/>
      <c r="D1434" s="29" t="str">
        <f t="shared" si="22"/>
        <v/>
      </c>
      <c r="E1434" s="22"/>
      <c r="F1434" s="22" t="str">
        <f ca="1">auto_pop!H1434</f>
        <v/>
      </c>
      <c r="G1434" s="33"/>
      <c r="H1434" s="33"/>
    </row>
    <row r="1435" spans="2:8" s="2" customFormat="1" ht="15" x14ac:dyDescent="0.25">
      <c r="B1435" s="21"/>
      <c r="C1435" s="22"/>
      <c r="D1435" s="29" t="str">
        <f t="shared" si="22"/>
        <v/>
      </c>
      <c r="E1435" s="22"/>
      <c r="F1435" s="22" t="str">
        <f ca="1">auto_pop!H1435</f>
        <v/>
      </c>
      <c r="G1435" s="33"/>
      <c r="H1435" s="33"/>
    </row>
    <row r="1436" spans="2:8" s="2" customFormat="1" ht="15" x14ac:dyDescent="0.25">
      <c r="B1436" s="21"/>
      <c r="C1436" s="22"/>
      <c r="D1436" s="29" t="str">
        <f t="shared" si="22"/>
        <v/>
      </c>
      <c r="E1436" s="22"/>
      <c r="F1436" s="22" t="str">
        <f ca="1">auto_pop!H1436</f>
        <v/>
      </c>
      <c r="G1436" s="33"/>
      <c r="H1436" s="33"/>
    </row>
    <row r="1437" spans="2:8" s="2" customFormat="1" ht="15" x14ac:dyDescent="0.25">
      <c r="B1437" s="21"/>
      <c r="C1437" s="22"/>
      <c r="D1437" s="29" t="str">
        <f t="shared" si="22"/>
        <v/>
      </c>
      <c r="E1437" s="22"/>
      <c r="F1437" s="22" t="str">
        <f ca="1">auto_pop!H1437</f>
        <v/>
      </c>
      <c r="G1437" s="33"/>
      <c r="H1437" s="33"/>
    </row>
    <row r="1438" spans="2:8" s="2" customFormat="1" ht="15" x14ac:dyDescent="0.25">
      <c r="B1438" s="21"/>
      <c r="C1438" s="22"/>
      <c r="D1438" s="29" t="str">
        <f t="shared" si="22"/>
        <v/>
      </c>
      <c r="E1438" s="22"/>
      <c r="F1438" s="22" t="str">
        <f ca="1">auto_pop!H1438</f>
        <v/>
      </c>
      <c r="G1438" s="33"/>
      <c r="H1438" s="33"/>
    </row>
    <row r="1439" spans="2:8" s="2" customFormat="1" ht="15" x14ac:dyDescent="0.25">
      <c r="B1439" s="21"/>
      <c r="C1439" s="22"/>
      <c r="D1439" s="29" t="str">
        <f t="shared" si="22"/>
        <v/>
      </c>
      <c r="E1439" s="22"/>
      <c r="F1439" s="22" t="str">
        <f ca="1">auto_pop!H1439</f>
        <v/>
      </c>
      <c r="G1439" s="33"/>
      <c r="H1439" s="33"/>
    </row>
    <row r="1440" spans="2:8" s="2" customFormat="1" ht="15" x14ac:dyDescent="0.25">
      <c r="B1440" s="21"/>
      <c r="C1440" s="22"/>
      <c r="D1440" s="29" t="str">
        <f t="shared" si="22"/>
        <v/>
      </c>
      <c r="E1440" s="22"/>
      <c r="F1440" s="22" t="str">
        <f ca="1">auto_pop!H1440</f>
        <v/>
      </c>
      <c r="G1440" s="33"/>
      <c r="H1440" s="33"/>
    </row>
    <row r="1441" spans="2:8" s="2" customFormat="1" ht="15" x14ac:dyDescent="0.25">
      <c r="B1441" s="21"/>
      <c r="C1441" s="22"/>
      <c r="D1441" s="29" t="str">
        <f t="shared" si="22"/>
        <v/>
      </c>
      <c r="E1441" s="22"/>
      <c r="F1441" s="22" t="str">
        <f ca="1">auto_pop!H1441</f>
        <v/>
      </c>
      <c r="G1441" s="33"/>
      <c r="H1441" s="33"/>
    </row>
    <row r="1442" spans="2:8" s="2" customFormat="1" ht="15" x14ac:dyDescent="0.25">
      <c r="B1442" s="21"/>
      <c r="C1442" s="22"/>
      <c r="D1442" s="29" t="str">
        <f t="shared" si="22"/>
        <v/>
      </c>
      <c r="E1442" s="22"/>
      <c r="F1442" s="22" t="str">
        <f ca="1">auto_pop!H1442</f>
        <v/>
      </c>
      <c r="G1442" s="33"/>
      <c r="H1442" s="33"/>
    </row>
    <row r="1443" spans="2:8" s="2" customFormat="1" ht="15" x14ac:dyDescent="0.25">
      <c r="B1443" s="21"/>
      <c r="C1443" s="22"/>
      <c r="D1443" s="29" t="str">
        <f t="shared" si="22"/>
        <v/>
      </c>
      <c r="E1443" s="22"/>
      <c r="F1443" s="22" t="str">
        <f ca="1">auto_pop!H1443</f>
        <v/>
      </c>
      <c r="G1443" s="33"/>
      <c r="H1443" s="33"/>
    </row>
    <row r="1444" spans="2:8" s="2" customFormat="1" ht="15" x14ac:dyDescent="0.25">
      <c r="B1444" s="21"/>
      <c r="C1444" s="22"/>
      <c r="D1444" s="29" t="str">
        <f t="shared" si="22"/>
        <v/>
      </c>
      <c r="E1444" s="22"/>
      <c r="F1444" s="22" t="str">
        <f ca="1">auto_pop!H1444</f>
        <v/>
      </c>
      <c r="G1444" s="33"/>
      <c r="H1444" s="33"/>
    </row>
    <row r="1445" spans="2:8" s="2" customFormat="1" ht="15" x14ac:dyDescent="0.25">
      <c r="B1445" s="21"/>
      <c r="C1445" s="22"/>
      <c r="D1445" s="29" t="str">
        <f t="shared" si="22"/>
        <v/>
      </c>
      <c r="E1445" s="22"/>
      <c r="F1445" s="22" t="str">
        <f ca="1">auto_pop!H1445</f>
        <v/>
      </c>
      <c r="G1445" s="33"/>
      <c r="H1445" s="33"/>
    </row>
    <row r="1446" spans="2:8" s="2" customFormat="1" ht="15" x14ac:dyDescent="0.25">
      <c r="B1446" s="21"/>
      <c r="C1446" s="22"/>
      <c r="D1446" s="29" t="str">
        <f t="shared" si="22"/>
        <v/>
      </c>
      <c r="E1446" s="22"/>
      <c r="F1446" s="22" t="str">
        <f ca="1">auto_pop!H1446</f>
        <v/>
      </c>
      <c r="G1446" s="33"/>
      <c r="H1446" s="33"/>
    </row>
    <row r="1447" spans="2:8" s="2" customFormat="1" ht="15" x14ac:dyDescent="0.25">
      <c r="B1447" s="21"/>
      <c r="C1447" s="22"/>
      <c r="D1447" s="29" t="str">
        <f t="shared" si="22"/>
        <v/>
      </c>
      <c r="E1447" s="22"/>
      <c r="F1447" s="22" t="str">
        <f ca="1">auto_pop!H1447</f>
        <v/>
      </c>
      <c r="G1447" s="33"/>
      <c r="H1447" s="33"/>
    </row>
    <row r="1448" spans="2:8" s="2" customFormat="1" ht="15" x14ac:dyDescent="0.25">
      <c r="B1448" s="21"/>
      <c r="C1448" s="22"/>
      <c r="D1448" s="29" t="str">
        <f t="shared" si="22"/>
        <v/>
      </c>
      <c r="E1448" s="22"/>
      <c r="F1448" s="22" t="str">
        <f ca="1">auto_pop!H1448</f>
        <v/>
      </c>
      <c r="G1448" s="33"/>
      <c r="H1448" s="33"/>
    </row>
    <row r="1449" spans="2:8" s="2" customFormat="1" ht="15" x14ac:dyDescent="0.25">
      <c r="B1449" s="21"/>
      <c r="C1449" s="22"/>
      <c r="D1449" s="29" t="str">
        <f t="shared" si="22"/>
        <v/>
      </c>
      <c r="E1449" s="22"/>
      <c r="F1449" s="22" t="str">
        <f ca="1">auto_pop!H1449</f>
        <v/>
      </c>
      <c r="G1449" s="33"/>
      <c r="H1449" s="33"/>
    </row>
    <row r="1450" spans="2:8" s="2" customFormat="1" ht="15" x14ac:dyDescent="0.25">
      <c r="B1450" s="21"/>
      <c r="C1450" s="22"/>
      <c r="D1450" s="29" t="str">
        <f t="shared" si="22"/>
        <v/>
      </c>
      <c r="E1450" s="22"/>
      <c r="F1450" s="22" t="str">
        <f ca="1">auto_pop!H1450</f>
        <v/>
      </c>
      <c r="G1450" s="33"/>
      <c r="H1450" s="33"/>
    </row>
    <row r="1451" spans="2:8" s="2" customFormat="1" ht="15" x14ac:dyDescent="0.25">
      <c r="B1451" s="21"/>
      <c r="C1451" s="22"/>
      <c r="D1451" s="29" t="str">
        <f t="shared" si="22"/>
        <v/>
      </c>
      <c r="E1451" s="22"/>
      <c r="F1451" s="22" t="str">
        <f ca="1">auto_pop!H1451</f>
        <v/>
      </c>
      <c r="G1451" s="33"/>
      <c r="H1451" s="33"/>
    </row>
    <row r="1452" spans="2:8" s="2" customFormat="1" ht="15" x14ac:dyDescent="0.25">
      <c r="B1452" s="21"/>
      <c r="C1452" s="22"/>
      <c r="D1452" s="29" t="str">
        <f t="shared" si="22"/>
        <v/>
      </c>
      <c r="E1452" s="22"/>
      <c r="F1452" s="22" t="str">
        <f ca="1">auto_pop!H1452</f>
        <v/>
      </c>
      <c r="G1452" s="33"/>
      <c r="H1452" s="33"/>
    </row>
    <row r="1453" spans="2:8" s="2" customFormat="1" ht="15" x14ac:dyDescent="0.25">
      <c r="B1453" s="21"/>
      <c r="C1453" s="22"/>
      <c r="D1453" s="29" t="str">
        <f t="shared" si="22"/>
        <v/>
      </c>
      <c r="E1453" s="22"/>
      <c r="F1453" s="22" t="str">
        <f ca="1">auto_pop!H1453</f>
        <v/>
      </c>
      <c r="G1453" s="33"/>
      <c r="H1453" s="33"/>
    </row>
    <row r="1454" spans="2:8" s="2" customFormat="1" ht="15" x14ac:dyDescent="0.25">
      <c r="B1454" s="21"/>
      <c r="C1454" s="22"/>
      <c r="D1454" s="29" t="str">
        <f t="shared" si="22"/>
        <v/>
      </c>
      <c r="E1454" s="22"/>
      <c r="F1454" s="22" t="str">
        <f ca="1">auto_pop!H1454</f>
        <v/>
      </c>
      <c r="G1454" s="33"/>
      <c r="H1454" s="33"/>
    </row>
    <row r="1455" spans="2:8" s="2" customFormat="1" ht="15" x14ac:dyDescent="0.25">
      <c r="B1455" s="21"/>
      <c r="C1455" s="22"/>
      <c r="D1455" s="29" t="str">
        <f t="shared" si="22"/>
        <v/>
      </c>
      <c r="E1455" s="22"/>
      <c r="F1455" s="22" t="str">
        <f ca="1">auto_pop!H1455</f>
        <v/>
      </c>
      <c r="G1455" s="33"/>
      <c r="H1455" s="33"/>
    </row>
    <row r="1456" spans="2:8" s="2" customFormat="1" ht="15" x14ac:dyDescent="0.25">
      <c r="B1456" s="21"/>
      <c r="C1456" s="22"/>
      <c r="D1456" s="29" t="str">
        <f t="shared" si="22"/>
        <v/>
      </c>
      <c r="E1456" s="22"/>
      <c r="F1456" s="22" t="str">
        <f ca="1">auto_pop!H1456</f>
        <v/>
      </c>
      <c r="G1456" s="33"/>
      <c r="H1456" s="33"/>
    </row>
    <row r="1457" spans="2:8" s="2" customFormat="1" ht="15" x14ac:dyDescent="0.25">
      <c r="B1457" s="21"/>
      <c r="C1457" s="22"/>
      <c r="D1457" s="29" t="str">
        <f t="shared" si="22"/>
        <v/>
      </c>
      <c r="E1457" s="22"/>
      <c r="F1457" s="22" t="str">
        <f ca="1">auto_pop!H1457</f>
        <v/>
      </c>
      <c r="G1457" s="33"/>
      <c r="H1457" s="33"/>
    </row>
    <row r="1458" spans="2:8" s="2" customFormat="1" ht="15" x14ac:dyDescent="0.25">
      <c r="B1458" s="21"/>
      <c r="C1458" s="22"/>
      <c r="D1458" s="29" t="str">
        <f t="shared" si="22"/>
        <v/>
      </c>
      <c r="E1458" s="22"/>
      <c r="F1458" s="22" t="str">
        <f ca="1">auto_pop!H1458</f>
        <v/>
      </c>
      <c r="G1458" s="33"/>
      <c r="H1458" s="33"/>
    </row>
    <row r="1459" spans="2:8" s="2" customFormat="1" ht="15" x14ac:dyDescent="0.25">
      <c r="B1459" s="21"/>
      <c r="C1459" s="22"/>
      <c r="D1459" s="29" t="str">
        <f t="shared" si="22"/>
        <v/>
      </c>
      <c r="E1459" s="22"/>
      <c r="F1459" s="22" t="str">
        <f ca="1">auto_pop!H1459</f>
        <v/>
      </c>
      <c r="G1459" s="33"/>
      <c r="H1459" s="33"/>
    </row>
    <row r="1460" spans="2:8" s="2" customFormat="1" ht="15" x14ac:dyDescent="0.25">
      <c r="B1460" s="21"/>
      <c r="C1460" s="22"/>
      <c r="D1460" s="29" t="str">
        <f t="shared" si="22"/>
        <v/>
      </c>
      <c r="E1460" s="22"/>
      <c r="F1460" s="22" t="str">
        <f ca="1">auto_pop!H1460</f>
        <v/>
      </c>
      <c r="G1460" s="33"/>
      <c r="H1460" s="33"/>
    </row>
    <row r="1461" spans="2:8" s="2" customFormat="1" ht="15" x14ac:dyDescent="0.25">
      <c r="B1461" s="21"/>
      <c r="C1461" s="22"/>
      <c r="D1461" s="29" t="str">
        <f t="shared" si="22"/>
        <v/>
      </c>
      <c r="E1461" s="22"/>
      <c r="F1461" s="22" t="str">
        <f ca="1">auto_pop!H1461</f>
        <v/>
      </c>
      <c r="G1461" s="33"/>
      <c r="H1461" s="33"/>
    </row>
    <row r="1462" spans="2:8" s="2" customFormat="1" ht="15" x14ac:dyDescent="0.25">
      <c r="B1462" s="21"/>
      <c r="C1462" s="22"/>
      <c r="D1462" s="29" t="str">
        <f t="shared" si="22"/>
        <v/>
      </c>
      <c r="E1462" s="22"/>
      <c r="F1462" s="22" t="str">
        <f ca="1">auto_pop!H1462</f>
        <v/>
      </c>
      <c r="G1462" s="33"/>
      <c r="H1462" s="33"/>
    </row>
    <row r="1463" spans="2:8" s="2" customFormat="1" ht="15" x14ac:dyDescent="0.25">
      <c r="B1463" s="21"/>
      <c r="C1463" s="22"/>
      <c r="D1463" s="29" t="str">
        <f t="shared" si="22"/>
        <v/>
      </c>
      <c r="E1463" s="22"/>
      <c r="F1463" s="22" t="str">
        <f ca="1">auto_pop!H1463</f>
        <v/>
      </c>
      <c r="G1463" s="33"/>
      <c r="H1463" s="33"/>
    </row>
    <row r="1464" spans="2:8" s="2" customFormat="1" ht="15" x14ac:dyDescent="0.25">
      <c r="B1464" s="21"/>
      <c r="C1464" s="22"/>
      <c r="D1464" s="29" t="str">
        <f t="shared" si="22"/>
        <v/>
      </c>
      <c r="E1464" s="22"/>
      <c r="F1464" s="22" t="str">
        <f ca="1">auto_pop!H1464</f>
        <v/>
      </c>
      <c r="G1464" s="33"/>
      <c r="H1464" s="33"/>
    </row>
    <row r="1465" spans="2:8" s="2" customFormat="1" ht="15" x14ac:dyDescent="0.25">
      <c r="B1465" s="21"/>
      <c r="C1465" s="22"/>
      <c r="D1465" s="29" t="str">
        <f t="shared" si="22"/>
        <v/>
      </c>
      <c r="E1465" s="22"/>
      <c r="F1465" s="22" t="str">
        <f ca="1">auto_pop!H1465</f>
        <v/>
      </c>
      <c r="G1465" s="33"/>
      <c r="H1465" s="33"/>
    </row>
    <row r="1466" spans="2:8" s="2" customFormat="1" ht="15" x14ac:dyDescent="0.25">
      <c r="B1466" s="21"/>
      <c r="C1466" s="22"/>
      <c r="D1466" s="29" t="str">
        <f t="shared" si="22"/>
        <v/>
      </c>
      <c r="E1466" s="22"/>
      <c r="F1466" s="22" t="str">
        <f ca="1">auto_pop!H1466</f>
        <v/>
      </c>
      <c r="G1466" s="33"/>
      <c r="H1466" s="33"/>
    </row>
    <row r="1467" spans="2:8" s="2" customFormat="1" ht="15" x14ac:dyDescent="0.25">
      <c r="B1467" s="21"/>
      <c r="C1467" s="22"/>
      <c r="D1467" s="29" t="str">
        <f t="shared" si="22"/>
        <v/>
      </c>
      <c r="E1467" s="22"/>
      <c r="F1467" s="22" t="str">
        <f ca="1">auto_pop!H1467</f>
        <v/>
      </c>
      <c r="G1467" s="33"/>
      <c r="H1467" s="33"/>
    </row>
    <row r="1468" spans="2:8" s="2" customFormat="1" ht="15" x14ac:dyDescent="0.25">
      <c r="B1468" s="21"/>
      <c r="C1468" s="22"/>
      <c r="D1468" s="29" t="str">
        <f t="shared" si="22"/>
        <v/>
      </c>
      <c r="E1468" s="22"/>
      <c r="F1468" s="22" t="str">
        <f ca="1">auto_pop!H1468</f>
        <v/>
      </c>
      <c r="G1468" s="33"/>
      <c r="H1468" s="33"/>
    </row>
    <row r="1469" spans="2:8" s="2" customFormat="1" ht="15" x14ac:dyDescent="0.25">
      <c r="B1469" s="21"/>
      <c r="C1469" s="22"/>
      <c r="D1469" s="29" t="str">
        <f t="shared" si="22"/>
        <v/>
      </c>
      <c r="E1469" s="22"/>
      <c r="F1469" s="22" t="str">
        <f ca="1">auto_pop!H1469</f>
        <v/>
      </c>
      <c r="G1469" s="33"/>
      <c r="H1469" s="33"/>
    </row>
    <row r="1470" spans="2:8" s="2" customFormat="1" ht="15" x14ac:dyDescent="0.25">
      <c r="B1470" s="21"/>
      <c r="C1470" s="22"/>
      <c r="D1470" s="29" t="str">
        <f t="shared" si="22"/>
        <v/>
      </c>
      <c r="E1470" s="22"/>
      <c r="F1470" s="22" t="str">
        <f ca="1">auto_pop!H1470</f>
        <v/>
      </c>
      <c r="G1470" s="33"/>
      <c r="H1470" s="33"/>
    </row>
    <row r="1471" spans="2:8" s="2" customFormat="1" ht="15" x14ac:dyDescent="0.25">
      <c r="B1471" s="21"/>
      <c r="C1471" s="22"/>
      <c r="D1471" s="29" t="str">
        <f t="shared" si="22"/>
        <v/>
      </c>
      <c r="E1471" s="22"/>
      <c r="F1471" s="22" t="str">
        <f ca="1">auto_pop!H1471</f>
        <v/>
      </c>
      <c r="G1471" s="33"/>
      <c r="H1471" s="33"/>
    </row>
    <row r="1472" spans="2:8" s="2" customFormat="1" ht="15" x14ac:dyDescent="0.25">
      <c r="B1472" s="21"/>
      <c r="C1472" s="22"/>
      <c r="D1472" s="29" t="str">
        <f t="shared" si="22"/>
        <v/>
      </c>
      <c r="E1472" s="22"/>
      <c r="F1472" s="22" t="str">
        <f ca="1">auto_pop!H1472</f>
        <v/>
      </c>
      <c r="G1472" s="33"/>
      <c r="H1472" s="33"/>
    </row>
    <row r="1473" spans="2:8" s="2" customFormat="1" ht="15" x14ac:dyDescent="0.25">
      <c r="B1473" s="21"/>
      <c r="C1473" s="22"/>
      <c r="D1473" s="29" t="str">
        <f t="shared" si="22"/>
        <v/>
      </c>
      <c r="E1473" s="22"/>
      <c r="F1473" s="22" t="str">
        <f ca="1">auto_pop!H1473</f>
        <v/>
      </c>
      <c r="G1473" s="33"/>
      <c r="H1473" s="33"/>
    </row>
    <row r="1474" spans="2:8" s="2" customFormat="1" ht="15" x14ac:dyDescent="0.25">
      <c r="B1474" s="21"/>
      <c r="C1474" s="22"/>
      <c r="D1474" s="29" t="str">
        <f t="shared" si="22"/>
        <v/>
      </c>
      <c r="E1474" s="22"/>
      <c r="F1474" s="22" t="str">
        <f ca="1">auto_pop!H1474</f>
        <v/>
      </c>
      <c r="G1474" s="33"/>
      <c r="H1474" s="33"/>
    </row>
    <row r="1475" spans="2:8" s="2" customFormat="1" ht="15" x14ac:dyDescent="0.25">
      <c r="B1475" s="21"/>
      <c r="C1475" s="22"/>
      <c r="D1475" s="29" t="str">
        <f t="shared" si="22"/>
        <v/>
      </c>
      <c r="E1475" s="22"/>
      <c r="F1475" s="22" t="str">
        <f ca="1">auto_pop!H1475</f>
        <v/>
      </c>
      <c r="G1475" s="33"/>
      <c r="H1475" s="33"/>
    </row>
    <row r="1476" spans="2:8" s="2" customFormat="1" ht="15" x14ac:dyDescent="0.25">
      <c r="B1476" s="21"/>
      <c r="C1476" s="22"/>
      <c r="D1476" s="29" t="str">
        <f t="shared" ref="D1476:D1539" si="23">IF(C1476&lt;&gt;"", IF(OR(C1476="Chapin", C1476="Oatka", C1476="Seneca"), "", 1), "")</f>
        <v/>
      </c>
      <c r="E1476" s="22"/>
      <c r="F1476" s="22" t="str">
        <f ca="1">auto_pop!H1476</f>
        <v/>
      </c>
      <c r="G1476" s="33"/>
      <c r="H1476" s="33"/>
    </row>
    <row r="1477" spans="2:8" s="2" customFormat="1" ht="15" x14ac:dyDescent="0.25">
      <c r="B1477" s="21"/>
      <c r="C1477" s="22"/>
      <c r="D1477" s="29" t="str">
        <f t="shared" si="23"/>
        <v/>
      </c>
      <c r="E1477" s="22"/>
      <c r="F1477" s="22" t="str">
        <f ca="1">auto_pop!H1477</f>
        <v/>
      </c>
      <c r="G1477" s="33"/>
      <c r="H1477" s="33"/>
    </row>
    <row r="1478" spans="2:8" s="2" customFormat="1" ht="15" x14ac:dyDescent="0.25">
      <c r="B1478" s="21"/>
      <c r="C1478" s="22"/>
      <c r="D1478" s="29" t="str">
        <f t="shared" si="23"/>
        <v/>
      </c>
      <c r="E1478" s="22"/>
      <c r="F1478" s="22" t="str">
        <f ca="1">auto_pop!H1478</f>
        <v/>
      </c>
      <c r="G1478" s="33"/>
      <c r="H1478" s="33"/>
    </row>
    <row r="1479" spans="2:8" s="2" customFormat="1" ht="15" x14ac:dyDescent="0.25">
      <c r="B1479" s="21"/>
      <c r="C1479" s="22"/>
      <c r="D1479" s="29" t="str">
        <f t="shared" si="23"/>
        <v/>
      </c>
      <c r="E1479" s="22"/>
      <c r="F1479" s="22" t="str">
        <f ca="1">auto_pop!H1479</f>
        <v/>
      </c>
      <c r="G1479" s="33"/>
      <c r="H1479" s="33"/>
    </row>
    <row r="1480" spans="2:8" s="2" customFormat="1" ht="15" x14ac:dyDescent="0.25">
      <c r="B1480" s="21"/>
      <c r="C1480" s="22"/>
      <c r="D1480" s="29" t="str">
        <f t="shared" si="23"/>
        <v/>
      </c>
      <c r="E1480" s="22"/>
      <c r="F1480" s="22" t="str">
        <f ca="1">auto_pop!H1480</f>
        <v/>
      </c>
      <c r="G1480" s="33"/>
      <c r="H1480" s="33"/>
    </row>
    <row r="1481" spans="2:8" s="2" customFormat="1" ht="15" x14ac:dyDescent="0.25">
      <c r="B1481" s="21"/>
      <c r="C1481" s="22"/>
      <c r="D1481" s="29" t="str">
        <f t="shared" si="23"/>
        <v/>
      </c>
      <c r="E1481" s="22"/>
      <c r="F1481" s="22" t="str">
        <f ca="1">auto_pop!H1481</f>
        <v/>
      </c>
      <c r="G1481" s="33"/>
      <c r="H1481" s="33"/>
    </row>
    <row r="1482" spans="2:8" s="2" customFormat="1" ht="15" x14ac:dyDescent="0.25">
      <c r="B1482" s="21"/>
      <c r="C1482" s="22"/>
      <c r="D1482" s="29" t="str">
        <f t="shared" si="23"/>
        <v/>
      </c>
      <c r="E1482" s="22"/>
      <c r="F1482" s="22" t="str">
        <f ca="1">auto_pop!H1482</f>
        <v/>
      </c>
      <c r="G1482" s="33"/>
      <c r="H1482" s="33"/>
    </row>
    <row r="1483" spans="2:8" s="2" customFormat="1" ht="15" x14ac:dyDescent="0.25">
      <c r="B1483" s="21"/>
      <c r="C1483" s="22"/>
      <c r="D1483" s="29" t="str">
        <f t="shared" si="23"/>
        <v/>
      </c>
      <c r="E1483" s="22"/>
      <c r="F1483" s="22" t="str">
        <f ca="1">auto_pop!H1483</f>
        <v/>
      </c>
      <c r="G1483" s="33"/>
      <c r="H1483" s="33"/>
    </row>
    <row r="1484" spans="2:8" s="2" customFormat="1" ht="15" x14ac:dyDescent="0.25">
      <c r="B1484" s="21"/>
      <c r="C1484" s="22"/>
      <c r="D1484" s="29" t="str">
        <f t="shared" si="23"/>
        <v/>
      </c>
      <c r="E1484" s="22"/>
      <c r="F1484" s="22" t="str">
        <f ca="1">auto_pop!H1484</f>
        <v/>
      </c>
      <c r="G1484" s="33"/>
      <c r="H1484" s="33"/>
    </row>
    <row r="1485" spans="2:8" s="2" customFormat="1" ht="15" x14ac:dyDescent="0.25">
      <c r="B1485" s="21"/>
      <c r="C1485" s="22"/>
      <c r="D1485" s="29" t="str">
        <f t="shared" si="23"/>
        <v/>
      </c>
      <c r="E1485" s="22"/>
      <c r="F1485" s="22" t="str">
        <f ca="1">auto_pop!H1485</f>
        <v/>
      </c>
      <c r="G1485" s="33"/>
      <c r="H1485" s="33"/>
    </row>
    <row r="1486" spans="2:8" s="2" customFormat="1" ht="15" x14ac:dyDescent="0.25">
      <c r="B1486" s="21"/>
      <c r="C1486" s="22"/>
      <c r="D1486" s="29" t="str">
        <f t="shared" si="23"/>
        <v/>
      </c>
      <c r="E1486" s="22"/>
      <c r="F1486" s="22" t="str">
        <f ca="1">auto_pop!H1486</f>
        <v/>
      </c>
      <c r="G1486" s="33"/>
      <c r="H1486" s="33"/>
    </row>
    <row r="1487" spans="2:8" s="2" customFormat="1" ht="15" x14ac:dyDescent="0.25">
      <c r="B1487" s="21"/>
      <c r="C1487" s="22"/>
      <c r="D1487" s="29" t="str">
        <f t="shared" si="23"/>
        <v/>
      </c>
      <c r="E1487" s="22"/>
      <c r="F1487" s="22" t="str">
        <f ca="1">auto_pop!H1487</f>
        <v/>
      </c>
      <c r="G1487" s="33"/>
      <c r="H1487" s="33"/>
    </row>
    <row r="1488" spans="2:8" s="2" customFormat="1" ht="15" x14ac:dyDescent="0.25">
      <c r="B1488" s="21"/>
      <c r="C1488" s="22"/>
      <c r="D1488" s="29" t="str">
        <f t="shared" si="23"/>
        <v/>
      </c>
      <c r="E1488" s="22"/>
      <c r="F1488" s="22" t="str">
        <f ca="1">auto_pop!H1488</f>
        <v/>
      </c>
      <c r="G1488" s="33"/>
      <c r="H1488" s="33"/>
    </row>
    <row r="1489" spans="2:8" s="2" customFormat="1" ht="15" x14ac:dyDescent="0.25">
      <c r="B1489" s="21"/>
      <c r="C1489" s="22"/>
      <c r="D1489" s="29" t="str">
        <f t="shared" si="23"/>
        <v/>
      </c>
      <c r="E1489" s="22"/>
      <c r="F1489" s="22" t="str">
        <f ca="1">auto_pop!H1489</f>
        <v/>
      </c>
      <c r="G1489" s="33"/>
      <c r="H1489" s="33"/>
    </row>
    <row r="1490" spans="2:8" s="2" customFormat="1" ht="15" x14ac:dyDescent="0.25">
      <c r="B1490" s="21"/>
      <c r="C1490" s="22"/>
      <c r="D1490" s="29" t="str">
        <f t="shared" si="23"/>
        <v/>
      </c>
      <c r="E1490" s="22"/>
      <c r="F1490" s="22" t="str">
        <f ca="1">auto_pop!H1490</f>
        <v/>
      </c>
      <c r="G1490" s="33"/>
      <c r="H1490" s="33"/>
    </row>
    <row r="1491" spans="2:8" s="2" customFormat="1" ht="15" x14ac:dyDescent="0.25">
      <c r="B1491" s="21"/>
      <c r="C1491" s="22"/>
      <c r="D1491" s="29" t="str">
        <f t="shared" si="23"/>
        <v/>
      </c>
      <c r="E1491" s="22"/>
      <c r="F1491" s="22" t="str">
        <f ca="1">auto_pop!H1491</f>
        <v/>
      </c>
      <c r="G1491" s="33"/>
      <c r="H1491" s="33"/>
    </row>
    <row r="1492" spans="2:8" s="2" customFormat="1" ht="15" x14ac:dyDescent="0.25">
      <c r="B1492" s="21"/>
      <c r="C1492" s="22"/>
      <c r="D1492" s="29" t="str">
        <f t="shared" si="23"/>
        <v/>
      </c>
      <c r="E1492" s="22"/>
      <c r="F1492" s="22" t="str">
        <f ca="1">auto_pop!H1492</f>
        <v/>
      </c>
      <c r="G1492" s="33"/>
      <c r="H1492" s="33"/>
    </row>
    <row r="1493" spans="2:8" s="2" customFormat="1" ht="15" x14ac:dyDescent="0.25">
      <c r="B1493" s="21"/>
      <c r="C1493" s="22"/>
      <c r="D1493" s="29" t="str">
        <f t="shared" si="23"/>
        <v/>
      </c>
      <c r="E1493" s="22"/>
      <c r="F1493" s="22" t="str">
        <f ca="1">auto_pop!H1493</f>
        <v/>
      </c>
      <c r="G1493" s="33"/>
      <c r="H1493" s="33"/>
    </row>
    <row r="1494" spans="2:8" s="2" customFormat="1" ht="15" x14ac:dyDescent="0.25">
      <c r="B1494" s="21"/>
      <c r="C1494" s="22"/>
      <c r="D1494" s="29" t="str">
        <f t="shared" si="23"/>
        <v/>
      </c>
      <c r="E1494" s="22"/>
      <c r="F1494" s="22" t="str">
        <f ca="1">auto_pop!H1494</f>
        <v/>
      </c>
      <c r="G1494" s="33"/>
      <c r="H1494" s="33"/>
    </row>
    <row r="1495" spans="2:8" s="2" customFormat="1" ht="15" x14ac:dyDescent="0.25">
      <c r="B1495" s="21"/>
      <c r="C1495" s="22"/>
      <c r="D1495" s="29" t="str">
        <f t="shared" si="23"/>
        <v/>
      </c>
      <c r="E1495" s="22"/>
      <c r="F1495" s="22" t="str">
        <f ca="1">auto_pop!H1495</f>
        <v/>
      </c>
      <c r="G1495" s="33"/>
      <c r="H1495" s="33"/>
    </row>
    <row r="1496" spans="2:8" s="2" customFormat="1" ht="15" x14ac:dyDescent="0.25">
      <c r="B1496" s="21"/>
      <c r="C1496" s="22"/>
      <c r="D1496" s="29" t="str">
        <f t="shared" si="23"/>
        <v/>
      </c>
      <c r="E1496" s="22"/>
      <c r="F1496" s="22" t="str">
        <f ca="1">auto_pop!H1496</f>
        <v/>
      </c>
      <c r="G1496" s="33"/>
      <c r="H1496" s="33"/>
    </row>
    <row r="1497" spans="2:8" s="2" customFormat="1" ht="15" x14ac:dyDescent="0.25">
      <c r="B1497" s="21"/>
      <c r="C1497" s="22"/>
      <c r="D1497" s="29" t="str">
        <f t="shared" si="23"/>
        <v/>
      </c>
      <c r="E1497" s="22"/>
      <c r="F1497" s="22" t="str">
        <f ca="1">auto_pop!H1497</f>
        <v/>
      </c>
      <c r="G1497" s="33"/>
      <c r="H1497" s="33"/>
    </row>
    <row r="1498" spans="2:8" s="2" customFormat="1" ht="15" x14ac:dyDescent="0.25">
      <c r="B1498" s="21"/>
      <c r="C1498" s="22"/>
      <c r="D1498" s="29" t="str">
        <f t="shared" si="23"/>
        <v/>
      </c>
      <c r="E1498" s="22"/>
      <c r="F1498" s="22" t="str">
        <f ca="1">auto_pop!H1498</f>
        <v/>
      </c>
      <c r="G1498" s="33"/>
      <c r="H1498" s="33"/>
    </row>
    <row r="1499" spans="2:8" s="2" customFormat="1" ht="15" x14ac:dyDescent="0.25">
      <c r="B1499" s="21"/>
      <c r="C1499" s="22"/>
      <c r="D1499" s="29" t="str">
        <f t="shared" si="23"/>
        <v/>
      </c>
      <c r="E1499" s="22"/>
      <c r="F1499" s="22" t="str">
        <f ca="1">auto_pop!H1499</f>
        <v/>
      </c>
      <c r="G1499" s="33"/>
      <c r="H1499" s="33"/>
    </row>
    <row r="1500" spans="2:8" s="2" customFormat="1" ht="15" x14ac:dyDescent="0.25">
      <c r="B1500" s="21"/>
      <c r="C1500" s="22"/>
      <c r="D1500" s="29" t="str">
        <f t="shared" si="23"/>
        <v/>
      </c>
      <c r="E1500" s="22"/>
      <c r="F1500" s="22" t="str">
        <f ca="1">auto_pop!H1500</f>
        <v/>
      </c>
      <c r="G1500" s="33"/>
      <c r="H1500" s="33"/>
    </row>
    <row r="1501" spans="2:8" s="2" customFormat="1" ht="15" x14ac:dyDescent="0.25">
      <c r="B1501" s="21"/>
      <c r="C1501" s="22"/>
      <c r="D1501" s="29" t="str">
        <f t="shared" si="23"/>
        <v/>
      </c>
      <c r="E1501" s="22"/>
      <c r="F1501" s="22" t="str">
        <f ca="1">auto_pop!H1501</f>
        <v/>
      </c>
      <c r="G1501" s="33"/>
      <c r="H1501" s="33"/>
    </row>
    <row r="1502" spans="2:8" s="2" customFormat="1" ht="15" x14ac:dyDescent="0.25">
      <c r="B1502" s="21"/>
      <c r="C1502" s="22"/>
      <c r="D1502" s="29" t="str">
        <f t="shared" si="23"/>
        <v/>
      </c>
      <c r="E1502" s="22"/>
      <c r="F1502" s="22" t="str">
        <f ca="1">auto_pop!H1502</f>
        <v/>
      </c>
      <c r="G1502" s="33"/>
      <c r="H1502" s="33"/>
    </row>
    <row r="1503" spans="2:8" s="2" customFormat="1" ht="15" x14ac:dyDescent="0.25">
      <c r="B1503" s="21"/>
      <c r="C1503" s="22"/>
      <c r="D1503" s="29" t="str">
        <f t="shared" si="23"/>
        <v/>
      </c>
      <c r="E1503" s="22"/>
      <c r="F1503" s="22" t="str">
        <f ca="1">auto_pop!H1503</f>
        <v/>
      </c>
      <c r="G1503" s="33"/>
      <c r="H1503" s="33"/>
    </row>
    <row r="1504" spans="2:8" s="2" customFormat="1" ht="15" x14ac:dyDescent="0.25">
      <c r="B1504" s="21"/>
      <c r="C1504" s="22"/>
      <c r="D1504" s="29" t="str">
        <f t="shared" si="23"/>
        <v/>
      </c>
      <c r="E1504" s="22"/>
      <c r="F1504" s="22" t="str">
        <f ca="1">auto_pop!H1504</f>
        <v/>
      </c>
      <c r="G1504" s="33"/>
      <c r="H1504" s="33"/>
    </row>
    <row r="1505" spans="2:8" s="2" customFormat="1" ht="15" x14ac:dyDescent="0.25">
      <c r="B1505" s="21"/>
      <c r="C1505" s="22"/>
      <c r="D1505" s="29" t="str">
        <f t="shared" si="23"/>
        <v/>
      </c>
      <c r="E1505" s="22"/>
      <c r="F1505" s="22" t="str">
        <f ca="1">auto_pop!H1505</f>
        <v/>
      </c>
      <c r="G1505" s="33"/>
      <c r="H1505" s="33"/>
    </row>
    <row r="1506" spans="2:8" s="2" customFormat="1" ht="15" x14ac:dyDescent="0.25">
      <c r="B1506" s="21"/>
      <c r="C1506" s="22"/>
      <c r="D1506" s="29" t="str">
        <f t="shared" si="23"/>
        <v/>
      </c>
      <c r="E1506" s="22"/>
      <c r="F1506" s="22" t="str">
        <f ca="1">auto_pop!H1506</f>
        <v/>
      </c>
      <c r="G1506" s="33"/>
      <c r="H1506" s="33"/>
    </row>
    <row r="1507" spans="2:8" s="2" customFormat="1" ht="15" x14ac:dyDescent="0.25">
      <c r="B1507" s="21"/>
      <c r="C1507" s="22"/>
      <c r="D1507" s="29" t="str">
        <f t="shared" si="23"/>
        <v/>
      </c>
      <c r="E1507" s="22"/>
      <c r="F1507" s="22" t="str">
        <f ca="1">auto_pop!H1507</f>
        <v/>
      </c>
      <c r="G1507" s="33"/>
      <c r="H1507" s="33"/>
    </row>
    <row r="1508" spans="2:8" s="2" customFormat="1" ht="15" x14ac:dyDescent="0.25">
      <c r="B1508" s="21"/>
      <c r="C1508" s="22"/>
      <c r="D1508" s="29" t="str">
        <f t="shared" si="23"/>
        <v/>
      </c>
      <c r="E1508" s="22"/>
      <c r="F1508" s="22" t="str">
        <f ca="1">auto_pop!H1508</f>
        <v/>
      </c>
      <c r="G1508" s="33"/>
      <c r="H1508" s="33"/>
    </row>
    <row r="1509" spans="2:8" s="2" customFormat="1" ht="15" x14ac:dyDescent="0.25">
      <c r="B1509" s="21"/>
      <c r="C1509" s="22"/>
      <c r="D1509" s="29" t="str">
        <f t="shared" si="23"/>
        <v/>
      </c>
      <c r="E1509" s="22"/>
      <c r="F1509" s="22" t="str">
        <f ca="1">auto_pop!H1509</f>
        <v/>
      </c>
      <c r="G1509" s="33"/>
      <c r="H1509" s="33"/>
    </row>
    <row r="1510" spans="2:8" s="2" customFormat="1" ht="15" x14ac:dyDescent="0.25">
      <c r="B1510" s="21"/>
      <c r="C1510" s="22"/>
      <c r="D1510" s="29" t="str">
        <f t="shared" si="23"/>
        <v/>
      </c>
      <c r="E1510" s="22"/>
      <c r="F1510" s="22" t="str">
        <f ca="1">auto_pop!H1510</f>
        <v/>
      </c>
      <c r="G1510" s="33"/>
      <c r="H1510" s="33"/>
    </row>
    <row r="1511" spans="2:8" s="2" customFormat="1" ht="15" x14ac:dyDescent="0.25">
      <c r="B1511" s="21"/>
      <c r="C1511" s="22"/>
      <c r="D1511" s="29" t="str">
        <f t="shared" si="23"/>
        <v/>
      </c>
      <c r="E1511" s="22"/>
      <c r="F1511" s="22" t="str">
        <f ca="1">auto_pop!H1511</f>
        <v/>
      </c>
      <c r="G1511" s="33"/>
      <c r="H1511" s="33"/>
    </row>
    <row r="1512" spans="2:8" s="2" customFormat="1" ht="15" x14ac:dyDescent="0.25">
      <c r="B1512" s="21"/>
      <c r="C1512" s="22"/>
      <c r="D1512" s="29" t="str">
        <f t="shared" si="23"/>
        <v/>
      </c>
      <c r="E1512" s="22"/>
      <c r="F1512" s="22" t="str">
        <f ca="1">auto_pop!H1512</f>
        <v/>
      </c>
      <c r="G1512" s="33"/>
      <c r="H1512" s="33"/>
    </row>
    <row r="1513" spans="2:8" s="2" customFormat="1" ht="15" x14ac:dyDescent="0.25">
      <c r="B1513" s="21"/>
      <c r="C1513" s="22"/>
      <c r="D1513" s="29" t="str">
        <f t="shared" si="23"/>
        <v/>
      </c>
      <c r="E1513" s="22"/>
      <c r="F1513" s="22" t="str">
        <f ca="1">auto_pop!H1513</f>
        <v/>
      </c>
      <c r="G1513" s="33"/>
      <c r="H1513" s="33"/>
    </row>
    <row r="1514" spans="2:8" s="2" customFormat="1" ht="15" x14ac:dyDescent="0.25">
      <c r="B1514" s="21"/>
      <c r="C1514" s="22"/>
      <c r="D1514" s="29" t="str">
        <f t="shared" si="23"/>
        <v/>
      </c>
      <c r="E1514" s="22"/>
      <c r="F1514" s="22" t="str">
        <f ca="1">auto_pop!H1514</f>
        <v/>
      </c>
      <c r="G1514" s="33"/>
      <c r="H1514" s="33"/>
    </row>
    <row r="1515" spans="2:8" s="2" customFormat="1" ht="15" x14ac:dyDescent="0.25">
      <c r="B1515" s="21"/>
      <c r="C1515" s="22"/>
      <c r="D1515" s="29" t="str">
        <f t="shared" si="23"/>
        <v/>
      </c>
      <c r="E1515" s="22"/>
      <c r="F1515" s="22" t="str">
        <f ca="1">auto_pop!H1515</f>
        <v/>
      </c>
      <c r="G1515" s="33"/>
      <c r="H1515" s="33"/>
    </row>
    <row r="1516" spans="2:8" s="2" customFormat="1" ht="15" x14ac:dyDescent="0.25">
      <c r="B1516" s="21"/>
      <c r="C1516" s="22"/>
      <c r="D1516" s="29" t="str">
        <f t="shared" si="23"/>
        <v/>
      </c>
      <c r="E1516" s="22"/>
      <c r="F1516" s="22" t="str">
        <f ca="1">auto_pop!H1516</f>
        <v/>
      </c>
      <c r="G1516" s="33"/>
      <c r="H1516" s="33"/>
    </row>
    <row r="1517" spans="2:8" s="2" customFormat="1" ht="15" x14ac:dyDescent="0.25">
      <c r="B1517" s="21"/>
      <c r="C1517" s="22"/>
      <c r="D1517" s="29" t="str">
        <f t="shared" si="23"/>
        <v/>
      </c>
      <c r="E1517" s="22"/>
      <c r="F1517" s="22" t="str">
        <f ca="1">auto_pop!H1517</f>
        <v/>
      </c>
      <c r="G1517" s="33"/>
      <c r="H1517" s="33"/>
    </row>
    <row r="1518" spans="2:8" s="2" customFormat="1" ht="15" x14ac:dyDescent="0.25">
      <c r="B1518" s="21"/>
      <c r="C1518" s="22"/>
      <c r="D1518" s="29" t="str">
        <f t="shared" si="23"/>
        <v/>
      </c>
      <c r="E1518" s="22"/>
      <c r="F1518" s="22" t="str">
        <f ca="1">auto_pop!H1518</f>
        <v/>
      </c>
      <c r="G1518" s="33"/>
      <c r="H1518" s="33"/>
    </row>
    <row r="1519" spans="2:8" s="2" customFormat="1" ht="15" x14ac:dyDescent="0.25">
      <c r="B1519" s="21"/>
      <c r="C1519" s="22"/>
      <c r="D1519" s="29" t="str">
        <f t="shared" si="23"/>
        <v/>
      </c>
      <c r="E1519" s="22"/>
      <c r="F1519" s="22" t="str">
        <f ca="1">auto_pop!H1519</f>
        <v/>
      </c>
      <c r="G1519" s="33"/>
      <c r="H1519" s="33"/>
    </row>
    <row r="1520" spans="2:8" s="2" customFormat="1" ht="15" x14ac:dyDescent="0.25">
      <c r="B1520" s="21"/>
      <c r="C1520" s="22"/>
      <c r="D1520" s="29" t="str">
        <f t="shared" si="23"/>
        <v/>
      </c>
      <c r="E1520" s="22"/>
      <c r="F1520" s="22" t="str">
        <f ca="1">auto_pop!H1520</f>
        <v/>
      </c>
      <c r="G1520" s="33"/>
      <c r="H1520" s="33"/>
    </row>
    <row r="1521" spans="2:8" s="2" customFormat="1" ht="15" x14ac:dyDescent="0.25">
      <c r="B1521" s="21"/>
      <c r="C1521" s="22"/>
      <c r="D1521" s="29" t="str">
        <f t="shared" si="23"/>
        <v/>
      </c>
      <c r="E1521" s="22"/>
      <c r="F1521" s="22" t="str">
        <f ca="1">auto_pop!H1521</f>
        <v/>
      </c>
      <c r="G1521" s="33"/>
      <c r="H1521" s="33"/>
    </row>
    <row r="1522" spans="2:8" s="2" customFormat="1" ht="15" x14ac:dyDescent="0.25">
      <c r="B1522" s="21"/>
      <c r="C1522" s="22"/>
      <c r="D1522" s="29" t="str">
        <f t="shared" si="23"/>
        <v/>
      </c>
      <c r="E1522" s="22"/>
      <c r="F1522" s="22" t="str">
        <f ca="1">auto_pop!H1522</f>
        <v/>
      </c>
      <c r="G1522" s="33"/>
      <c r="H1522" s="33"/>
    </row>
    <row r="1523" spans="2:8" s="2" customFormat="1" ht="15" x14ac:dyDescent="0.25">
      <c r="B1523" s="21"/>
      <c r="C1523" s="22"/>
      <c r="D1523" s="29" t="str">
        <f t="shared" si="23"/>
        <v/>
      </c>
      <c r="E1523" s="22"/>
      <c r="F1523" s="22" t="str">
        <f ca="1">auto_pop!H1523</f>
        <v/>
      </c>
      <c r="G1523" s="33"/>
      <c r="H1523" s="33"/>
    </row>
    <row r="1524" spans="2:8" s="2" customFormat="1" ht="15" x14ac:dyDescent="0.25">
      <c r="B1524" s="21"/>
      <c r="C1524" s="22"/>
      <c r="D1524" s="29" t="str">
        <f t="shared" si="23"/>
        <v/>
      </c>
      <c r="E1524" s="22"/>
      <c r="F1524" s="22" t="str">
        <f ca="1">auto_pop!H1524</f>
        <v/>
      </c>
      <c r="G1524" s="33"/>
      <c r="H1524" s="33"/>
    </row>
    <row r="1525" spans="2:8" s="2" customFormat="1" ht="15" x14ac:dyDescent="0.25">
      <c r="B1525" s="21"/>
      <c r="C1525" s="22"/>
      <c r="D1525" s="29" t="str">
        <f t="shared" si="23"/>
        <v/>
      </c>
      <c r="E1525" s="22"/>
      <c r="F1525" s="22" t="str">
        <f ca="1">auto_pop!H1525</f>
        <v/>
      </c>
      <c r="G1525" s="33"/>
      <c r="H1525" s="33"/>
    </row>
    <row r="1526" spans="2:8" s="2" customFormat="1" ht="15" x14ac:dyDescent="0.25">
      <c r="B1526" s="21"/>
      <c r="C1526" s="22"/>
      <c r="D1526" s="29" t="str">
        <f t="shared" si="23"/>
        <v/>
      </c>
      <c r="E1526" s="22"/>
      <c r="F1526" s="22" t="str">
        <f ca="1">auto_pop!H1526</f>
        <v/>
      </c>
      <c r="G1526" s="33"/>
      <c r="H1526" s="33"/>
    </row>
    <row r="1527" spans="2:8" s="2" customFormat="1" ht="15" x14ac:dyDescent="0.25">
      <c r="B1527" s="21"/>
      <c r="C1527" s="22"/>
      <c r="D1527" s="29" t="str">
        <f t="shared" si="23"/>
        <v/>
      </c>
      <c r="E1527" s="22"/>
      <c r="F1527" s="22" t="str">
        <f ca="1">auto_pop!H1527</f>
        <v/>
      </c>
      <c r="G1527" s="33"/>
      <c r="H1527" s="33"/>
    </row>
    <row r="1528" spans="2:8" s="2" customFormat="1" ht="15" x14ac:dyDescent="0.25">
      <c r="B1528" s="21"/>
      <c r="C1528" s="22"/>
      <c r="D1528" s="29" t="str">
        <f t="shared" si="23"/>
        <v/>
      </c>
      <c r="E1528" s="22"/>
      <c r="F1528" s="22" t="str">
        <f ca="1">auto_pop!H1528</f>
        <v/>
      </c>
      <c r="G1528" s="33"/>
      <c r="H1528" s="33"/>
    </row>
    <row r="1529" spans="2:8" s="2" customFormat="1" ht="15" x14ac:dyDescent="0.25">
      <c r="B1529" s="21"/>
      <c r="C1529" s="22"/>
      <c r="D1529" s="29" t="str">
        <f t="shared" si="23"/>
        <v/>
      </c>
      <c r="E1529" s="22"/>
      <c r="F1529" s="22" t="str">
        <f ca="1">auto_pop!H1529</f>
        <v/>
      </c>
      <c r="G1529" s="33"/>
      <c r="H1529" s="33"/>
    </row>
    <row r="1530" spans="2:8" s="2" customFormat="1" ht="15" x14ac:dyDescent="0.25">
      <c r="B1530" s="21"/>
      <c r="C1530" s="22"/>
      <c r="D1530" s="29" t="str">
        <f t="shared" si="23"/>
        <v/>
      </c>
      <c r="E1530" s="22"/>
      <c r="F1530" s="22" t="str">
        <f ca="1">auto_pop!H1530</f>
        <v/>
      </c>
      <c r="G1530" s="33"/>
      <c r="H1530" s="33"/>
    </row>
    <row r="1531" spans="2:8" s="2" customFormat="1" ht="15" x14ac:dyDescent="0.25">
      <c r="B1531" s="21"/>
      <c r="C1531" s="22"/>
      <c r="D1531" s="29" t="str">
        <f t="shared" si="23"/>
        <v/>
      </c>
      <c r="E1531" s="22"/>
      <c r="F1531" s="22" t="str">
        <f ca="1">auto_pop!H1531</f>
        <v/>
      </c>
      <c r="G1531" s="33"/>
      <c r="H1531" s="33"/>
    </row>
    <row r="1532" spans="2:8" s="2" customFormat="1" ht="15" x14ac:dyDescent="0.25">
      <c r="B1532" s="21"/>
      <c r="C1532" s="22"/>
      <c r="D1532" s="29" t="str">
        <f t="shared" si="23"/>
        <v/>
      </c>
      <c r="E1532" s="22"/>
      <c r="F1532" s="22" t="str">
        <f ca="1">auto_pop!H1532</f>
        <v/>
      </c>
      <c r="G1532" s="33"/>
      <c r="H1532" s="33"/>
    </row>
    <row r="1533" spans="2:8" s="2" customFormat="1" ht="15" x14ac:dyDescent="0.25">
      <c r="B1533" s="21"/>
      <c r="C1533" s="22"/>
      <c r="D1533" s="29" t="str">
        <f t="shared" si="23"/>
        <v/>
      </c>
      <c r="E1533" s="22"/>
      <c r="F1533" s="22" t="str">
        <f ca="1">auto_pop!H1533</f>
        <v/>
      </c>
      <c r="G1533" s="33"/>
      <c r="H1533" s="33"/>
    </row>
    <row r="1534" spans="2:8" s="2" customFormat="1" ht="15" x14ac:dyDescent="0.25">
      <c r="B1534" s="21"/>
      <c r="C1534" s="22"/>
      <c r="D1534" s="29" t="str">
        <f t="shared" si="23"/>
        <v/>
      </c>
      <c r="E1534" s="22"/>
      <c r="F1534" s="22" t="str">
        <f ca="1">auto_pop!H1534</f>
        <v/>
      </c>
      <c r="G1534" s="33"/>
      <c r="H1534" s="33"/>
    </row>
    <row r="1535" spans="2:8" s="2" customFormat="1" ht="15" x14ac:dyDescent="0.25">
      <c r="B1535" s="21"/>
      <c r="C1535" s="22"/>
      <c r="D1535" s="29" t="str">
        <f t="shared" si="23"/>
        <v/>
      </c>
      <c r="E1535" s="22"/>
      <c r="F1535" s="22" t="str">
        <f ca="1">auto_pop!H1535</f>
        <v/>
      </c>
      <c r="G1535" s="33"/>
      <c r="H1535" s="33"/>
    </row>
    <row r="1536" spans="2:8" s="2" customFormat="1" ht="15" x14ac:dyDescent="0.25">
      <c r="B1536" s="21"/>
      <c r="C1536" s="22"/>
      <c r="D1536" s="29" t="str">
        <f t="shared" si="23"/>
        <v/>
      </c>
      <c r="E1536" s="22"/>
      <c r="F1536" s="22" t="str">
        <f ca="1">auto_pop!H1536</f>
        <v/>
      </c>
      <c r="G1536" s="33"/>
      <c r="H1536" s="33"/>
    </row>
    <row r="1537" spans="2:8" s="2" customFormat="1" ht="15" x14ac:dyDescent="0.25">
      <c r="B1537" s="21"/>
      <c r="C1537" s="22"/>
      <c r="D1537" s="29" t="str">
        <f t="shared" si="23"/>
        <v/>
      </c>
      <c r="E1537" s="22"/>
      <c r="F1537" s="22" t="str">
        <f ca="1">auto_pop!H1537</f>
        <v/>
      </c>
      <c r="G1537" s="33"/>
      <c r="H1537" s="33"/>
    </row>
    <row r="1538" spans="2:8" s="2" customFormat="1" ht="15" x14ac:dyDescent="0.25">
      <c r="B1538" s="21"/>
      <c r="C1538" s="22"/>
      <c r="D1538" s="29" t="str">
        <f t="shared" si="23"/>
        <v/>
      </c>
      <c r="E1538" s="22"/>
      <c r="F1538" s="22" t="str">
        <f ca="1">auto_pop!H1538</f>
        <v/>
      </c>
      <c r="G1538" s="33"/>
      <c r="H1538" s="33"/>
    </row>
    <row r="1539" spans="2:8" s="2" customFormat="1" ht="15" x14ac:dyDescent="0.25">
      <c r="B1539" s="21"/>
      <c r="C1539" s="22"/>
      <c r="D1539" s="29" t="str">
        <f t="shared" si="23"/>
        <v/>
      </c>
      <c r="E1539" s="22"/>
      <c r="F1539" s="22" t="str">
        <f ca="1">auto_pop!H1539</f>
        <v/>
      </c>
      <c r="G1539" s="33"/>
      <c r="H1539" s="33"/>
    </row>
    <row r="1540" spans="2:8" s="2" customFormat="1" ht="15" x14ac:dyDescent="0.25">
      <c r="B1540" s="21"/>
      <c r="C1540" s="22"/>
      <c r="D1540" s="29" t="str">
        <f t="shared" ref="D1540:D1603" si="24">IF(C1540&lt;&gt;"", IF(OR(C1540="Chapin", C1540="Oatka", C1540="Seneca"), "", 1), "")</f>
        <v/>
      </c>
      <c r="E1540" s="22"/>
      <c r="F1540" s="22" t="str">
        <f ca="1">auto_pop!H1540</f>
        <v/>
      </c>
      <c r="G1540" s="33"/>
      <c r="H1540" s="33"/>
    </row>
    <row r="1541" spans="2:8" s="2" customFormat="1" ht="15" x14ac:dyDescent="0.25">
      <c r="B1541" s="21"/>
      <c r="C1541" s="22"/>
      <c r="D1541" s="29" t="str">
        <f t="shared" si="24"/>
        <v/>
      </c>
      <c r="E1541" s="22"/>
      <c r="F1541" s="22" t="str">
        <f ca="1">auto_pop!H1541</f>
        <v/>
      </c>
      <c r="G1541" s="33"/>
      <c r="H1541" s="33"/>
    </row>
    <row r="1542" spans="2:8" s="2" customFormat="1" ht="15" x14ac:dyDescent="0.25">
      <c r="B1542" s="21"/>
      <c r="C1542" s="22"/>
      <c r="D1542" s="29" t="str">
        <f t="shared" si="24"/>
        <v/>
      </c>
      <c r="E1542" s="22"/>
      <c r="F1542" s="22" t="str">
        <f ca="1">auto_pop!H1542</f>
        <v/>
      </c>
      <c r="G1542" s="33"/>
      <c r="H1542" s="33"/>
    </row>
    <row r="1543" spans="2:8" s="2" customFormat="1" ht="15" x14ac:dyDescent="0.25">
      <c r="B1543" s="21"/>
      <c r="C1543" s="22"/>
      <c r="D1543" s="29" t="str">
        <f t="shared" si="24"/>
        <v/>
      </c>
      <c r="E1543" s="22"/>
      <c r="F1543" s="22" t="str">
        <f ca="1">auto_pop!H1543</f>
        <v/>
      </c>
      <c r="G1543" s="33"/>
      <c r="H1543" s="33"/>
    </row>
    <row r="1544" spans="2:8" s="2" customFormat="1" ht="15" x14ac:dyDescent="0.25">
      <c r="B1544" s="21"/>
      <c r="C1544" s="22"/>
      <c r="D1544" s="29" t="str">
        <f t="shared" si="24"/>
        <v/>
      </c>
      <c r="E1544" s="22"/>
      <c r="F1544" s="22" t="str">
        <f ca="1">auto_pop!H1544</f>
        <v/>
      </c>
      <c r="G1544" s="33"/>
      <c r="H1544" s="33"/>
    </row>
    <row r="1545" spans="2:8" s="2" customFormat="1" ht="15" x14ac:dyDescent="0.25">
      <c r="B1545" s="21"/>
      <c r="C1545" s="22"/>
      <c r="D1545" s="29" t="str">
        <f t="shared" si="24"/>
        <v/>
      </c>
      <c r="E1545" s="22"/>
      <c r="F1545" s="22" t="str">
        <f ca="1">auto_pop!H1545</f>
        <v/>
      </c>
      <c r="G1545" s="33"/>
      <c r="H1545" s="33"/>
    </row>
    <row r="1546" spans="2:8" s="2" customFormat="1" ht="15" x14ac:dyDescent="0.25">
      <c r="B1546" s="21"/>
      <c r="C1546" s="22"/>
      <c r="D1546" s="29" t="str">
        <f t="shared" si="24"/>
        <v/>
      </c>
      <c r="E1546" s="22"/>
      <c r="F1546" s="22" t="str">
        <f ca="1">auto_pop!H1546</f>
        <v/>
      </c>
      <c r="G1546" s="33"/>
      <c r="H1546" s="33"/>
    </row>
    <row r="1547" spans="2:8" s="2" customFormat="1" ht="15" x14ac:dyDescent="0.25">
      <c r="B1547" s="21"/>
      <c r="C1547" s="22"/>
      <c r="D1547" s="29" t="str">
        <f t="shared" si="24"/>
        <v/>
      </c>
      <c r="E1547" s="22"/>
      <c r="F1547" s="22" t="str">
        <f ca="1">auto_pop!H1547</f>
        <v/>
      </c>
      <c r="G1547" s="33"/>
      <c r="H1547" s="33"/>
    </row>
    <row r="1548" spans="2:8" s="2" customFormat="1" ht="15" x14ac:dyDescent="0.25">
      <c r="B1548" s="21"/>
      <c r="C1548" s="22"/>
      <c r="D1548" s="29" t="str">
        <f t="shared" si="24"/>
        <v/>
      </c>
      <c r="E1548" s="22"/>
      <c r="F1548" s="22" t="str">
        <f ca="1">auto_pop!H1548</f>
        <v/>
      </c>
      <c r="G1548" s="33"/>
      <c r="H1548" s="33"/>
    </row>
    <row r="1549" spans="2:8" s="2" customFormat="1" ht="15" x14ac:dyDescent="0.25">
      <c r="B1549" s="21"/>
      <c r="C1549" s="22"/>
      <c r="D1549" s="29" t="str">
        <f t="shared" si="24"/>
        <v/>
      </c>
      <c r="E1549" s="22"/>
      <c r="F1549" s="22" t="str">
        <f ca="1">auto_pop!H1549</f>
        <v/>
      </c>
      <c r="G1549" s="33"/>
      <c r="H1549" s="33"/>
    </row>
    <row r="1550" spans="2:8" s="2" customFormat="1" ht="15" x14ac:dyDescent="0.25">
      <c r="B1550" s="21"/>
      <c r="C1550" s="22"/>
      <c r="D1550" s="29" t="str">
        <f t="shared" si="24"/>
        <v/>
      </c>
      <c r="E1550" s="22"/>
      <c r="F1550" s="22" t="str">
        <f ca="1">auto_pop!H1550</f>
        <v/>
      </c>
      <c r="G1550" s="33"/>
      <c r="H1550" s="33"/>
    </row>
    <row r="1551" spans="2:8" s="2" customFormat="1" ht="15" x14ac:dyDescent="0.25">
      <c r="B1551" s="21"/>
      <c r="C1551" s="22"/>
      <c r="D1551" s="29" t="str">
        <f t="shared" si="24"/>
        <v/>
      </c>
      <c r="E1551" s="22"/>
      <c r="F1551" s="22" t="str">
        <f ca="1">auto_pop!H1551</f>
        <v/>
      </c>
      <c r="G1551" s="33"/>
      <c r="H1551" s="33"/>
    </row>
    <row r="1552" spans="2:8" s="2" customFormat="1" ht="15" x14ac:dyDescent="0.25">
      <c r="B1552" s="21"/>
      <c r="C1552" s="22"/>
      <c r="D1552" s="29" t="str">
        <f t="shared" si="24"/>
        <v/>
      </c>
      <c r="E1552" s="22"/>
      <c r="F1552" s="22" t="str">
        <f ca="1">auto_pop!H1552</f>
        <v/>
      </c>
      <c r="G1552" s="33"/>
      <c r="H1552" s="33"/>
    </row>
    <row r="1553" spans="2:8" s="2" customFormat="1" ht="15" x14ac:dyDescent="0.25">
      <c r="B1553" s="21"/>
      <c r="C1553" s="22"/>
      <c r="D1553" s="29" t="str">
        <f t="shared" si="24"/>
        <v/>
      </c>
      <c r="E1553" s="22"/>
      <c r="F1553" s="22" t="str">
        <f ca="1">auto_pop!H1553</f>
        <v/>
      </c>
      <c r="G1553" s="33"/>
      <c r="H1553" s="33"/>
    </row>
    <row r="1554" spans="2:8" s="2" customFormat="1" ht="15" x14ac:dyDescent="0.25">
      <c r="B1554" s="21"/>
      <c r="C1554" s="22"/>
      <c r="D1554" s="29" t="str">
        <f t="shared" si="24"/>
        <v/>
      </c>
      <c r="E1554" s="22"/>
      <c r="F1554" s="22" t="str">
        <f ca="1">auto_pop!H1554</f>
        <v/>
      </c>
      <c r="G1554" s="33"/>
      <c r="H1554" s="33"/>
    </row>
    <row r="1555" spans="2:8" s="2" customFormat="1" ht="15" x14ac:dyDescent="0.25">
      <c r="B1555" s="21"/>
      <c r="C1555" s="22"/>
      <c r="D1555" s="29" t="str">
        <f t="shared" si="24"/>
        <v/>
      </c>
      <c r="E1555" s="22"/>
      <c r="F1555" s="22" t="str">
        <f ca="1">auto_pop!H1555</f>
        <v/>
      </c>
      <c r="G1555" s="33"/>
      <c r="H1555" s="33"/>
    </row>
    <row r="1556" spans="2:8" s="2" customFormat="1" ht="15" x14ac:dyDescent="0.25">
      <c r="B1556" s="21"/>
      <c r="C1556" s="22"/>
      <c r="D1556" s="29" t="str">
        <f t="shared" si="24"/>
        <v/>
      </c>
      <c r="E1556" s="22"/>
      <c r="F1556" s="22" t="str">
        <f ca="1">auto_pop!H1556</f>
        <v/>
      </c>
      <c r="G1556" s="33"/>
      <c r="H1556" s="33"/>
    </row>
    <row r="1557" spans="2:8" s="2" customFormat="1" ht="15" x14ac:dyDescent="0.25">
      <c r="B1557" s="21"/>
      <c r="C1557" s="22"/>
      <c r="D1557" s="29" t="str">
        <f t="shared" si="24"/>
        <v/>
      </c>
      <c r="E1557" s="22"/>
      <c r="F1557" s="22" t="str">
        <f ca="1">auto_pop!H1557</f>
        <v/>
      </c>
      <c r="G1557" s="33"/>
      <c r="H1557" s="33"/>
    </row>
    <row r="1558" spans="2:8" s="2" customFormat="1" ht="15" x14ac:dyDescent="0.25">
      <c r="B1558" s="21"/>
      <c r="C1558" s="22"/>
      <c r="D1558" s="29" t="str">
        <f t="shared" si="24"/>
        <v/>
      </c>
      <c r="E1558" s="22"/>
      <c r="F1558" s="22" t="str">
        <f ca="1">auto_pop!H1558</f>
        <v/>
      </c>
      <c r="G1558" s="33"/>
      <c r="H1558" s="33"/>
    </row>
    <row r="1559" spans="2:8" s="2" customFormat="1" ht="15" x14ac:dyDescent="0.25">
      <c r="B1559" s="21"/>
      <c r="C1559" s="22"/>
      <c r="D1559" s="29" t="str">
        <f t="shared" si="24"/>
        <v/>
      </c>
      <c r="E1559" s="22"/>
      <c r="F1559" s="22" t="str">
        <f ca="1">auto_pop!H1559</f>
        <v/>
      </c>
      <c r="G1559" s="33"/>
      <c r="H1559" s="33"/>
    </row>
    <row r="1560" spans="2:8" s="2" customFormat="1" ht="15" x14ac:dyDescent="0.25">
      <c r="B1560" s="21"/>
      <c r="C1560" s="22"/>
      <c r="D1560" s="29" t="str">
        <f t="shared" si="24"/>
        <v/>
      </c>
      <c r="E1560" s="22"/>
      <c r="F1560" s="22" t="str">
        <f ca="1">auto_pop!H1560</f>
        <v/>
      </c>
      <c r="G1560" s="33"/>
      <c r="H1560" s="33"/>
    </row>
    <row r="1561" spans="2:8" s="2" customFormat="1" ht="15" x14ac:dyDescent="0.25">
      <c r="B1561" s="21"/>
      <c r="C1561" s="22"/>
      <c r="D1561" s="29" t="str">
        <f t="shared" si="24"/>
        <v/>
      </c>
      <c r="E1561" s="22"/>
      <c r="F1561" s="22" t="str">
        <f ca="1">auto_pop!H1561</f>
        <v/>
      </c>
      <c r="G1561" s="33"/>
      <c r="H1561" s="33"/>
    </row>
    <row r="1562" spans="2:8" s="2" customFormat="1" ht="15" x14ac:dyDescent="0.25">
      <c r="B1562" s="21"/>
      <c r="C1562" s="22"/>
      <c r="D1562" s="29" t="str">
        <f t="shared" si="24"/>
        <v/>
      </c>
      <c r="E1562" s="22"/>
      <c r="F1562" s="22" t="str">
        <f ca="1">auto_pop!H1562</f>
        <v/>
      </c>
      <c r="G1562" s="33"/>
      <c r="H1562" s="33"/>
    </row>
    <row r="1563" spans="2:8" s="2" customFormat="1" ht="15" x14ac:dyDescent="0.25">
      <c r="B1563" s="21"/>
      <c r="C1563" s="22"/>
      <c r="D1563" s="29" t="str">
        <f t="shared" si="24"/>
        <v/>
      </c>
      <c r="E1563" s="22"/>
      <c r="F1563" s="22" t="str">
        <f ca="1">auto_pop!H1563</f>
        <v/>
      </c>
      <c r="G1563" s="33"/>
      <c r="H1563" s="33"/>
    </row>
    <row r="1564" spans="2:8" s="2" customFormat="1" ht="15" x14ac:dyDescent="0.25">
      <c r="B1564" s="21"/>
      <c r="C1564" s="22"/>
      <c r="D1564" s="29" t="str">
        <f t="shared" si="24"/>
        <v/>
      </c>
      <c r="E1564" s="22"/>
      <c r="F1564" s="22" t="str">
        <f ca="1">auto_pop!H1564</f>
        <v/>
      </c>
      <c r="G1564" s="33"/>
      <c r="H1564" s="33"/>
    </row>
    <row r="1565" spans="2:8" s="2" customFormat="1" ht="15" x14ac:dyDescent="0.25">
      <c r="B1565" s="21"/>
      <c r="C1565" s="22"/>
      <c r="D1565" s="29" t="str">
        <f t="shared" si="24"/>
        <v/>
      </c>
      <c r="E1565" s="22"/>
      <c r="F1565" s="22" t="str">
        <f ca="1">auto_pop!H1565</f>
        <v/>
      </c>
      <c r="G1565" s="33"/>
      <c r="H1565" s="33"/>
    </row>
    <row r="1566" spans="2:8" s="2" customFormat="1" ht="15" x14ac:dyDescent="0.25">
      <c r="B1566" s="21"/>
      <c r="C1566" s="22"/>
      <c r="D1566" s="29" t="str">
        <f t="shared" si="24"/>
        <v/>
      </c>
      <c r="E1566" s="22"/>
      <c r="F1566" s="22" t="str">
        <f ca="1">auto_pop!H1566</f>
        <v/>
      </c>
      <c r="G1566" s="33"/>
      <c r="H1566" s="33"/>
    </row>
    <row r="1567" spans="2:8" s="2" customFormat="1" ht="15" x14ac:dyDescent="0.25">
      <c r="B1567" s="21"/>
      <c r="C1567" s="22"/>
      <c r="D1567" s="29" t="str">
        <f t="shared" si="24"/>
        <v/>
      </c>
      <c r="E1567" s="22"/>
      <c r="F1567" s="22" t="str">
        <f ca="1">auto_pop!H1567</f>
        <v/>
      </c>
      <c r="G1567" s="33"/>
      <c r="H1567" s="33"/>
    </row>
    <row r="1568" spans="2:8" s="2" customFormat="1" ht="15" x14ac:dyDescent="0.25">
      <c r="B1568" s="21"/>
      <c r="C1568" s="22"/>
      <c r="D1568" s="29" t="str">
        <f t="shared" si="24"/>
        <v/>
      </c>
      <c r="E1568" s="22"/>
      <c r="F1568" s="22" t="str">
        <f ca="1">auto_pop!H1568</f>
        <v/>
      </c>
      <c r="G1568" s="33"/>
      <c r="H1568" s="33"/>
    </row>
    <row r="1569" spans="2:8" s="2" customFormat="1" ht="15" x14ac:dyDescent="0.25">
      <c r="B1569" s="21"/>
      <c r="C1569" s="22"/>
      <c r="D1569" s="29" t="str">
        <f t="shared" si="24"/>
        <v/>
      </c>
      <c r="E1569" s="22"/>
      <c r="F1569" s="22" t="str">
        <f ca="1">auto_pop!H1569</f>
        <v/>
      </c>
      <c r="G1569" s="33"/>
      <c r="H1569" s="33"/>
    </row>
    <row r="1570" spans="2:8" s="2" customFormat="1" ht="15" x14ac:dyDescent="0.25">
      <c r="B1570" s="21"/>
      <c r="C1570" s="22"/>
      <c r="D1570" s="29" t="str">
        <f t="shared" si="24"/>
        <v/>
      </c>
      <c r="E1570" s="22"/>
      <c r="F1570" s="22" t="str">
        <f ca="1">auto_pop!H1570</f>
        <v/>
      </c>
      <c r="G1570" s="33"/>
      <c r="H1570" s="33"/>
    </row>
    <row r="1571" spans="2:8" s="2" customFormat="1" ht="15" x14ac:dyDescent="0.25">
      <c r="B1571" s="21"/>
      <c r="C1571" s="22"/>
      <c r="D1571" s="29" t="str">
        <f t="shared" si="24"/>
        <v/>
      </c>
      <c r="E1571" s="22"/>
      <c r="F1571" s="22" t="str">
        <f ca="1">auto_pop!H1571</f>
        <v/>
      </c>
      <c r="G1571" s="33"/>
      <c r="H1571" s="33"/>
    </row>
    <row r="1572" spans="2:8" s="2" customFormat="1" ht="15" x14ac:dyDescent="0.25">
      <c r="B1572" s="21"/>
      <c r="C1572" s="22"/>
      <c r="D1572" s="29" t="str">
        <f t="shared" si="24"/>
        <v/>
      </c>
      <c r="E1572" s="22"/>
      <c r="F1572" s="22" t="str">
        <f ca="1">auto_pop!H1572</f>
        <v/>
      </c>
      <c r="G1572" s="33"/>
      <c r="H1572" s="33"/>
    </row>
    <row r="1573" spans="2:8" s="2" customFormat="1" ht="15" x14ac:dyDescent="0.25">
      <c r="B1573" s="21"/>
      <c r="C1573" s="22"/>
      <c r="D1573" s="29" t="str">
        <f t="shared" si="24"/>
        <v/>
      </c>
      <c r="E1573" s="22"/>
      <c r="F1573" s="22" t="str">
        <f ca="1">auto_pop!H1573</f>
        <v/>
      </c>
      <c r="G1573" s="33"/>
      <c r="H1573" s="33"/>
    </row>
    <row r="1574" spans="2:8" s="2" customFormat="1" ht="15" x14ac:dyDescent="0.25">
      <c r="B1574" s="21"/>
      <c r="C1574" s="22"/>
      <c r="D1574" s="29" t="str">
        <f t="shared" si="24"/>
        <v/>
      </c>
      <c r="E1574" s="22"/>
      <c r="F1574" s="22" t="str">
        <f ca="1">auto_pop!H1574</f>
        <v/>
      </c>
      <c r="G1574" s="33"/>
      <c r="H1574" s="33"/>
    </row>
    <row r="1575" spans="2:8" s="2" customFormat="1" ht="15" x14ac:dyDescent="0.25">
      <c r="B1575" s="21"/>
      <c r="C1575" s="22"/>
      <c r="D1575" s="29" t="str">
        <f t="shared" si="24"/>
        <v/>
      </c>
      <c r="E1575" s="22"/>
      <c r="F1575" s="22" t="str">
        <f ca="1">auto_pop!H1575</f>
        <v/>
      </c>
      <c r="G1575" s="33"/>
      <c r="H1575" s="33"/>
    </row>
    <row r="1576" spans="2:8" s="2" customFormat="1" ht="15" x14ac:dyDescent="0.25">
      <c r="B1576" s="21"/>
      <c r="C1576" s="22"/>
      <c r="D1576" s="29" t="str">
        <f t="shared" si="24"/>
        <v/>
      </c>
      <c r="E1576" s="22"/>
      <c r="F1576" s="22" t="str">
        <f ca="1">auto_pop!H1576</f>
        <v/>
      </c>
      <c r="G1576" s="33"/>
      <c r="H1576" s="33"/>
    </row>
    <row r="1577" spans="2:8" s="2" customFormat="1" ht="15" x14ac:dyDescent="0.25">
      <c r="B1577" s="21"/>
      <c r="C1577" s="22"/>
      <c r="D1577" s="29" t="str">
        <f t="shared" si="24"/>
        <v/>
      </c>
      <c r="E1577" s="22"/>
      <c r="F1577" s="22" t="str">
        <f ca="1">auto_pop!H1577</f>
        <v/>
      </c>
      <c r="G1577" s="33"/>
      <c r="H1577" s="33"/>
    </row>
    <row r="1578" spans="2:8" s="2" customFormat="1" ht="15" x14ac:dyDescent="0.25">
      <c r="B1578" s="21"/>
      <c r="C1578" s="22"/>
      <c r="D1578" s="29" t="str">
        <f t="shared" si="24"/>
        <v/>
      </c>
      <c r="E1578" s="22"/>
      <c r="F1578" s="22" t="str">
        <f ca="1">auto_pop!H1578</f>
        <v/>
      </c>
      <c r="G1578" s="33"/>
      <c r="H1578" s="33"/>
    </row>
    <row r="1579" spans="2:8" s="2" customFormat="1" ht="15" x14ac:dyDescent="0.25">
      <c r="B1579" s="21"/>
      <c r="C1579" s="22"/>
      <c r="D1579" s="29" t="str">
        <f t="shared" si="24"/>
        <v/>
      </c>
      <c r="E1579" s="22"/>
      <c r="F1579" s="22" t="str">
        <f ca="1">auto_pop!H1579</f>
        <v/>
      </c>
      <c r="G1579" s="33"/>
      <c r="H1579" s="33"/>
    </row>
    <row r="1580" spans="2:8" s="2" customFormat="1" ht="15" x14ac:dyDescent="0.25">
      <c r="B1580" s="21"/>
      <c r="C1580" s="22"/>
      <c r="D1580" s="29" t="str">
        <f t="shared" si="24"/>
        <v/>
      </c>
      <c r="E1580" s="22"/>
      <c r="F1580" s="22" t="str">
        <f ca="1">auto_pop!H1580</f>
        <v/>
      </c>
      <c r="G1580" s="33"/>
      <c r="H1580" s="33"/>
    </row>
    <row r="1581" spans="2:8" s="2" customFormat="1" ht="15" x14ac:dyDescent="0.25">
      <c r="B1581" s="21"/>
      <c r="C1581" s="22"/>
      <c r="D1581" s="29" t="str">
        <f t="shared" si="24"/>
        <v/>
      </c>
      <c r="E1581" s="22"/>
      <c r="F1581" s="22" t="str">
        <f ca="1">auto_pop!H1581</f>
        <v/>
      </c>
      <c r="G1581" s="33"/>
      <c r="H1581" s="33"/>
    </row>
    <row r="1582" spans="2:8" s="2" customFormat="1" ht="15" x14ac:dyDescent="0.25">
      <c r="B1582" s="21"/>
      <c r="C1582" s="22"/>
      <c r="D1582" s="29" t="str">
        <f t="shared" si="24"/>
        <v/>
      </c>
      <c r="E1582" s="22"/>
      <c r="F1582" s="22" t="str">
        <f ca="1">auto_pop!H1582</f>
        <v/>
      </c>
      <c r="G1582" s="33"/>
      <c r="H1582" s="33"/>
    </row>
    <row r="1583" spans="2:8" s="2" customFormat="1" ht="15" x14ac:dyDescent="0.25">
      <c r="B1583" s="21"/>
      <c r="C1583" s="22"/>
      <c r="D1583" s="29" t="str">
        <f t="shared" si="24"/>
        <v/>
      </c>
      <c r="E1583" s="22"/>
      <c r="F1583" s="22" t="str">
        <f ca="1">auto_pop!H1583</f>
        <v/>
      </c>
      <c r="G1583" s="33"/>
      <c r="H1583" s="33"/>
    </row>
    <row r="1584" spans="2:8" s="2" customFormat="1" ht="15" x14ac:dyDescent="0.25">
      <c r="B1584" s="21"/>
      <c r="C1584" s="22"/>
      <c r="D1584" s="29" t="str">
        <f t="shared" si="24"/>
        <v/>
      </c>
      <c r="E1584" s="22"/>
      <c r="F1584" s="22" t="str">
        <f ca="1">auto_pop!H1584</f>
        <v/>
      </c>
      <c r="G1584" s="33"/>
      <c r="H1584" s="33"/>
    </row>
    <row r="1585" spans="2:8" s="2" customFormat="1" ht="15" x14ac:dyDescent="0.25">
      <c r="B1585" s="21"/>
      <c r="C1585" s="22"/>
      <c r="D1585" s="29" t="str">
        <f t="shared" si="24"/>
        <v/>
      </c>
      <c r="E1585" s="22"/>
      <c r="F1585" s="22" t="str">
        <f ca="1">auto_pop!H1585</f>
        <v/>
      </c>
      <c r="G1585" s="33"/>
      <c r="H1585" s="33"/>
    </row>
    <row r="1586" spans="2:8" s="2" customFormat="1" ht="15" x14ac:dyDescent="0.25">
      <c r="B1586" s="21"/>
      <c r="C1586" s="22"/>
      <c r="D1586" s="29" t="str">
        <f t="shared" si="24"/>
        <v/>
      </c>
      <c r="E1586" s="22"/>
      <c r="F1586" s="22" t="str">
        <f ca="1">auto_pop!H1586</f>
        <v/>
      </c>
      <c r="G1586" s="33"/>
      <c r="H1586" s="33"/>
    </row>
    <row r="1587" spans="2:8" s="2" customFormat="1" ht="15" x14ac:dyDescent="0.25">
      <c r="B1587" s="21"/>
      <c r="C1587" s="22"/>
      <c r="D1587" s="29" t="str">
        <f t="shared" si="24"/>
        <v/>
      </c>
      <c r="E1587" s="22"/>
      <c r="F1587" s="22" t="str">
        <f ca="1">auto_pop!H1587</f>
        <v/>
      </c>
      <c r="G1587" s="33"/>
      <c r="H1587" s="33"/>
    </row>
    <row r="1588" spans="2:8" s="2" customFormat="1" ht="15" x14ac:dyDescent="0.25">
      <c r="B1588" s="21"/>
      <c r="C1588" s="22"/>
      <c r="D1588" s="29" t="str">
        <f t="shared" si="24"/>
        <v/>
      </c>
      <c r="E1588" s="22"/>
      <c r="F1588" s="22" t="str">
        <f ca="1">auto_pop!H1588</f>
        <v/>
      </c>
      <c r="G1588" s="33"/>
      <c r="H1588" s="33"/>
    </row>
    <row r="1589" spans="2:8" s="2" customFormat="1" ht="15" x14ac:dyDescent="0.25">
      <c r="B1589" s="21"/>
      <c r="C1589" s="22"/>
      <c r="D1589" s="29" t="str">
        <f t="shared" si="24"/>
        <v/>
      </c>
      <c r="E1589" s="22"/>
      <c r="F1589" s="22" t="str">
        <f ca="1">auto_pop!H1589</f>
        <v/>
      </c>
      <c r="G1589" s="33"/>
      <c r="H1589" s="33"/>
    </row>
    <row r="1590" spans="2:8" s="2" customFormat="1" ht="15" x14ac:dyDescent="0.25">
      <c r="B1590" s="21"/>
      <c r="C1590" s="22"/>
      <c r="D1590" s="29" t="str">
        <f t="shared" si="24"/>
        <v/>
      </c>
      <c r="E1590" s="22"/>
      <c r="F1590" s="22" t="str">
        <f ca="1">auto_pop!H1590</f>
        <v/>
      </c>
      <c r="G1590" s="33"/>
      <c r="H1590" s="33"/>
    </row>
    <row r="1591" spans="2:8" s="2" customFormat="1" ht="15" x14ac:dyDescent="0.25">
      <c r="B1591" s="21"/>
      <c r="C1591" s="22"/>
      <c r="D1591" s="29" t="str">
        <f t="shared" si="24"/>
        <v/>
      </c>
      <c r="E1591" s="22"/>
      <c r="F1591" s="22" t="str">
        <f ca="1">auto_pop!H1591</f>
        <v/>
      </c>
      <c r="G1591" s="33"/>
      <c r="H1591" s="33"/>
    </row>
    <row r="1592" spans="2:8" s="2" customFormat="1" ht="15" x14ac:dyDescent="0.25">
      <c r="B1592" s="21"/>
      <c r="C1592" s="22"/>
      <c r="D1592" s="29" t="str">
        <f t="shared" si="24"/>
        <v/>
      </c>
      <c r="E1592" s="22"/>
      <c r="F1592" s="22" t="str">
        <f ca="1">auto_pop!H1592</f>
        <v/>
      </c>
      <c r="G1592" s="33"/>
      <c r="H1592" s="33"/>
    </row>
    <row r="1593" spans="2:8" s="2" customFormat="1" ht="15" x14ac:dyDescent="0.25">
      <c r="B1593" s="21"/>
      <c r="C1593" s="22"/>
      <c r="D1593" s="29" t="str">
        <f t="shared" si="24"/>
        <v/>
      </c>
      <c r="E1593" s="22"/>
      <c r="F1593" s="22" t="str">
        <f ca="1">auto_pop!H1593</f>
        <v/>
      </c>
      <c r="G1593" s="33"/>
      <c r="H1593" s="33"/>
    </row>
    <row r="1594" spans="2:8" s="2" customFormat="1" ht="15" x14ac:dyDescent="0.25">
      <c r="B1594" s="21"/>
      <c r="C1594" s="22"/>
      <c r="D1594" s="29" t="str">
        <f t="shared" si="24"/>
        <v/>
      </c>
      <c r="E1594" s="22"/>
      <c r="F1594" s="22" t="str">
        <f ca="1">auto_pop!H1594</f>
        <v/>
      </c>
      <c r="G1594" s="33"/>
      <c r="H1594" s="33"/>
    </row>
    <row r="1595" spans="2:8" s="2" customFormat="1" ht="15" x14ac:dyDescent="0.25">
      <c r="B1595" s="21"/>
      <c r="C1595" s="22"/>
      <c r="D1595" s="29" t="str">
        <f t="shared" si="24"/>
        <v/>
      </c>
      <c r="E1595" s="22"/>
      <c r="F1595" s="22" t="str">
        <f ca="1">auto_pop!H1595</f>
        <v/>
      </c>
      <c r="G1595" s="33"/>
      <c r="H1595" s="33"/>
    </row>
    <row r="1596" spans="2:8" s="2" customFormat="1" ht="15" x14ac:dyDescent="0.25">
      <c r="B1596" s="21"/>
      <c r="C1596" s="22"/>
      <c r="D1596" s="29" t="str">
        <f t="shared" si="24"/>
        <v/>
      </c>
      <c r="E1596" s="22"/>
      <c r="F1596" s="22" t="str">
        <f ca="1">auto_pop!H1596</f>
        <v/>
      </c>
      <c r="G1596" s="33"/>
      <c r="H1596" s="33"/>
    </row>
    <row r="1597" spans="2:8" s="2" customFormat="1" ht="15" x14ac:dyDescent="0.25">
      <c r="B1597" s="21"/>
      <c r="C1597" s="22"/>
      <c r="D1597" s="29" t="str">
        <f t="shared" si="24"/>
        <v/>
      </c>
      <c r="E1597" s="22"/>
      <c r="F1597" s="22" t="str">
        <f ca="1">auto_pop!H1597</f>
        <v/>
      </c>
      <c r="G1597" s="33"/>
      <c r="H1597" s="33"/>
    </row>
    <row r="1598" spans="2:8" s="2" customFormat="1" ht="15" x14ac:dyDescent="0.25">
      <c r="B1598" s="21"/>
      <c r="C1598" s="22"/>
      <c r="D1598" s="29" t="str">
        <f t="shared" si="24"/>
        <v/>
      </c>
      <c r="E1598" s="22"/>
      <c r="F1598" s="22" t="str">
        <f ca="1">auto_pop!H1598</f>
        <v/>
      </c>
      <c r="G1598" s="33"/>
      <c r="H1598" s="33"/>
    </row>
    <row r="1599" spans="2:8" s="2" customFormat="1" ht="15" x14ac:dyDescent="0.25">
      <c r="B1599" s="21"/>
      <c r="C1599" s="22"/>
      <c r="D1599" s="29" t="str">
        <f t="shared" si="24"/>
        <v/>
      </c>
      <c r="E1599" s="22"/>
      <c r="F1599" s="22" t="str">
        <f ca="1">auto_pop!H1599</f>
        <v/>
      </c>
      <c r="G1599" s="33"/>
      <c r="H1599" s="33"/>
    </row>
    <row r="1600" spans="2:8" s="2" customFormat="1" ht="15" x14ac:dyDescent="0.25">
      <c r="B1600" s="21"/>
      <c r="C1600" s="22"/>
      <c r="D1600" s="29" t="str">
        <f t="shared" si="24"/>
        <v/>
      </c>
      <c r="E1600" s="22"/>
      <c r="F1600" s="22" t="str">
        <f ca="1">auto_pop!H1600</f>
        <v/>
      </c>
      <c r="G1600" s="33"/>
      <c r="H1600" s="33"/>
    </row>
    <row r="1601" spans="2:8" s="2" customFormat="1" ht="15" x14ac:dyDescent="0.25">
      <c r="B1601" s="21"/>
      <c r="C1601" s="22"/>
      <c r="D1601" s="29" t="str">
        <f t="shared" si="24"/>
        <v/>
      </c>
      <c r="E1601" s="22"/>
      <c r="F1601" s="22" t="str">
        <f ca="1">auto_pop!H1601</f>
        <v/>
      </c>
      <c r="G1601" s="33"/>
      <c r="H1601" s="33"/>
    </row>
    <row r="1602" spans="2:8" s="2" customFormat="1" ht="15" x14ac:dyDescent="0.25">
      <c r="B1602" s="21"/>
      <c r="C1602" s="22"/>
      <c r="D1602" s="29" t="str">
        <f t="shared" si="24"/>
        <v/>
      </c>
      <c r="E1602" s="22"/>
      <c r="F1602" s="22" t="str">
        <f ca="1">auto_pop!H1602</f>
        <v/>
      </c>
      <c r="G1602" s="33"/>
      <c r="H1602" s="33"/>
    </row>
    <row r="1603" spans="2:8" s="2" customFormat="1" ht="15" x14ac:dyDescent="0.25">
      <c r="B1603" s="21"/>
      <c r="C1603" s="22"/>
      <c r="D1603" s="29" t="str">
        <f t="shared" si="24"/>
        <v/>
      </c>
      <c r="E1603" s="22"/>
      <c r="F1603" s="22" t="str">
        <f ca="1">auto_pop!H1603</f>
        <v/>
      </c>
      <c r="G1603" s="33"/>
      <c r="H1603" s="33"/>
    </row>
    <row r="1604" spans="2:8" s="2" customFormat="1" ht="15" x14ac:dyDescent="0.25">
      <c r="B1604" s="21"/>
      <c r="C1604" s="22"/>
      <c r="D1604" s="29" t="str">
        <f t="shared" ref="D1604:D1667" si="25">IF(C1604&lt;&gt;"", IF(OR(C1604="Chapin", C1604="Oatka", C1604="Seneca"), "", 1), "")</f>
        <v/>
      </c>
      <c r="E1604" s="22"/>
      <c r="F1604" s="22" t="str">
        <f ca="1">auto_pop!H1604</f>
        <v/>
      </c>
      <c r="G1604" s="33"/>
      <c r="H1604" s="33"/>
    </row>
    <row r="1605" spans="2:8" s="2" customFormat="1" ht="15" x14ac:dyDescent="0.25">
      <c r="B1605" s="21"/>
      <c r="C1605" s="22"/>
      <c r="D1605" s="29" t="str">
        <f t="shared" si="25"/>
        <v/>
      </c>
      <c r="E1605" s="22"/>
      <c r="F1605" s="22" t="str">
        <f ca="1">auto_pop!H1605</f>
        <v/>
      </c>
      <c r="G1605" s="33"/>
      <c r="H1605" s="33"/>
    </row>
    <row r="1606" spans="2:8" s="2" customFormat="1" ht="15" x14ac:dyDescent="0.25">
      <c r="B1606" s="21"/>
      <c r="C1606" s="22"/>
      <c r="D1606" s="29" t="str">
        <f t="shared" si="25"/>
        <v/>
      </c>
      <c r="E1606" s="22"/>
      <c r="F1606" s="22" t="str">
        <f ca="1">auto_pop!H1606</f>
        <v/>
      </c>
      <c r="G1606" s="33"/>
      <c r="H1606" s="33"/>
    </row>
    <row r="1607" spans="2:8" s="2" customFormat="1" ht="15" x14ac:dyDescent="0.25">
      <c r="B1607" s="21"/>
      <c r="C1607" s="22"/>
      <c r="D1607" s="29" t="str">
        <f t="shared" si="25"/>
        <v/>
      </c>
      <c r="E1607" s="22"/>
      <c r="F1607" s="22" t="str">
        <f ca="1">auto_pop!H1607</f>
        <v/>
      </c>
      <c r="G1607" s="33"/>
      <c r="H1607" s="33"/>
    </row>
    <row r="1608" spans="2:8" s="2" customFormat="1" ht="15" x14ac:dyDescent="0.25">
      <c r="B1608" s="21"/>
      <c r="C1608" s="22"/>
      <c r="D1608" s="29" t="str">
        <f t="shared" si="25"/>
        <v/>
      </c>
      <c r="E1608" s="22"/>
      <c r="F1608" s="22" t="str">
        <f ca="1">auto_pop!H1608</f>
        <v/>
      </c>
      <c r="G1608" s="33"/>
      <c r="H1608" s="33"/>
    </row>
    <row r="1609" spans="2:8" s="2" customFormat="1" ht="15" x14ac:dyDescent="0.25">
      <c r="B1609" s="21"/>
      <c r="C1609" s="22"/>
      <c r="D1609" s="29" t="str">
        <f t="shared" si="25"/>
        <v/>
      </c>
      <c r="E1609" s="22"/>
      <c r="F1609" s="22" t="str">
        <f ca="1">auto_pop!H1609</f>
        <v/>
      </c>
      <c r="G1609" s="33"/>
      <c r="H1609" s="33"/>
    </row>
    <row r="1610" spans="2:8" s="2" customFormat="1" ht="15" x14ac:dyDescent="0.25">
      <c r="B1610" s="21"/>
      <c r="C1610" s="22"/>
      <c r="D1610" s="29" t="str">
        <f t="shared" si="25"/>
        <v/>
      </c>
      <c r="E1610" s="22"/>
      <c r="F1610" s="22" t="str">
        <f ca="1">auto_pop!H1610</f>
        <v/>
      </c>
      <c r="G1610" s="33"/>
      <c r="H1610" s="33"/>
    </row>
    <row r="1611" spans="2:8" s="2" customFormat="1" ht="15" x14ac:dyDescent="0.25">
      <c r="B1611" s="21"/>
      <c r="C1611" s="22"/>
      <c r="D1611" s="29" t="str">
        <f t="shared" si="25"/>
        <v/>
      </c>
      <c r="E1611" s="22"/>
      <c r="F1611" s="22" t="str">
        <f ca="1">auto_pop!H1611</f>
        <v/>
      </c>
      <c r="G1611" s="33"/>
      <c r="H1611" s="33"/>
    </row>
    <row r="1612" spans="2:8" s="2" customFormat="1" ht="15" x14ac:dyDescent="0.25">
      <c r="B1612" s="21"/>
      <c r="C1612" s="22"/>
      <c r="D1612" s="29" t="str">
        <f t="shared" si="25"/>
        <v/>
      </c>
      <c r="E1612" s="22"/>
      <c r="F1612" s="22" t="str">
        <f ca="1">auto_pop!H1612</f>
        <v/>
      </c>
      <c r="G1612" s="33"/>
      <c r="H1612" s="33"/>
    </row>
    <row r="1613" spans="2:8" s="2" customFormat="1" ht="15" x14ac:dyDescent="0.25">
      <c r="B1613" s="21"/>
      <c r="C1613" s="22"/>
      <c r="D1613" s="29" t="str">
        <f t="shared" si="25"/>
        <v/>
      </c>
      <c r="E1613" s="22"/>
      <c r="F1613" s="22" t="str">
        <f ca="1">auto_pop!H1613</f>
        <v/>
      </c>
      <c r="G1613" s="33"/>
      <c r="H1613" s="33"/>
    </row>
    <row r="1614" spans="2:8" s="2" customFormat="1" ht="15" x14ac:dyDescent="0.25">
      <c r="B1614" s="21"/>
      <c r="C1614" s="22"/>
      <c r="D1614" s="29" t="str">
        <f t="shared" si="25"/>
        <v/>
      </c>
      <c r="E1614" s="22"/>
      <c r="F1614" s="22" t="str">
        <f ca="1">auto_pop!H1614</f>
        <v/>
      </c>
      <c r="G1614" s="33"/>
      <c r="H1614" s="33"/>
    </row>
    <row r="1615" spans="2:8" s="2" customFormat="1" ht="15" x14ac:dyDescent="0.25">
      <c r="B1615" s="21"/>
      <c r="C1615" s="22"/>
      <c r="D1615" s="29" t="str">
        <f t="shared" si="25"/>
        <v/>
      </c>
      <c r="E1615" s="22"/>
      <c r="F1615" s="22" t="str">
        <f ca="1">auto_pop!H1615</f>
        <v/>
      </c>
      <c r="G1615" s="33"/>
      <c r="H1615" s="33"/>
    </row>
    <row r="1616" spans="2:8" s="2" customFormat="1" ht="15" x14ac:dyDescent="0.25">
      <c r="B1616" s="21"/>
      <c r="C1616" s="22"/>
      <c r="D1616" s="29" t="str">
        <f t="shared" si="25"/>
        <v/>
      </c>
      <c r="E1616" s="22"/>
      <c r="F1616" s="22" t="str">
        <f ca="1">auto_pop!H1616</f>
        <v/>
      </c>
      <c r="G1616" s="33"/>
      <c r="H1616" s="33"/>
    </row>
    <row r="1617" spans="2:8" s="2" customFormat="1" ht="15" x14ac:dyDescent="0.25">
      <c r="B1617" s="21"/>
      <c r="C1617" s="22"/>
      <c r="D1617" s="29" t="str">
        <f t="shared" si="25"/>
        <v/>
      </c>
      <c r="E1617" s="22"/>
      <c r="F1617" s="22" t="str">
        <f ca="1">auto_pop!H1617</f>
        <v/>
      </c>
      <c r="G1617" s="33"/>
      <c r="H1617" s="33"/>
    </row>
    <row r="1618" spans="2:8" s="2" customFormat="1" ht="15" x14ac:dyDescent="0.25">
      <c r="B1618" s="21"/>
      <c r="C1618" s="22"/>
      <c r="D1618" s="29" t="str">
        <f t="shared" si="25"/>
        <v/>
      </c>
      <c r="E1618" s="22"/>
      <c r="F1618" s="22" t="str">
        <f ca="1">auto_pop!H1618</f>
        <v/>
      </c>
      <c r="G1618" s="33"/>
      <c r="H1618" s="33"/>
    </row>
    <row r="1619" spans="2:8" s="2" customFormat="1" ht="15" x14ac:dyDescent="0.25">
      <c r="B1619" s="21"/>
      <c r="C1619" s="22"/>
      <c r="D1619" s="29" t="str">
        <f t="shared" si="25"/>
        <v/>
      </c>
      <c r="E1619" s="22"/>
      <c r="F1619" s="22" t="str">
        <f ca="1">auto_pop!H1619</f>
        <v/>
      </c>
      <c r="G1619" s="33"/>
      <c r="H1619" s="33"/>
    </row>
    <row r="1620" spans="2:8" s="2" customFormat="1" ht="15" x14ac:dyDescent="0.25">
      <c r="B1620" s="21"/>
      <c r="C1620" s="22"/>
      <c r="D1620" s="29" t="str">
        <f t="shared" si="25"/>
        <v/>
      </c>
      <c r="E1620" s="22"/>
      <c r="F1620" s="22" t="str">
        <f ca="1">auto_pop!H1620</f>
        <v/>
      </c>
      <c r="G1620" s="33"/>
      <c r="H1620" s="33"/>
    </row>
    <row r="1621" spans="2:8" s="2" customFormat="1" ht="15" x14ac:dyDescent="0.25">
      <c r="B1621" s="21"/>
      <c r="C1621" s="22"/>
      <c r="D1621" s="29" t="str">
        <f t="shared" si="25"/>
        <v/>
      </c>
      <c r="E1621" s="22"/>
      <c r="F1621" s="22" t="str">
        <f ca="1">auto_pop!H1621</f>
        <v/>
      </c>
      <c r="G1621" s="33"/>
      <c r="H1621" s="33"/>
    </row>
    <row r="1622" spans="2:8" s="2" customFormat="1" ht="15" x14ac:dyDescent="0.25">
      <c r="B1622" s="21"/>
      <c r="C1622" s="22"/>
      <c r="D1622" s="29" t="str">
        <f t="shared" si="25"/>
        <v/>
      </c>
      <c r="E1622" s="22"/>
      <c r="F1622" s="22" t="str">
        <f ca="1">auto_pop!H1622</f>
        <v/>
      </c>
      <c r="G1622" s="33"/>
      <c r="H1622" s="33"/>
    </row>
    <row r="1623" spans="2:8" s="2" customFormat="1" ht="15" x14ac:dyDescent="0.25">
      <c r="B1623" s="21"/>
      <c r="C1623" s="22"/>
      <c r="D1623" s="29" t="str">
        <f t="shared" si="25"/>
        <v/>
      </c>
      <c r="E1623" s="22"/>
      <c r="F1623" s="22" t="str">
        <f ca="1">auto_pop!H1623</f>
        <v/>
      </c>
      <c r="G1623" s="33"/>
      <c r="H1623" s="33"/>
    </row>
    <row r="1624" spans="2:8" s="2" customFormat="1" ht="15" x14ac:dyDescent="0.25">
      <c r="B1624" s="21"/>
      <c r="C1624" s="22"/>
      <c r="D1624" s="29" t="str">
        <f t="shared" si="25"/>
        <v/>
      </c>
      <c r="E1624" s="22"/>
      <c r="F1624" s="22" t="str">
        <f ca="1">auto_pop!H1624</f>
        <v/>
      </c>
      <c r="G1624" s="33"/>
      <c r="H1624" s="33"/>
    </row>
    <row r="1625" spans="2:8" s="2" customFormat="1" ht="15" x14ac:dyDescent="0.25">
      <c r="B1625" s="21"/>
      <c r="C1625" s="22"/>
      <c r="D1625" s="29" t="str">
        <f t="shared" si="25"/>
        <v/>
      </c>
      <c r="E1625" s="22"/>
      <c r="F1625" s="22" t="str">
        <f ca="1">auto_pop!H1625</f>
        <v/>
      </c>
      <c r="G1625" s="33"/>
      <c r="H1625" s="33"/>
    </row>
    <row r="1626" spans="2:8" s="2" customFormat="1" ht="15" x14ac:dyDescent="0.25">
      <c r="B1626" s="21"/>
      <c r="C1626" s="22"/>
      <c r="D1626" s="29" t="str">
        <f t="shared" si="25"/>
        <v/>
      </c>
      <c r="E1626" s="22"/>
      <c r="F1626" s="22" t="str">
        <f ca="1">auto_pop!H1626</f>
        <v/>
      </c>
      <c r="G1626" s="33"/>
      <c r="H1626" s="33"/>
    </row>
    <row r="1627" spans="2:8" s="2" customFormat="1" ht="15" x14ac:dyDescent="0.25">
      <c r="B1627" s="21"/>
      <c r="C1627" s="22"/>
      <c r="D1627" s="29" t="str">
        <f t="shared" si="25"/>
        <v/>
      </c>
      <c r="E1627" s="22"/>
      <c r="F1627" s="22" t="str">
        <f ca="1">auto_pop!H1627</f>
        <v/>
      </c>
      <c r="G1627" s="33"/>
      <c r="H1627" s="33"/>
    </row>
    <row r="1628" spans="2:8" s="2" customFormat="1" ht="15" x14ac:dyDescent="0.25">
      <c r="B1628" s="21"/>
      <c r="C1628" s="22"/>
      <c r="D1628" s="29" t="str">
        <f t="shared" si="25"/>
        <v/>
      </c>
      <c r="E1628" s="22"/>
      <c r="F1628" s="22" t="str">
        <f ca="1">auto_pop!H1628</f>
        <v/>
      </c>
      <c r="G1628" s="33"/>
      <c r="H1628" s="33"/>
    </row>
    <row r="1629" spans="2:8" s="2" customFormat="1" ht="15" x14ac:dyDescent="0.25">
      <c r="B1629" s="21"/>
      <c r="C1629" s="22"/>
      <c r="D1629" s="29" t="str">
        <f t="shared" si="25"/>
        <v/>
      </c>
      <c r="E1629" s="22"/>
      <c r="F1629" s="22" t="str">
        <f ca="1">auto_pop!H1629</f>
        <v/>
      </c>
      <c r="G1629" s="33"/>
      <c r="H1629" s="33"/>
    </row>
    <row r="1630" spans="2:8" s="2" customFormat="1" ht="15" x14ac:dyDescent="0.25">
      <c r="B1630" s="21"/>
      <c r="C1630" s="22"/>
      <c r="D1630" s="29" t="str">
        <f t="shared" si="25"/>
        <v/>
      </c>
      <c r="E1630" s="22"/>
      <c r="F1630" s="22" t="str">
        <f ca="1">auto_pop!H1630</f>
        <v/>
      </c>
      <c r="G1630" s="33"/>
      <c r="H1630" s="33"/>
    </row>
    <row r="1631" spans="2:8" s="2" customFormat="1" ht="15" x14ac:dyDescent="0.25">
      <c r="B1631" s="21"/>
      <c r="C1631" s="22"/>
      <c r="D1631" s="29" t="str">
        <f t="shared" si="25"/>
        <v/>
      </c>
      <c r="E1631" s="22"/>
      <c r="F1631" s="22" t="str">
        <f ca="1">auto_pop!H1631</f>
        <v/>
      </c>
      <c r="G1631" s="33"/>
      <c r="H1631" s="33"/>
    </row>
    <row r="1632" spans="2:8" s="2" customFormat="1" ht="15" x14ac:dyDescent="0.25">
      <c r="B1632" s="21"/>
      <c r="C1632" s="22"/>
      <c r="D1632" s="29" t="str">
        <f t="shared" si="25"/>
        <v/>
      </c>
      <c r="E1632" s="22"/>
      <c r="F1632" s="22" t="str">
        <f ca="1">auto_pop!H1632</f>
        <v/>
      </c>
      <c r="G1632" s="33"/>
      <c r="H1632" s="33"/>
    </row>
    <row r="1633" spans="2:8" s="2" customFormat="1" ht="15" x14ac:dyDescent="0.25">
      <c r="B1633" s="21"/>
      <c r="C1633" s="22"/>
      <c r="D1633" s="29" t="str">
        <f t="shared" si="25"/>
        <v/>
      </c>
      <c r="E1633" s="22"/>
      <c r="F1633" s="22" t="str">
        <f ca="1">auto_pop!H1633</f>
        <v/>
      </c>
      <c r="G1633" s="33"/>
      <c r="H1633" s="33"/>
    </row>
    <row r="1634" spans="2:8" s="2" customFormat="1" ht="15" x14ac:dyDescent="0.25">
      <c r="B1634" s="21"/>
      <c r="C1634" s="22"/>
      <c r="D1634" s="29" t="str">
        <f t="shared" si="25"/>
        <v/>
      </c>
      <c r="E1634" s="22"/>
      <c r="F1634" s="22" t="str">
        <f ca="1">auto_pop!H1634</f>
        <v/>
      </c>
      <c r="G1634" s="33"/>
      <c r="H1634" s="33"/>
    </row>
    <row r="1635" spans="2:8" s="2" customFormat="1" ht="15" x14ac:dyDescent="0.25">
      <c r="B1635" s="21"/>
      <c r="C1635" s="22"/>
      <c r="D1635" s="29" t="str">
        <f t="shared" si="25"/>
        <v/>
      </c>
      <c r="E1635" s="22"/>
      <c r="F1635" s="22" t="str">
        <f ca="1">auto_pop!H1635</f>
        <v/>
      </c>
      <c r="G1635" s="33"/>
      <c r="H1635" s="33"/>
    </row>
    <row r="1636" spans="2:8" s="2" customFormat="1" ht="15" x14ac:dyDescent="0.25">
      <c r="B1636" s="21"/>
      <c r="C1636" s="22"/>
      <c r="D1636" s="29" t="str">
        <f t="shared" si="25"/>
        <v/>
      </c>
      <c r="E1636" s="22"/>
      <c r="F1636" s="22" t="str">
        <f ca="1">auto_pop!H1636</f>
        <v/>
      </c>
      <c r="G1636" s="33"/>
      <c r="H1636" s="33"/>
    </row>
    <row r="1637" spans="2:8" s="2" customFormat="1" ht="15" x14ac:dyDescent="0.25">
      <c r="B1637" s="21"/>
      <c r="C1637" s="22"/>
      <c r="D1637" s="29" t="str">
        <f t="shared" si="25"/>
        <v/>
      </c>
      <c r="E1637" s="22"/>
      <c r="F1637" s="22" t="str">
        <f ca="1">auto_pop!H1637</f>
        <v/>
      </c>
      <c r="G1637" s="33"/>
      <c r="H1637" s="33"/>
    </row>
    <row r="1638" spans="2:8" s="2" customFormat="1" ht="15" x14ac:dyDescent="0.25">
      <c r="B1638" s="21"/>
      <c r="C1638" s="22"/>
      <c r="D1638" s="29" t="str">
        <f t="shared" si="25"/>
        <v/>
      </c>
      <c r="E1638" s="22"/>
      <c r="F1638" s="22" t="str">
        <f ca="1">auto_pop!H1638</f>
        <v/>
      </c>
      <c r="G1638" s="33"/>
      <c r="H1638" s="33"/>
    </row>
    <row r="1639" spans="2:8" s="2" customFormat="1" ht="15" x14ac:dyDescent="0.25">
      <c r="B1639" s="21"/>
      <c r="C1639" s="22"/>
      <c r="D1639" s="29" t="str">
        <f t="shared" si="25"/>
        <v/>
      </c>
      <c r="E1639" s="22"/>
      <c r="F1639" s="22" t="str">
        <f ca="1">auto_pop!H1639</f>
        <v/>
      </c>
      <c r="G1639" s="33"/>
      <c r="H1639" s="33"/>
    </row>
    <row r="1640" spans="2:8" s="2" customFormat="1" ht="15" x14ac:dyDescent="0.25">
      <c r="B1640" s="21"/>
      <c r="C1640" s="22"/>
      <c r="D1640" s="29" t="str">
        <f t="shared" si="25"/>
        <v/>
      </c>
      <c r="E1640" s="22"/>
      <c r="F1640" s="22" t="str">
        <f ca="1">auto_pop!H1640</f>
        <v/>
      </c>
      <c r="G1640" s="33"/>
      <c r="H1640" s="33"/>
    </row>
    <row r="1641" spans="2:8" s="2" customFormat="1" ht="15" x14ac:dyDescent="0.25">
      <c r="B1641" s="21"/>
      <c r="C1641" s="22"/>
      <c r="D1641" s="29" t="str">
        <f t="shared" si="25"/>
        <v/>
      </c>
      <c r="E1641" s="22"/>
      <c r="F1641" s="22" t="str">
        <f ca="1">auto_pop!H1641</f>
        <v/>
      </c>
      <c r="G1641" s="33"/>
      <c r="H1641" s="33"/>
    </row>
    <row r="1642" spans="2:8" s="2" customFormat="1" ht="15" x14ac:dyDescent="0.25">
      <c r="B1642" s="21"/>
      <c r="C1642" s="22"/>
      <c r="D1642" s="29" t="str">
        <f t="shared" si="25"/>
        <v/>
      </c>
      <c r="E1642" s="22"/>
      <c r="F1642" s="22" t="str">
        <f ca="1">auto_pop!H1642</f>
        <v/>
      </c>
      <c r="G1642" s="33"/>
      <c r="H1642" s="33"/>
    </row>
    <row r="1643" spans="2:8" s="2" customFormat="1" ht="15" x14ac:dyDescent="0.25">
      <c r="B1643" s="21"/>
      <c r="C1643" s="22"/>
      <c r="D1643" s="29" t="str">
        <f t="shared" si="25"/>
        <v/>
      </c>
      <c r="E1643" s="22"/>
      <c r="F1643" s="22" t="str">
        <f ca="1">auto_pop!H1643</f>
        <v/>
      </c>
      <c r="G1643" s="33"/>
      <c r="H1643" s="33"/>
    </row>
    <row r="1644" spans="2:8" s="2" customFormat="1" ht="15" x14ac:dyDescent="0.25">
      <c r="B1644" s="21"/>
      <c r="C1644" s="22"/>
      <c r="D1644" s="29" t="str">
        <f t="shared" si="25"/>
        <v/>
      </c>
      <c r="E1644" s="22"/>
      <c r="F1644" s="22" t="str">
        <f ca="1">auto_pop!H1644</f>
        <v/>
      </c>
      <c r="G1644" s="33"/>
      <c r="H1644" s="33"/>
    </row>
    <row r="1645" spans="2:8" s="2" customFormat="1" ht="15" x14ac:dyDescent="0.25">
      <c r="B1645" s="21"/>
      <c r="C1645" s="22"/>
      <c r="D1645" s="29" t="str">
        <f t="shared" si="25"/>
        <v/>
      </c>
      <c r="E1645" s="22"/>
      <c r="F1645" s="22" t="str">
        <f ca="1">auto_pop!H1645</f>
        <v/>
      </c>
      <c r="G1645" s="33"/>
      <c r="H1645" s="33"/>
    </row>
    <row r="1646" spans="2:8" s="2" customFormat="1" ht="15" x14ac:dyDescent="0.25">
      <c r="B1646" s="21"/>
      <c r="C1646" s="22"/>
      <c r="D1646" s="29" t="str">
        <f t="shared" si="25"/>
        <v/>
      </c>
      <c r="E1646" s="22"/>
      <c r="F1646" s="22" t="str">
        <f ca="1">auto_pop!H1646</f>
        <v/>
      </c>
      <c r="G1646" s="33"/>
      <c r="H1646" s="33"/>
    </row>
    <row r="1647" spans="2:8" s="2" customFormat="1" ht="15" x14ac:dyDescent="0.25">
      <c r="B1647" s="21"/>
      <c r="C1647" s="22"/>
      <c r="D1647" s="29" t="str">
        <f t="shared" si="25"/>
        <v/>
      </c>
      <c r="E1647" s="22"/>
      <c r="F1647" s="22" t="str">
        <f ca="1">auto_pop!H1647</f>
        <v/>
      </c>
      <c r="G1647" s="33"/>
      <c r="H1647" s="33"/>
    </row>
    <row r="1648" spans="2:8" s="2" customFormat="1" ht="15" x14ac:dyDescent="0.25">
      <c r="B1648" s="21"/>
      <c r="C1648" s="22"/>
      <c r="D1648" s="29" t="str">
        <f t="shared" si="25"/>
        <v/>
      </c>
      <c r="E1648" s="22"/>
      <c r="F1648" s="22" t="str">
        <f ca="1">auto_pop!H1648</f>
        <v/>
      </c>
      <c r="G1648" s="33"/>
      <c r="H1648" s="33"/>
    </row>
    <row r="1649" spans="2:8" s="2" customFormat="1" ht="15" x14ac:dyDescent="0.25">
      <c r="B1649" s="21"/>
      <c r="C1649" s="22"/>
      <c r="D1649" s="29" t="str">
        <f t="shared" si="25"/>
        <v/>
      </c>
      <c r="E1649" s="22"/>
      <c r="F1649" s="22" t="str">
        <f ca="1">auto_pop!H1649</f>
        <v/>
      </c>
      <c r="G1649" s="33"/>
      <c r="H1649" s="33"/>
    </row>
    <row r="1650" spans="2:8" s="2" customFormat="1" ht="15" x14ac:dyDescent="0.25">
      <c r="B1650" s="21"/>
      <c r="C1650" s="22"/>
      <c r="D1650" s="29" t="str">
        <f t="shared" si="25"/>
        <v/>
      </c>
      <c r="E1650" s="22"/>
      <c r="F1650" s="22" t="str">
        <f ca="1">auto_pop!H1650</f>
        <v/>
      </c>
      <c r="G1650" s="33"/>
      <c r="H1650" s="33"/>
    </row>
    <row r="1651" spans="2:8" s="2" customFormat="1" ht="15" x14ac:dyDescent="0.25">
      <c r="B1651" s="21"/>
      <c r="C1651" s="22"/>
      <c r="D1651" s="29" t="str">
        <f t="shared" si="25"/>
        <v/>
      </c>
      <c r="E1651" s="22"/>
      <c r="F1651" s="22" t="str">
        <f ca="1">auto_pop!H1651</f>
        <v/>
      </c>
      <c r="G1651" s="33"/>
      <c r="H1651" s="33"/>
    </row>
    <row r="1652" spans="2:8" s="2" customFormat="1" ht="15" x14ac:dyDescent="0.25">
      <c r="B1652" s="21"/>
      <c r="C1652" s="22"/>
      <c r="D1652" s="29" t="str">
        <f t="shared" si="25"/>
        <v/>
      </c>
      <c r="E1652" s="22"/>
      <c r="F1652" s="22" t="str">
        <f ca="1">auto_pop!H1652</f>
        <v/>
      </c>
      <c r="G1652" s="33"/>
      <c r="H1652" s="33"/>
    </row>
    <row r="1653" spans="2:8" s="2" customFormat="1" ht="15" x14ac:dyDescent="0.25">
      <c r="B1653" s="21"/>
      <c r="C1653" s="22"/>
      <c r="D1653" s="29" t="str">
        <f t="shared" si="25"/>
        <v/>
      </c>
      <c r="E1653" s="22"/>
      <c r="F1653" s="22" t="str">
        <f ca="1">auto_pop!H1653</f>
        <v/>
      </c>
      <c r="G1653" s="33"/>
      <c r="H1653" s="33"/>
    </row>
    <row r="1654" spans="2:8" s="2" customFormat="1" ht="15" x14ac:dyDescent="0.25">
      <c r="B1654" s="21"/>
      <c r="C1654" s="22"/>
      <c r="D1654" s="29" t="str">
        <f t="shared" si="25"/>
        <v/>
      </c>
      <c r="E1654" s="22"/>
      <c r="F1654" s="22" t="str">
        <f ca="1">auto_pop!H1654</f>
        <v/>
      </c>
      <c r="G1654" s="33"/>
      <c r="H1654" s="33"/>
    </row>
    <row r="1655" spans="2:8" s="2" customFormat="1" ht="15" x14ac:dyDescent="0.25">
      <c r="B1655" s="21"/>
      <c r="C1655" s="22"/>
      <c r="D1655" s="29" t="str">
        <f t="shared" si="25"/>
        <v/>
      </c>
      <c r="E1655" s="22"/>
      <c r="F1655" s="22" t="str">
        <f ca="1">auto_pop!H1655</f>
        <v/>
      </c>
      <c r="G1655" s="33"/>
      <c r="H1655" s="33"/>
    </row>
    <row r="1656" spans="2:8" s="2" customFormat="1" ht="15" x14ac:dyDescent="0.25">
      <c r="B1656" s="21"/>
      <c r="C1656" s="22"/>
      <c r="D1656" s="29" t="str">
        <f t="shared" si="25"/>
        <v/>
      </c>
      <c r="E1656" s="22"/>
      <c r="F1656" s="22" t="str">
        <f ca="1">auto_pop!H1656</f>
        <v/>
      </c>
      <c r="G1656" s="33"/>
      <c r="H1656" s="33"/>
    </row>
    <row r="1657" spans="2:8" s="2" customFormat="1" ht="15" x14ac:dyDescent="0.25">
      <c r="B1657" s="21"/>
      <c r="C1657" s="22"/>
      <c r="D1657" s="29" t="str">
        <f t="shared" si="25"/>
        <v/>
      </c>
      <c r="E1657" s="22"/>
      <c r="F1657" s="22" t="str">
        <f ca="1">auto_pop!H1657</f>
        <v/>
      </c>
      <c r="G1657" s="33"/>
      <c r="H1657" s="33"/>
    </row>
    <row r="1658" spans="2:8" s="2" customFormat="1" ht="15" x14ac:dyDescent="0.25">
      <c r="B1658" s="21"/>
      <c r="C1658" s="22"/>
      <c r="D1658" s="29" t="str">
        <f t="shared" si="25"/>
        <v/>
      </c>
      <c r="E1658" s="22"/>
      <c r="F1658" s="22" t="str">
        <f ca="1">auto_pop!H1658</f>
        <v/>
      </c>
      <c r="G1658" s="33"/>
      <c r="H1658" s="33"/>
    </row>
    <row r="1659" spans="2:8" s="2" customFormat="1" ht="15" x14ac:dyDescent="0.25">
      <c r="B1659" s="21"/>
      <c r="C1659" s="22"/>
      <c r="D1659" s="29" t="str">
        <f t="shared" si="25"/>
        <v/>
      </c>
      <c r="E1659" s="22"/>
      <c r="F1659" s="22" t="str">
        <f ca="1">auto_pop!H1659</f>
        <v/>
      </c>
      <c r="G1659" s="33"/>
      <c r="H1659" s="33"/>
    </row>
    <row r="1660" spans="2:8" s="2" customFormat="1" ht="15" x14ac:dyDescent="0.25">
      <c r="B1660" s="21"/>
      <c r="C1660" s="22"/>
      <c r="D1660" s="29" t="str">
        <f t="shared" si="25"/>
        <v/>
      </c>
      <c r="E1660" s="22"/>
      <c r="F1660" s="22" t="str">
        <f ca="1">auto_pop!H1660</f>
        <v/>
      </c>
      <c r="G1660" s="33"/>
      <c r="H1660" s="33"/>
    </row>
    <row r="1661" spans="2:8" s="2" customFormat="1" ht="15" x14ac:dyDescent="0.25">
      <c r="B1661" s="21"/>
      <c r="C1661" s="22"/>
      <c r="D1661" s="29" t="str">
        <f t="shared" si="25"/>
        <v/>
      </c>
      <c r="E1661" s="22"/>
      <c r="F1661" s="22" t="str">
        <f ca="1">auto_pop!H1661</f>
        <v/>
      </c>
      <c r="G1661" s="33"/>
      <c r="H1661" s="33"/>
    </row>
    <row r="1662" spans="2:8" s="2" customFormat="1" ht="15" x14ac:dyDescent="0.25">
      <c r="B1662" s="21"/>
      <c r="C1662" s="22"/>
      <c r="D1662" s="29" t="str">
        <f t="shared" si="25"/>
        <v/>
      </c>
      <c r="E1662" s="22"/>
      <c r="F1662" s="22" t="str">
        <f ca="1">auto_pop!H1662</f>
        <v/>
      </c>
      <c r="G1662" s="33"/>
      <c r="H1662" s="33"/>
    </row>
    <row r="1663" spans="2:8" s="2" customFormat="1" ht="15" x14ac:dyDescent="0.25">
      <c r="B1663" s="21"/>
      <c r="C1663" s="22"/>
      <c r="D1663" s="29" t="str">
        <f t="shared" si="25"/>
        <v/>
      </c>
      <c r="E1663" s="22"/>
      <c r="F1663" s="22" t="str">
        <f ca="1">auto_pop!H1663</f>
        <v/>
      </c>
      <c r="G1663" s="33"/>
      <c r="H1663" s="33"/>
    </row>
    <row r="1664" spans="2:8" s="2" customFormat="1" ht="15" x14ac:dyDescent="0.25">
      <c r="B1664" s="21"/>
      <c r="C1664" s="22"/>
      <c r="D1664" s="29" t="str">
        <f t="shared" si="25"/>
        <v/>
      </c>
      <c r="E1664" s="22"/>
      <c r="F1664" s="22" t="str">
        <f ca="1">auto_pop!H1664</f>
        <v/>
      </c>
      <c r="G1664" s="33"/>
      <c r="H1664" s="33"/>
    </row>
    <row r="1665" spans="2:8" s="2" customFormat="1" ht="15" x14ac:dyDescent="0.25">
      <c r="B1665" s="21"/>
      <c r="C1665" s="22"/>
      <c r="D1665" s="29" t="str">
        <f t="shared" si="25"/>
        <v/>
      </c>
      <c r="E1665" s="22"/>
      <c r="F1665" s="22" t="str">
        <f ca="1">auto_pop!H1665</f>
        <v/>
      </c>
      <c r="G1665" s="33"/>
      <c r="H1665" s="33"/>
    </row>
    <row r="1666" spans="2:8" s="2" customFormat="1" ht="15" x14ac:dyDescent="0.25">
      <c r="B1666" s="21"/>
      <c r="C1666" s="22"/>
      <c r="D1666" s="29" t="str">
        <f t="shared" si="25"/>
        <v/>
      </c>
      <c r="E1666" s="22"/>
      <c r="F1666" s="22" t="str">
        <f ca="1">auto_pop!H1666</f>
        <v/>
      </c>
      <c r="G1666" s="33"/>
      <c r="H1666" s="33"/>
    </row>
    <row r="1667" spans="2:8" s="2" customFormat="1" ht="15" x14ac:dyDescent="0.25">
      <c r="B1667" s="21"/>
      <c r="C1667" s="22"/>
      <c r="D1667" s="29" t="str">
        <f t="shared" si="25"/>
        <v/>
      </c>
      <c r="E1667" s="22"/>
      <c r="F1667" s="22" t="str">
        <f ca="1">auto_pop!H1667</f>
        <v/>
      </c>
      <c r="G1667" s="33"/>
      <c r="H1667" s="33"/>
    </row>
    <row r="1668" spans="2:8" s="2" customFormat="1" ht="15" x14ac:dyDescent="0.25">
      <c r="B1668" s="21"/>
      <c r="C1668" s="22"/>
      <c r="D1668" s="29" t="str">
        <f t="shared" ref="D1668:D1731" si="26">IF(C1668&lt;&gt;"", IF(OR(C1668="Chapin", C1668="Oatka", C1668="Seneca"), "", 1), "")</f>
        <v/>
      </c>
      <c r="E1668" s="22"/>
      <c r="F1668" s="22" t="str">
        <f ca="1">auto_pop!H1668</f>
        <v/>
      </c>
      <c r="G1668" s="33"/>
      <c r="H1668" s="33"/>
    </row>
    <row r="1669" spans="2:8" s="2" customFormat="1" ht="15" x14ac:dyDescent="0.25">
      <c r="B1669" s="21"/>
      <c r="C1669" s="22"/>
      <c r="D1669" s="29" t="str">
        <f t="shared" si="26"/>
        <v/>
      </c>
      <c r="E1669" s="22"/>
      <c r="F1669" s="22" t="str">
        <f ca="1">auto_pop!H1669</f>
        <v/>
      </c>
      <c r="G1669" s="33"/>
      <c r="H1669" s="33"/>
    </row>
    <row r="1670" spans="2:8" s="2" customFormat="1" ht="15" x14ac:dyDescent="0.25">
      <c r="B1670" s="21"/>
      <c r="C1670" s="22"/>
      <c r="D1670" s="29" t="str">
        <f t="shared" si="26"/>
        <v/>
      </c>
      <c r="E1670" s="22"/>
      <c r="F1670" s="22" t="str">
        <f ca="1">auto_pop!H1670</f>
        <v/>
      </c>
      <c r="G1670" s="33"/>
      <c r="H1670" s="33"/>
    </row>
    <row r="1671" spans="2:8" s="2" customFormat="1" ht="15" x14ac:dyDescent="0.25">
      <c r="B1671" s="21"/>
      <c r="C1671" s="22"/>
      <c r="D1671" s="29" t="str">
        <f t="shared" si="26"/>
        <v/>
      </c>
      <c r="E1671" s="22"/>
      <c r="F1671" s="22" t="str">
        <f ca="1">auto_pop!H1671</f>
        <v/>
      </c>
      <c r="G1671" s="33"/>
      <c r="H1671" s="33"/>
    </row>
    <row r="1672" spans="2:8" s="2" customFormat="1" ht="15" x14ac:dyDescent="0.25">
      <c r="B1672" s="21"/>
      <c r="C1672" s="22"/>
      <c r="D1672" s="29" t="str">
        <f t="shared" si="26"/>
        <v/>
      </c>
      <c r="E1672" s="22"/>
      <c r="F1672" s="22" t="str">
        <f ca="1">auto_pop!H1672</f>
        <v/>
      </c>
      <c r="G1672" s="33"/>
      <c r="H1672" s="33"/>
    </row>
    <row r="1673" spans="2:8" s="2" customFormat="1" ht="15" x14ac:dyDescent="0.25">
      <c r="B1673" s="21"/>
      <c r="C1673" s="22"/>
      <c r="D1673" s="29" t="str">
        <f t="shared" si="26"/>
        <v/>
      </c>
      <c r="E1673" s="22"/>
      <c r="F1673" s="22" t="str">
        <f ca="1">auto_pop!H1673</f>
        <v/>
      </c>
      <c r="G1673" s="33"/>
      <c r="H1673" s="33"/>
    </row>
    <row r="1674" spans="2:8" s="2" customFormat="1" ht="15" x14ac:dyDescent="0.25">
      <c r="B1674" s="21"/>
      <c r="C1674" s="22"/>
      <c r="D1674" s="29" t="str">
        <f t="shared" si="26"/>
        <v/>
      </c>
      <c r="E1674" s="22"/>
      <c r="F1674" s="22" t="str">
        <f ca="1">auto_pop!H1674</f>
        <v/>
      </c>
      <c r="G1674" s="33"/>
      <c r="H1674" s="33"/>
    </row>
    <row r="1675" spans="2:8" s="2" customFormat="1" ht="15" x14ac:dyDescent="0.25">
      <c r="B1675" s="21"/>
      <c r="C1675" s="22"/>
      <c r="D1675" s="29" t="str">
        <f t="shared" si="26"/>
        <v/>
      </c>
      <c r="E1675" s="22"/>
      <c r="F1675" s="22" t="str">
        <f ca="1">auto_pop!H1675</f>
        <v/>
      </c>
      <c r="G1675" s="33"/>
      <c r="H1675" s="33"/>
    </row>
    <row r="1676" spans="2:8" s="2" customFormat="1" ht="15" x14ac:dyDescent="0.25">
      <c r="B1676" s="21"/>
      <c r="C1676" s="22"/>
      <c r="D1676" s="29" t="str">
        <f t="shared" si="26"/>
        <v/>
      </c>
      <c r="E1676" s="22"/>
      <c r="F1676" s="22" t="str">
        <f ca="1">auto_pop!H1676</f>
        <v/>
      </c>
      <c r="G1676" s="33"/>
      <c r="H1676" s="33"/>
    </row>
    <row r="1677" spans="2:8" s="2" customFormat="1" ht="15" x14ac:dyDescent="0.25">
      <c r="B1677" s="21"/>
      <c r="C1677" s="22"/>
      <c r="D1677" s="29" t="str">
        <f t="shared" si="26"/>
        <v/>
      </c>
      <c r="E1677" s="22"/>
      <c r="F1677" s="22" t="str">
        <f ca="1">auto_pop!H1677</f>
        <v/>
      </c>
      <c r="G1677" s="33"/>
      <c r="H1677" s="33"/>
    </row>
    <row r="1678" spans="2:8" s="2" customFormat="1" ht="15" x14ac:dyDescent="0.25">
      <c r="B1678" s="21"/>
      <c r="C1678" s="22"/>
      <c r="D1678" s="29" t="str">
        <f t="shared" si="26"/>
        <v/>
      </c>
      <c r="E1678" s="22"/>
      <c r="F1678" s="22" t="str">
        <f ca="1">auto_pop!H1678</f>
        <v/>
      </c>
      <c r="G1678" s="33"/>
      <c r="H1678" s="33"/>
    </row>
    <row r="1679" spans="2:8" s="2" customFormat="1" ht="15" x14ac:dyDescent="0.25">
      <c r="B1679" s="21"/>
      <c r="C1679" s="22"/>
      <c r="D1679" s="29" t="str">
        <f t="shared" si="26"/>
        <v/>
      </c>
      <c r="E1679" s="22"/>
      <c r="F1679" s="22" t="str">
        <f ca="1">auto_pop!H1679</f>
        <v/>
      </c>
      <c r="G1679" s="33"/>
      <c r="H1679" s="33"/>
    </row>
    <row r="1680" spans="2:8" s="2" customFormat="1" ht="15" x14ac:dyDescent="0.25">
      <c r="B1680" s="21"/>
      <c r="C1680" s="22"/>
      <c r="D1680" s="29" t="str">
        <f t="shared" si="26"/>
        <v/>
      </c>
      <c r="E1680" s="22"/>
      <c r="F1680" s="22" t="str">
        <f ca="1">auto_pop!H1680</f>
        <v/>
      </c>
      <c r="G1680" s="33"/>
      <c r="H1680" s="33"/>
    </row>
    <row r="1681" spans="2:8" s="2" customFormat="1" ht="15" x14ac:dyDescent="0.25">
      <c r="B1681" s="21"/>
      <c r="C1681" s="22"/>
      <c r="D1681" s="29" t="str">
        <f t="shared" si="26"/>
        <v/>
      </c>
      <c r="E1681" s="22"/>
      <c r="F1681" s="22" t="str">
        <f ca="1">auto_pop!H1681</f>
        <v/>
      </c>
      <c r="G1681" s="33"/>
      <c r="H1681" s="33"/>
    </row>
    <row r="1682" spans="2:8" s="2" customFormat="1" ht="15" x14ac:dyDescent="0.25">
      <c r="B1682" s="21"/>
      <c r="C1682" s="22"/>
      <c r="D1682" s="29" t="str">
        <f t="shared" si="26"/>
        <v/>
      </c>
      <c r="E1682" s="22"/>
      <c r="F1682" s="22" t="str">
        <f ca="1">auto_pop!H1682</f>
        <v/>
      </c>
      <c r="G1682" s="33"/>
      <c r="H1682" s="33"/>
    </row>
    <row r="1683" spans="2:8" s="2" customFormat="1" ht="15" x14ac:dyDescent="0.25">
      <c r="B1683" s="21"/>
      <c r="C1683" s="22"/>
      <c r="D1683" s="29" t="str">
        <f t="shared" si="26"/>
        <v/>
      </c>
      <c r="E1683" s="22"/>
      <c r="F1683" s="22" t="str">
        <f ca="1">auto_pop!H1683</f>
        <v/>
      </c>
      <c r="G1683" s="33"/>
      <c r="H1683" s="33"/>
    </row>
    <row r="1684" spans="2:8" s="2" customFormat="1" ht="15" x14ac:dyDescent="0.25">
      <c r="B1684" s="21"/>
      <c r="C1684" s="22"/>
      <c r="D1684" s="29" t="str">
        <f t="shared" si="26"/>
        <v/>
      </c>
      <c r="E1684" s="22"/>
      <c r="F1684" s="22" t="str">
        <f ca="1">auto_pop!H1684</f>
        <v/>
      </c>
      <c r="G1684" s="33"/>
      <c r="H1684" s="33"/>
    </row>
    <row r="1685" spans="2:8" s="2" customFormat="1" ht="15" x14ac:dyDescent="0.25">
      <c r="B1685" s="21"/>
      <c r="C1685" s="22"/>
      <c r="D1685" s="29" t="str">
        <f t="shared" si="26"/>
        <v/>
      </c>
      <c r="E1685" s="22"/>
      <c r="F1685" s="22" t="str">
        <f ca="1">auto_pop!H1685</f>
        <v/>
      </c>
      <c r="G1685" s="33"/>
      <c r="H1685" s="33"/>
    </row>
    <row r="1686" spans="2:8" s="2" customFormat="1" ht="15" x14ac:dyDescent="0.25">
      <c r="B1686" s="21"/>
      <c r="C1686" s="22"/>
      <c r="D1686" s="29" t="str">
        <f t="shared" si="26"/>
        <v/>
      </c>
      <c r="E1686" s="22"/>
      <c r="F1686" s="22" t="str">
        <f ca="1">auto_pop!H1686</f>
        <v/>
      </c>
      <c r="G1686" s="33"/>
      <c r="H1686" s="33"/>
    </row>
    <row r="1687" spans="2:8" s="2" customFormat="1" ht="15" x14ac:dyDescent="0.25">
      <c r="B1687" s="21"/>
      <c r="C1687" s="22"/>
      <c r="D1687" s="29" t="str">
        <f t="shared" si="26"/>
        <v/>
      </c>
      <c r="E1687" s="22"/>
      <c r="F1687" s="22" t="str">
        <f ca="1">auto_pop!H1687</f>
        <v/>
      </c>
      <c r="G1687" s="33"/>
      <c r="H1687" s="33"/>
    </row>
    <row r="1688" spans="2:8" s="2" customFormat="1" ht="15" x14ac:dyDescent="0.25">
      <c r="B1688" s="21"/>
      <c r="C1688" s="22"/>
      <c r="D1688" s="29" t="str">
        <f t="shared" si="26"/>
        <v/>
      </c>
      <c r="E1688" s="22"/>
      <c r="F1688" s="22" t="str">
        <f ca="1">auto_pop!H1688</f>
        <v/>
      </c>
      <c r="G1688" s="33"/>
      <c r="H1688" s="33"/>
    </row>
    <row r="1689" spans="2:8" s="2" customFormat="1" ht="15" x14ac:dyDescent="0.25">
      <c r="B1689" s="21"/>
      <c r="C1689" s="22"/>
      <c r="D1689" s="29" t="str">
        <f t="shared" si="26"/>
        <v/>
      </c>
      <c r="E1689" s="22"/>
      <c r="F1689" s="22" t="str">
        <f ca="1">auto_pop!H1689</f>
        <v/>
      </c>
      <c r="G1689" s="33"/>
      <c r="H1689" s="33"/>
    </row>
    <row r="1690" spans="2:8" s="2" customFormat="1" ht="15" x14ac:dyDescent="0.25">
      <c r="B1690" s="21"/>
      <c r="C1690" s="22"/>
      <c r="D1690" s="29" t="str">
        <f t="shared" si="26"/>
        <v/>
      </c>
      <c r="E1690" s="22"/>
      <c r="F1690" s="22" t="str">
        <f ca="1">auto_pop!H1690</f>
        <v/>
      </c>
      <c r="G1690" s="33"/>
      <c r="H1690" s="33"/>
    </row>
    <row r="1691" spans="2:8" s="2" customFormat="1" ht="15" x14ac:dyDescent="0.25">
      <c r="B1691" s="21"/>
      <c r="C1691" s="22"/>
      <c r="D1691" s="29" t="str">
        <f t="shared" si="26"/>
        <v/>
      </c>
      <c r="E1691" s="22"/>
      <c r="F1691" s="22" t="str">
        <f ca="1">auto_pop!H1691</f>
        <v/>
      </c>
      <c r="G1691" s="33"/>
      <c r="H1691" s="33"/>
    </row>
    <row r="1692" spans="2:8" s="2" customFormat="1" ht="15" x14ac:dyDescent="0.25">
      <c r="B1692" s="21"/>
      <c r="C1692" s="22"/>
      <c r="D1692" s="29" t="str">
        <f t="shared" si="26"/>
        <v/>
      </c>
      <c r="E1692" s="22"/>
      <c r="F1692" s="22" t="str">
        <f ca="1">auto_pop!H1692</f>
        <v/>
      </c>
      <c r="G1692" s="33"/>
      <c r="H1692" s="33"/>
    </row>
    <row r="1693" spans="2:8" s="2" customFormat="1" ht="15" x14ac:dyDescent="0.25">
      <c r="B1693" s="21"/>
      <c r="C1693" s="22"/>
      <c r="D1693" s="29" t="str">
        <f t="shared" si="26"/>
        <v/>
      </c>
      <c r="E1693" s="22"/>
      <c r="F1693" s="22" t="str">
        <f ca="1">auto_pop!H1693</f>
        <v/>
      </c>
      <c r="G1693" s="33"/>
      <c r="H1693" s="33"/>
    </row>
    <row r="1694" spans="2:8" s="2" customFormat="1" ht="15" x14ac:dyDescent="0.25">
      <c r="B1694" s="21"/>
      <c r="C1694" s="22"/>
      <c r="D1694" s="29" t="str">
        <f t="shared" si="26"/>
        <v/>
      </c>
      <c r="E1694" s="22"/>
      <c r="F1694" s="22" t="str">
        <f ca="1">auto_pop!H1694</f>
        <v/>
      </c>
      <c r="G1694" s="33"/>
      <c r="H1694" s="33"/>
    </row>
    <row r="1695" spans="2:8" s="2" customFormat="1" ht="15" x14ac:dyDescent="0.25">
      <c r="B1695" s="21"/>
      <c r="C1695" s="22"/>
      <c r="D1695" s="29" t="str">
        <f t="shared" si="26"/>
        <v/>
      </c>
      <c r="E1695" s="22"/>
      <c r="F1695" s="22" t="str">
        <f ca="1">auto_pop!H1695</f>
        <v/>
      </c>
      <c r="G1695" s="33"/>
      <c r="H1695" s="33"/>
    </row>
    <row r="1696" spans="2:8" s="2" customFormat="1" ht="15" x14ac:dyDescent="0.25">
      <c r="B1696" s="21"/>
      <c r="C1696" s="22"/>
      <c r="D1696" s="29" t="str">
        <f t="shared" si="26"/>
        <v/>
      </c>
      <c r="E1696" s="22"/>
      <c r="F1696" s="22" t="str">
        <f ca="1">auto_pop!H1696</f>
        <v/>
      </c>
      <c r="G1696" s="33"/>
      <c r="H1696" s="33"/>
    </row>
    <row r="1697" spans="2:8" s="2" customFormat="1" ht="15" x14ac:dyDescent="0.25">
      <c r="B1697" s="21"/>
      <c r="C1697" s="22"/>
      <c r="D1697" s="29" t="str">
        <f t="shared" si="26"/>
        <v/>
      </c>
      <c r="E1697" s="22"/>
      <c r="F1697" s="22" t="str">
        <f ca="1">auto_pop!H1697</f>
        <v/>
      </c>
      <c r="G1697" s="33"/>
      <c r="H1697" s="33"/>
    </row>
    <row r="1698" spans="2:8" s="2" customFormat="1" ht="15" x14ac:dyDescent="0.25">
      <c r="B1698" s="21"/>
      <c r="C1698" s="22"/>
      <c r="D1698" s="29" t="str">
        <f t="shared" si="26"/>
        <v/>
      </c>
      <c r="E1698" s="22"/>
      <c r="F1698" s="22" t="str">
        <f ca="1">auto_pop!H1698</f>
        <v/>
      </c>
      <c r="G1698" s="33"/>
      <c r="H1698" s="33"/>
    </row>
    <row r="1699" spans="2:8" s="2" customFormat="1" ht="15" x14ac:dyDescent="0.25">
      <c r="B1699" s="21"/>
      <c r="C1699" s="22"/>
      <c r="D1699" s="29" t="str">
        <f t="shared" si="26"/>
        <v/>
      </c>
      <c r="E1699" s="22"/>
      <c r="F1699" s="22" t="str">
        <f ca="1">auto_pop!H1699</f>
        <v/>
      </c>
      <c r="G1699" s="33"/>
      <c r="H1699" s="33"/>
    </row>
    <row r="1700" spans="2:8" s="2" customFormat="1" ht="15" x14ac:dyDescent="0.25">
      <c r="B1700" s="21"/>
      <c r="C1700" s="22"/>
      <c r="D1700" s="29" t="str">
        <f t="shared" si="26"/>
        <v/>
      </c>
      <c r="E1700" s="22"/>
      <c r="F1700" s="22" t="str">
        <f ca="1">auto_pop!H1700</f>
        <v/>
      </c>
      <c r="G1700" s="33"/>
      <c r="H1700" s="33"/>
    </row>
    <row r="1701" spans="2:8" s="2" customFormat="1" ht="15" x14ac:dyDescent="0.25">
      <c r="B1701" s="21"/>
      <c r="C1701" s="22"/>
      <c r="D1701" s="29" t="str">
        <f t="shared" si="26"/>
        <v/>
      </c>
      <c r="E1701" s="22"/>
      <c r="F1701" s="22" t="str">
        <f ca="1">auto_pop!H1701</f>
        <v/>
      </c>
      <c r="G1701" s="33"/>
      <c r="H1701" s="33"/>
    </row>
    <row r="1702" spans="2:8" s="2" customFormat="1" ht="15" x14ac:dyDescent="0.25">
      <c r="B1702" s="21"/>
      <c r="C1702" s="22"/>
      <c r="D1702" s="29" t="str">
        <f t="shared" si="26"/>
        <v/>
      </c>
      <c r="E1702" s="22"/>
      <c r="F1702" s="22" t="str">
        <f ca="1">auto_pop!H1702</f>
        <v/>
      </c>
      <c r="G1702" s="33"/>
      <c r="H1702" s="33"/>
    </row>
    <row r="1703" spans="2:8" s="2" customFormat="1" ht="15" x14ac:dyDescent="0.25">
      <c r="B1703" s="21"/>
      <c r="C1703" s="22"/>
      <c r="D1703" s="29" t="str">
        <f t="shared" si="26"/>
        <v/>
      </c>
      <c r="E1703" s="22"/>
      <c r="F1703" s="22" t="str">
        <f ca="1">auto_pop!H1703</f>
        <v/>
      </c>
      <c r="G1703" s="33"/>
      <c r="H1703" s="33"/>
    </row>
    <row r="1704" spans="2:8" s="2" customFormat="1" ht="15" x14ac:dyDescent="0.25">
      <c r="B1704" s="21"/>
      <c r="C1704" s="22"/>
      <c r="D1704" s="29" t="str">
        <f t="shared" si="26"/>
        <v/>
      </c>
      <c r="E1704" s="22"/>
      <c r="F1704" s="22" t="str">
        <f ca="1">auto_pop!H1704</f>
        <v/>
      </c>
      <c r="G1704" s="33"/>
      <c r="H1704" s="33"/>
    </row>
    <row r="1705" spans="2:8" s="2" customFormat="1" ht="15" x14ac:dyDescent="0.25">
      <c r="B1705" s="21"/>
      <c r="C1705" s="22"/>
      <c r="D1705" s="29" t="str">
        <f t="shared" si="26"/>
        <v/>
      </c>
      <c r="E1705" s="22"/>
      <c r="F1705" s="22" t="str">
        <f ca="1">auto_pop!H1705</f>
        <v/>
      </c>
      <c r="G1705" s="33"/>
      <c r="H1705" s="33"/>
    </row>
    <row r="1706" spans="2:8" s="2" customFormat="1" ht="15" x14ac:dyDescent="0.25">
      <c r="B1706" s="21"/>
      <c r="C1706" s="22"/>
      <c r="D1706" s="29" t="str">
        <f t="shared" si="26"/>
        <v/>
      </c>
      <c r="E1706" s="22"/>
      <c r="F1706" s="22" t="str">
        <f ca="1">auto_pop!H1706</f>
        <v/>
      </c>
      <c r="G1706" s="33"/>
      <c r="H1706" s="33"/>
    </row>
    <row r="1707" spans="2:8" s="2" customFormat="1" ht="15" x14ac:dyDescent="0.25">
      <c r="B1707" s="21"/>
      <c r="C1707" s="22"/>
      <c r="D1707" s="29" t="str">
        <f t="shared" si="26"/>
        <v/>
      </c>
      <c r="E1707" s="22"/>
      <c r="F1707" s="22" t="str">
        <f ca="1">auto_pop!H1707</f>
        <v/>
      </c>
      <c r="G1707" s="33"/>
      <c r="H1707" s="33"/>
    </row>
    <row r="1708" spans="2:8" s="2" customFormat="1" ht="15" x14ac:dyDescent="0.25">
      <c r="B1708" s="21"/>
      <c r="C1708" s="22"/>
      <c r="D1708" s="29" t="str">
        <f t="shared" si="26"/>
        <v/>
      </c>
      <c r="E1708" s="22"/>
      <c r="F1708" s="22" t="str">
        <f ca="1">auto_pop!H1708</f>
        <v/>
      </c>
      <c r="G1708" s="33"/>
      <c r="H1708" s="33"/>
    </row>
    <row r="1709" spans="2:8" s="2" customFormat="1" ht="15" x14ac:dyDescent="0.25">
      <c r="B1709" s="21"/>
      <c r="C1709" s="22"/>
      <c r="D1709" s="29" t="str">
        <f t="shared" si="26"/>
        <v/>
      </c>
      <c r="E1709" s="22"/>
      <c r="F1709" s="22" t="str">
        <f ca="1">auto_pop!H1709</f>
        <v/>
      </c>
      <c r="G1709" s="33"/>
      <c r="H1709" s="33"/>
    </row>
    <row r="1710" spans="2:8" s="2" customFormat="1" ht="15" x14ac:dyDescent="0.25">
      <c r="B1710" s="21"/>
      <c r="C1710" s="22"/>
      <c r="D1710" s="29" t="str">
        <f t="shared" si="26"/>
        <v/>
      </c>
      <c r="E1710" s="22"/>
      <c r="F1710" s="22" t="str">
        <f ca="1">auto_pop!H1710</f>
        <v/>
      </c>
      <c r="G1710" s="33"/>
      <c r="H1710" s="33"/>
    </row>
    <row r="1711" spans="2:8" s="2" customFormat="1" ht="15" x14ac:dyDescent="0.25">
      <c r="B1711" s="21"/>
      <c r="C1711" s="22"/>
      <c r="D1711" s="29" t="str">
        <f t="shared" si="26"/>
        <v/>
      </c>
      <c r="E1711" s="22"/>
      <c r="F1711" s="22" t="str">
        <f ca="1">auto_pop!H1711</f>
        <v/>
      </c>
      <c r="G1711" s="33"/>
      <c r="H1711" s="33"/>
    </row>
    <row r="1712" spans="2:8" s="2" customFormat="1" ht="15" x14ac:dyDescent="0.25">
      <c r="B1712" s="21"/>
      <c r="C1712" s="22"/>
      <c r="D1712" s="29" t="str">
        <f t="shared" si="26"/>
        <v/>
      </c>
      <c r="E1712" s="22"/>
      <c r="F1712" s="22" t="str">
        <f ca="1">auto_pop!H1712</f>
        <v/>
      </c>
      <c r="G1712" s="33"/>
      <c r="H1712" s="33"/>
    </row>
    <row r="1713" spans="2:8" s="2" customFormat="1" ht="15" x14ac:dyDescent="0.25">
      <c r="B1713" s="21"/>
      <c r="C1713" s="22"/>
      <c r="D1713" s="29" t="str">
        <f t="shared" si="26"/>
        <v/>
      </c>
      <c r="E1713" s="22"/>
      <c r="F1713" s="22" t="str">
        <f ca="1">auto_pop!H1713</f>
        <v/>
      </c>
      <c r="G1713" s="33"/>
      <c r="H1713" s="33"/>
    </row>
    <row r="1714" spans="2:8" s="2" customFormat="1" ht="15" x14ac:dyDescent="0.25">
      <c r="B1714" s="21"/>
      <c r="C1714" s="22"/>
      <c r="D1714" s="29" t="str">
        <f t="shared" si="26"/>
        <v/>
      </c>
      <c r="E1714" s="22"/>
      <c r="F1714" s="22" t="str">
        <f ca="1">auto_pop!H1714</f>
        <v/>
      </c>
      <c r="G1714" s="33"/>
      <c r="H1714" s="33"/>
    </row>
    <row r="1715" spans="2:8" s="2" customFormat="1" ht="15" x14ac:dyDescent="0.25">
      <c r="B1715" s="21"/>
      <c r="C1715" s="22"/>
      <c r="D1715" s="29" t="str">
        <f t="shared" si="26"/>
        <v/>
      </c>
      <c r="E1715" s="22"/>
      <c r="F1715" s="22" t="str">
        <f ca="1">auto_pop!H1715</f>
        <v/>
      </c>
      <c r="G1715" s="33"/>
      <c r="H1715" s="33"/>
    </row>
    <row r="1716" spans="2:8" s="2" customFormat="1" ht="15" x14ac:dyDescent="0.25">
      <c r="B1716" s="21"/>
      <c r="C1716" s="22"/>
      <c r="D1716" s="29" t="str">
        <f t="shared" si="26"/>
        <v/>
      </c>
      <c r="E1716" s="22"/>
      <c r="F1716" s="22" t="str">
        <f ca="1">auto_pop!H1716</f>
        <v/>
      </c>
      <c r="G1716" s="33"/>
      <c r="H1716" s="33"/>
    </row>
    <row r="1717" spans="2:8" s="2" customFormat="1" ht="15" x14ac:dyDescent="0.25">
      <c r="B1717" s="21"/>
      <c r="C1717" s="22"/>
      <c r="D1717" s="29" t="str">
        <f t="shared" si="26"/>
        <v/>
      </c>
      <c r="E1717" s="22"/>
      <c r="F1717" s="22" t="str">
        <f ca="1">auto_pop!H1717</f>
        <v/>
      </c>
      <c r="G1717" s="33"/>
      <c r="H1717" s="33"/>
    </row>
    <row r="1718" spans="2:8" s="2" customFormat="1" ht="15" x14ac:dyDescent="0.25">
      <c r="B1718" s="21"/>
      <c r="C1718" s="22"/>
      <c r="D1718" s="29" t="str">
        <f t="shared" si="26"/>
        <v/>
      </c>
      <c r="E1718" s="22"/>
      <c r="F1718" s="22" t="str">
        <f ca="1">auto_pop!H1718</f>
        <v/>
      </c>
      <c r="G1718" s="33"/>
      <c r="H1718" s="33"/>
    </row>
    <row r="1719" spans="2:8" s="2" customFormat="1" ht="15" x14ac:dyDescent="0.25">
      <c r="B1719" s="21"/>
      <c r="C1719" s="22"/>
      <c r="D1719" s="29" t="str">
        <f t="shared" si="26"/>
        <v/>
      </c>
      <c r="E1719" s="22"/>
      <c r="F1719" s="22" t="str">
        <f ca="1">auto_pop!H1719</f>
        <v/>
      </c>
      <c r="G1719" s="33"/>
      <c r="H1719" s="33"/>
    </row>
    <row r="1720" spans="2:8" s="2" customFormat="1" ht="15" x14ac:dyDescent="0.25">
      <c r="B1720" s="21"/>
      <c r="C1720" s="22"/>
      <c r="D1720" s="29" t="str">
        <f t="shared" si="26"/>
        <v/>
      </c>
      <c r="E1720" s="22"/>
      <c r="F1720" s="22" t="str">
        <f ca="1">auto_pop!H1720</f>
        <v/>
      </c>
      <c r="G1720" s="33"/>
      <c r="H1720" s="33"/>
    </row>
    <row r="1721" spans="2:8" s="2" customFormat="1" ht="15" x14ac:dyDescent="0.25">
      <c r="B1721" s="21"/>
      <c r="C1721" s="22"/>
      <c r="D1721" s="29" t="str">
        <f t="shared" si="26"/>
        <v/>
      </c>
      <c r="E1721" s="22"/>
      <c r="F1721" s="22" t="str">
        <f ca="1">auto_pop!H1721</f>
        <v/>
      </c>
      <c r="G1721" s="33"/>
      <c r="H1721" s="33"/>
    </row>
    <row r="1722" spans="2:8" s="2" customFormat="1" ht="15" x14ac:dyDescent="0.25">
      <c r="B1722" s="21"/>
      <c r="C1722" s="22"/>
      <c r="D1722" s="29" t="str">
        <f t="shared" si="26"/>
        <v/>
      </c>
      <c r="E1722" s="22"/>
      <c r="F1722" s="22" t="str">
        <f ca="1">auto_pop!H1722</f>
        <v/>
      </c>
      <c r="G1722" s="33"/>
      <c r="H1722" s="33"/>
    </row>
    <row r="1723" spans="2:8" s="2" customFormat="1" ht="15" x14ac:dyDescent="0.25">
      <c r="B1723" s="21"/>
      <c r="C1723" s="22"/>
      <c r="D1723" s="29" t="str">
        <f t="shared" si="26"/>
        <v/>
      </c>
      <c r="E1723" s="22"/>
      <c r="F1723" s="22" t="str">
        <f ca="1">auto_pop!H1723</f>
        <v/>
      </c>
      <c r="G1723" s="33"/>
      <c r="H1723" s="33"/>
    </row>
    <row r="1724" spans="2:8" s="2" customFormat="1" ht="15" x14ac:dyDescent="0.25">
      <c r="B1724" s="21"/>
      <c r="C1724" s="22"/>
      <c r="D1724" s="29" t="str">
        <f t="shared" si="26"/>
        <v/>
      </c>
      <c r="E1724" s="22"/>
      <c r="F1724" s="22" t="str">
        <f ca="1">auto_pop!H1724</f>
        <v/>
      </c>
      <c r="G1724" s="33"/>
      <c r="H1724" s="33"/>
    </row>
    <row r="1725" spans="2:8" s="2" customFormat="1" ht="15" x14ac:dyDescent="0.25">
      <c r="B1725" s="21"/>
      <c r="C1725" s="22"/>
      <c r="D1725" s="29" t="str">
        <f t="shared" si="26"/>
        <v/>
      </c>
      <c r="E1725" s="22"/>
      <c r="F1725" s="22" t="str">
        <f ca="1">auto_pop!H1725</f>
        <v/>
      </c>
      <c r="G1725" s="33"/>
      <c r="H1725" s="33"/>
    </row>
    <row r="1726" spans="2:8" s="2" customFormat="1" ht="15" x14ac:dyDescent="0.25">
      <c r="B1726" s="21"/>
      <c r="C1726" s="22"/>
      <c r="D1726" s="29" t="str">
        <f t="shared" si="26"/>
        <v/>
      </c>
      <c r="E1726" s="22"/>
      <c r="F1726" s="22" t="str">
        <f ca="1">auto_pop!H1726</f>
        <v/>
      </c>
      <c r="G1726" s="33"/>
      <c r="H1726" s="33"/>
    </row>
    <row r="1727" spans="2:8" s="2" customFormat="1" ht="15" x14ac:dyDescent="0.25">
      <c r="B1727" s="21"/>
      <c r="C1727" s="22"/>
      <c r="D1727" s="29" t="str">
        <f t="shared" si="26"/>
        <v/>
      </c>
      <c r="E1727" s="22"/>
      <c r="F1727" s="22" t="str">
        <f ca="1">auto_pop!H1727</f>
        <v/>
      </c>
      <c r="G1727" s="33"/>
      <c r="H1727" s="33"/>
    </row>
    <row r="1728" spans="2:8" s="2" customFormat="1" ht="15" x14ac:dyDescent="0.25">
      <c r="B1728" s="21"/>
      <c r="C1728" s="22"/>
      <c r="D1728" s="29" t="str">
        <f t="shared" si="26"/>
        <v/>
      </c>
      <c r="E1728" s="22"/>
      <c r="F1728" s="22" t="str">
        <f ca="1">auto_pop!H1728</f>
        <v/>
      </c>
      <c r="G1728" s="33"/>
      <c r="H1728" s="33"/>
    </row>
    <row r="1729" spans="2:8" s="2" customFormat="1" ht="15" x14ac:dyDescent="0.25">
      <c r="B1729" s="21"/>
      <c r="C1729" s="22"/>
      <c r="D1729" s="29" t="str">
        <f t="shared" si="26"/>
        <v/>
      </c>
      <c r="E1729" s="22"/>
      <c r="F1729" s="22" t="str">
        <f ca="1">auto_pop!H1729</f>
        <v/>
      </c>
      <c r="G1729" s="33"/>
      <c r="H1729" s="33"/>
    </row>
    <row r="1730" spans="2:8" s="2" customFormat="1" ht="15" x14ac:dyDescent="0.25">
      <c r="B1730" s="21"/>
      <c r="C1730" s="22"/>
      <c r="D1730" s="29" t="str">
        <f t="shared" si="26"/>
        <v/>
      </c>
      <c r="E1730" s="22"/>
      <c r="F1730" s="22" t="str">
        <f ca="1">auto_pop!H1730</f>
        <v/>
      </c>
      <c r="G1730" s="33"/>
      <c r="H1730" s="33"/>
    </row>
    <row r="1731" spans="2:8" s="2" customFormat="1" ht="15" x14ac:dyDescent="0.25">
      <c r="B1731" s="21"/>
      <c r="C1731" s="22"/>
      <c r="D1731" s="29" t="str">
        <f t="shared" si="26"/>
        <v/>
      </c>
      <c r="E1731" s="22"/>
      <c r="F1731" s="22" t="str">
        <f ca="1">auto_pop!H1731</f>
        <v/>
      </c>
      <c r="G1731" s="33"/>
      <c r="H1731" s="33"/>
    </row>
    <row r="1732" spans="2:8" s="2" customFormat="1" ht="15" x14ac:dyDescent="0.25">
      <c r="B1732" s="21"/>
      <c r="C1732" s="22"/>
      <c r="D1732" s="29" t="str">
        <f t="shared" ref="D1732:D1795" si="27">IF(C1732&lt;&gt;"", IF(OR(C1732="Chapin", C1732="Oatka", C1732="Seneca"), "", 1), "")</f>
        <v/>
      </c>
      <c r="E1732" s="22"/>
      <c r="F1732" s="22" t="str">
        <f ca="1">auto_pop!H1732</f>
        <v/>
      </c>
      <c r="G1732" s="33"/>
      <c r="H1732" s="33"/>
    </row>
    <row r="1733" spans="2:8" s="2" customFormat="1" ht="15" x14ac:dyDescent="0.25">
      <c r="B1733" s="21"/>
      <c r="C1733" s="22"/>
      <c r="D1733" s="29" t="str">
        <f t="shared" si="27"/>
        <v/>
      </c>
      <c r="E1733" s="22"/>
      <c r="F1733" s="22" t="str">
        <f ca="1">auto_pop!H1733</f>
        <v/>
      </c>
      <c r="G1733" s="33"/>
      <c r="H1733" s="33"/>
    </row>
    <row r="1734" spans="2:8" s="2" customFormat="1" ht="15" x14ac:dyDescent="0.25">
      <c r="B1734" s="21"/>
      <c r="C1734" s="22"/>
      <c r="D1734" s="29" t="str">
        <f t="shared" si="27"/>
        <v/>
      </c>
      <c r="E1734" s="22"/>
      <c r="F1734" s="22" t="str">
        <f ca="1">auto_pop!H1734</f>
        <v/>
      </c>
      <c r="G1734" s="33"/>
      <c r="H1734" s="33"/>
    </row>
    <row r="1735" spans="2:8" s="2" customFormat="1" ht="15" x14ac:dyDescent="0.25">
      <c r="B1735" s="21"/>
      <c r="C1735" s="22"/>
      <c r="D1735" s="29" t="str">
        <f t="shared" si="27"/>
        <v/>
      </c>
      <c r="E1735" s="22"/>
      <c r="F1735" s="22" t="str">
        <f ca="1">auto_pop!H1735</f>
        <v/>
      </c>
      <c r="G1735" s="33"/>
      <c r="H1735" s="33"/>
    </row>
    <row r="1736" spans="2:8" s="2" customFormat="1" ht="15" x14ac:dyDescent="0.25">
      <c r="B1736" s="21"/>
      <c r="C1736" s="22"/>
      <c r="D1736" s="29" t="str">
        <f t="shared" si="27"/>
        <v/>
      </c>
      <c r="E1736" s="22"/>
      <c r="F1736" s="22" t="str">
        <f ca="1">auto_pop!H1736</f>
        <v/>
      </c>
      <c r="G1736" s="33"/>
      <c r="H1736" s="33"/>
    </row>
    <row r="1737" spans="2:8" s="2" customFormat="1" ht="15" x14ac:dyDescent="0.25">
      <c r="B1737" s="21"/>
      <c r="C1737" s="22"/>
      <c r="D1737" s="29" t="str">
        <f t="shared" si="27"/>
        <v/>
      </c>
      <c r="E1737" s="22"/>
      <c r="F1737" s="22" t="str">
        <f ca="1">auto_pop!H1737</f>
        <v/>
      </c>
      <c r="G1737" s="33"/>
      <c r="H1737" s="33"/>
    </row>
    <row r="1738" spans="2:8" s="2" customFormat="1" ht="15" x14ac:dyDescent="0.25">
      <c r="B1738" s="21"/>
      <c r="C1738" s="22"/>
      <c r="D1738" s="29" t="str">
        <f t="shared" si="27"/>
        <v/>
      </c>
      <c r="E1738" s="22"/>
      <c r="F1738" s="22" t="str">
        <f ca="1">auto_pop!H1738</f>
        <v/>
      </c>
      <c r="G1738" s="33"/>
      <c r="H1738" s="33"/>
    </row>
    <row r="1739" spans="2:8" s="2" customFormat="1" ht="15" x14ac:dyDescent="0.25">
      <c r="B1739" s="21"/>
      <c r="C1739" s="22"/>
      <c r="D1739" s="29" t="str">
        <f t="shared" si="27"/>
        <v/>
      </c>
      <c r="E1739" s="22"/>
      <c r="F1739" s="22" t="str">
        <f ca="1">auto_pop!H1739</f>
        <v/>
      </c>
      <c r="G1739" s="33"/>
      <c r="H1739" s="33"/>
    </row>
    <row r="1740" spans="2:8" s="2" customFormat="1" ht="15" x14ac:dyDescent="0.25">
      <c r="B1740" s="21"/>
      <c r="C1740" s="22"/>
      <c r="D1740" s="29" t="str">
        <f t="shared" si="27"/>
        <v/>
      </c>
      <c r="E1740" s="22"/>
      <c r="F1740" s="22" t="str">
        <f ca="1">auto_pop!H1740</f>
        <v/>
      </c>
      <c r="G1740" s="33"/>
      <c r="H1740" s="33"/>
    </row>
    <row r="1741" spans="2:8" s="2" customFormat="1" ht="15" x14ac:dyDescent="0.25">
      <c r="B1741" s="21"/>
      <c r="C1741" s="22"/>
      <c r="D1741" s="29" t="str">
        <f t="shared" si="27"/>
        <v/>
      </c>
      <c r="E1741" s="22"/>
      <c r="F1741" s="22" t="str">
        <f ca="1">auto_pop!H1741</f>
        <v/>
      </c>
      <c r="G1741" s="33"/>
      <c r="H1741" s="33"/>
    </row>
    <row r="1742" spans="2:8" s="2" customFormat="1" ht="15" x14ac:dyDescent="0.25">
      <c r="B1742" s="21"/>
      <c r="C1742" s="22"/>
      <c r="D1742" s="29" t="str">
        <f t="shared" si="27"/>
        <v/>
      </c>
      <c r="E1742" s="22"/>
      <c r="F1742" s="22" t="str">
        <f ca="1">auto_pop!H1742</f>
        <v/>
      </c>
      <c r="G1742" s="33"/>
      <c r="H1742" s="33"/>
    </row>
    <row r="1743" spans="2:8" s="2" customFormat="1" ht="15" x14ac:dyDescent="0.25">
      <c r="B1743" s="21"/>
      <c r="C1743" s="22"/>
      <c r="D1743" s="29" t="str">
        <f t="shared" si="27"/>
        <v/>
      </c>
      <c r="E1743" s="22"/>
      <c r="F1743" s="22" t="str">
        <f ca="1">auto_pop!H1743</f>
        <v/>
      </c>
      <c r="G1743" s="33"/>
      <c r="H1743" s="33"/>
    </row>
    <row r="1744" spans="2:8" s="2" customFormat="1" ht="15" x14ac:dyDescent="0.25">
      <c r="B1744" s="21"/>
      <c r="C1744" s="22"/>
      <c r="D1744" s="29" t="str">
        <f t="shared" si="27"/>
        <v/>
      </c>
      <c r="E1744" s="22"/>
      <c r="F1744" s="22" t="str">
        <f ca="1">auto_pop!H1744</f>
        <v/>
      </c>
      <c r="G1744" s="33"/>
      <c r="H1744" s="33"/>
    </row>
    <row r="1745" spans="2:8" s="2" customFormat="1" ht="15" x14ac:dyDescent="0.25">
      <c r="B1745" s="21"/>
      <c r="C1745" s="22"/>
      <c r="D1745" s="29" t="str">
        <f t="shared" si="27"/>
        <v/>
      </c>
      <c r="E1745" s="22"/>
      <c r="F1745" s="22" t="str">
        <f ca="1">auto_pop!H1745</f>
        <v/>
      </c>
      <c r="G1745" s="33"/>
      <c r="H1745" s="33"/>
    </row>
    <row r="1746" spans="2:8" s="2" customFormat="1" ht="15" x14ac:dyDescent="0.25">
      <c r="B1746" s="21"/>
      <c r="C1746" s="22"/>
      <c r="D1746" s="29" t="str">
        <f t="shared" si="27"/>
        <v/>
      </c>
      <c r="E1746" s="22"/>
      <c r="F1746" s="22" t="str">
        <f ca="1">auto_pop!H1746</f>
        <v/>
      </c>
      <c r="G1746" s="33"/>
      <c r="H1746" s="33"/>
    </row>
    <row r="1747" spans="2:8" s="2" customFormat="1" ht="15" x14ac:dyDescent="0.25">
      <c r="B1747" s="21"/>
      <c r="C1747" s="22"/>
      <c r="D1747" s="29" t="str">
        <f t="shared" si="27"/>
        <v/>
      </c>
      <c r="E1747" s="22"/>
      <c r="F1747" s="22" t="str">
        <f ca="1">auto_pop!H1747</f>
        <v/>
      </c>
      <c r="G1747" s="33"/>
      <c r="H1747" s="33"/>
    </row>
    <row r="1748" spans="2:8" s="2" customFormat="1" ht="15" x14ac:dyDescent="0.25">
      <c r="B1748" s="21"/>
      <c r="C1748" s="22"/>
      <c r="D1748" s="29" t="str">
        <f t="shared" si="27"/>
        <v/>
      </c>
      <c r="E1748" s="22"/>
      <c r="F1748" s="22" t="str">
        <f ca="1">auto_pop!H1748</f>
        <v/>
      </c>
      <c r="G1748" s="33"/>
      <c r="H1748" s="33"/>
    </row>
    <row r="1749" spans="2:8" s="2" customFormat="1" ht="15" x14ac:dyDescent="0.25">
      <c r="B1749" s="21"/>
      <c r="C1749" s="22"/>
      <c r="D1749" s="29" t="str">
        <f t="shared" si="27"/>
        <v/>
      </c>
      <c r="E1749" s="22"/>
      <c r="F1749" s="22" t="str">
        <f ca="1">auto_pop!H1749</f>
        <v/>
      </c>
      <c r="G1749" s="33"/>
      <c r="H1749" s="33"/>
    </row>
    <row r="1750" spans="2:8" s="2" customFormat="1" ht="15" x14ac:dyDescent="0.25">
      <c r="B1750" s="21"/>
      <c r="C1750" s="22"/>
      <c r="D1750" s="29" t="str">
        <f t="shared" si="27"/>
        <v/>
      </c>
      <c r="E1750" s="22"/>
      <c r="F1750" s="22" t="str">
        <f ca="1">auto_pop!H1750</f>
        <v/>
      </c>
      <c r="G1750" s="33"/>
      <c r="H1750" s="33"/>
    </row>
    <row r="1751" spans="2:8" s="2" customFormat="1" ht="15" x14ac:dyDescent="0.25">
      <c r="B1751" s="21"/>
      <c r="C1751" s="22"/>
      <c r="D1751" s="29" t="str">
        <f t="shared" si="27"/>
        <v/>
      </c>
      <c r="E1751" s="22"/>
      <c r="F1751" s="22" t="str">
        <f ca="1">auto_pop!H1751</f>
        <v/>
      </c>
      <c r="G1751" s="33"/>
      <c r="H1751" s="33"/>
    </row>
    <row r="1752" spans="2:8" s="2" customFormat="1" ht="15" x14ac:dyDescent="0.25">
      <c r="B1752" s="21"/>
      <c r="C1752" s="22"/>
      <c r="D1752" s="29" t="str">
        <f t="shared" si="27"/>
        <v/>
      </c>
      <c r="E1752" s="22"/>
      <c r="F1752" s="22" t="str">
        <f ca="1">auto_pop!H1752</f>
        <v/>
      </c>
      <c r="G1752" s="33"/>
      <c r="H1752" s="33"/>
    </row>
    <row r="1753" spans="2:8" s="2" customFormat="1" ht="15" x14ac:dyDescent="0.25">
      <c r="B1753" s="21"/>
      <c r="C1753" s="22"/>
      <c r="D1753" s="29" t="str">
        <f t="shared" si="27"/>
        <v/>
      </c>
      <c r="E1753" s="22"/>
      <c r="F1753" s="22" t="str">
        <f ca="1">auto_pop!H1753</f>
        <v/>
      </c>
      <c r="G1753" s="33"/>
      <c r="H1753" s="33"/>
    </row>
    <row r="1754" spans="2:8" s="2" customFormat="1" ht="15" x14ac:dyDescent="0.25">
      <c r="B1754" s="21"/>
      <c r="C1754" s="22"/>
      <c r="D1754" s="29" t="str">
        <f t="shared" si="27"/>
        <v/>
      </c>
      <c r="E1754" s="22"/>
      <c r="F1754" s="22" t="str">
        <f ca="1">auto_pop!H1754</f>
        <v/>
      </c>
      <c r="G1754" s="33"/>
      <c r="H1754" s="33"/>
    </row>
    <row r="1755" spans="2:8" s="2" customFormat="1" ht="15" x14ac:dyDescent="0.25">
      <c r="B1755" s="21"/>
      <c r="C1755" s="22"/>
      <c r="D1755" s="29" t="str">
        <f t="shared" si="27"/>
        <v/>
      </c>
      <c r="E1755" s="22"/>
      <c r="F1755" s="22" t="str">
        <f ca="1">auto_pop!H1755</f>
        <v/>
      </c>
      <c r="G1755" s="33"/>
      <c r="H1755" s="33"/>
    </row>
    <row r="1756" spans="2:8" s="2" customFormat="1" ht="15" x14ac:dyDescent="0.25">
      <c r="B1756" s="21"/>
      <c r="C1756" s="22"/>
      <c r="D1756" s="29" t="str">
        <f t="shared" si="27"/>
        <v/>
      </c>
      <c r="E1756" s="22"/>
      <c r="F1756" s="22" t="str">
        <f ca="1">auto_pop!H1756</f>
        <v/>
      </c>
      <c r="G1756" s="33"/>
      <c r="H1756" s="33"/>
    </row>
    <row r="1757" spans="2:8" s="2" customFormat="1" ht="15" x14ac:dyDescent="0.25">
      <c r="B1757" s="21"/>
      <c r="C1757" s="22"/>
      <c r="D1757" s="29" t="str">
        <f t="shared" si="27"/>
        <v/>
      </c>
      <c r="E1757" s="22"/>
      <c r="F1757" s="22" t="str">
        <f ca="1">auto_pop!H1757</f>
        <v/>
      </c>
      <c r="G1757" s="33"/>
      <c r="H1757" s="33"/>
    </row>
    <row r="1758" spans="2:8" s="2" customFormat="1" ht="15" x14ac:dyDescent="0.25">
      <c r="B1758" s="21"/>
      <c r="C1758" s="22"/>
      <c r="D1758" s="29" t="str">
        <f t="shared" si="27"/>
        <v/>
      </c>
      <c r="E1758" s="22"/>
      <c r="F1758" s="22" t="str">
        <f ca="1">auto_pop!H1758</f>
        <v/>
      </c>
      <c r="G1758" s="33"/>
      <c r="H1758" s="33"/>
    </row>
    <row r="1759" spans="2:8" s="2" customFormat="1" ht="15" x14ac:dyDescent="0.25">
      <c r="B1759" s="21"/>
      <c r="C1759" s="22"/>
      <c r="D1759" s="29" t="str">
        <f t="shared" si="27"/>
        <v/>
      </c>
      <c r="E1759" s="22"/>
      <c r="F1759" s="22" t="str">
        <f ca="1">auto_pop!H1759</f>
        <v/>
      </c>
      <c r="G1759" s="33"/>
      <c r="H1759" s="33"/>
    </row>
    <row r="1760" spans="2:8" s="2" customFormat="1" ht="15" x14ac:dyDescent="0.25">
      <c r="B1760" s="21"/>
      <c r="C1760" s="22"/>
      <c r="D1760" s="29" t="str">
        <f t="shared" si="27"/>
        <v/>
      </c>
      <c r="E1760" s="22"/>
      <c r="F1760" s="22" t="str">
        <f ca="1">auto_pop!H1760</f>
        <v/>
      </c>
      <c r="G1760" s="33"/>
      <c r="H1760" s="33"/>
    </row>
    <row r="1761" spans="2:8" s="2" customFormat="1" ht="15" x14ac:dyDescent="0.25">
      <c r="B1761" s="21"/>
      <c r="C1761" s="22"/>
      <c r="D1761" s="29" t="str">
        <f t="shared" si="27"/>
        <v/>
      </c>
      <c r="E1761" s="22"/>
      <c r="F1761" s="22" t="str">
        <f ca="1">auto_pop!H1761</f>
        <v/>
      </c>
      <c r="G1761" s="33"/>
      <c r="H1761" s="33"/>
    </row>
    <row r="1762" spans="2:8" s="2" customFormat="1" ht="15" x14ac:dyDescent="0.25">
      <c r="B1762" s="21"/>
      <c r="C1762" s="22"/>
      <c r="D1762" s="29" t="str">
        <f t="shared" si="27"/>
        <v/>
      </c>
      <c r="E1762" s="22"/>
      <c r="F1762" s="22" t="str">
        <f ca="1">auto_pop!H1762</f>
        <v/>
      </c>
      <c r="G1762" s="33"/>
      <c r="H1762" s="33"/>
    </row>
    <row r="1763" spans="2:8" s="2" customFormat="1" ht="15" x14ac:dyDescent="0.25">
      <c r="B1763" s="21"/>
      <c r="C1763" s="22"/>
      <c r="D1763" s="29" t="str">
        <f t="shared" si="27"/>
        <v/>
      </c>
      <c r="E1763" s="22"/>
      <c r="F1763" s="22" t="str">
        <f ca="1">auto_pop!H1763</f>
        <v/>
      </c>
      <c r="G1763" s="33"/>
      <c r="H1763" s="33"/>
    </row>
    <row r="1764" spans="2:8" s="2" customFormat="1" ht="15" x14ac:dyDescent="0.25">
      <c r="B1764" s="21"/>
      <c r="C1764" s="22"/>
      <c r="D1764" s="29" t="str">
        <f t="shared" si="27"/>
        <v/>
      </c>
      <c r="E1764" s="22"/>
      <c r="F1764" s="22" t="str">
        <f ca="1">auto_pop!H1764</f>
        <v/>
      </c>
      <c r="G1764" s="33"/>
      <c r="H1764" s="33"/>
    </row>
    <row r="1765" spans="2:8" s="2" customFormat="1" ht="15" x14ac:dyDescent="0.25">
      <c r="B1765" s="21"/>
      <c r="C1765" s="22"/>
      <c r="D1765" s="29" t="str">
        <f t="shared" si="27"/>
        <v/>
      </c>
      <c r="E1765" s="22"/>
      <c r="F1765" s="22" t="str">
        <f ca="1">auto_pop!H1765</f>
        <v/>
      </c>
      <c r="G1765" s="33"/>
      <c r="H1765" s="33"/>
    </row>
    <row r="1766" spans="2:8" s="2" customFormat="1" ht="15" x14ac:dyDescent="0.25">
      <c r="B1766" s="21"/>
      <c r="C1766" s="22"/>
      <c r="D1766" s="29" t="str">
        <f t="shared" si="27"/>
        <v/>
      </c>
      <c r="E1766" s="22"/>
      <c r="F1766" s="22" t="str">
        <f ca="1">auto_pop!H1766</f>
        <v/>
      </c>
      <c r="G1766" s="33"/>
      <c r="H1766" s="33"/>
    </row>
    <row r="1767" spans="2:8" s="2" customFormat="1" ht="15" x14ac:dyDescent="0.25">
      <c r="B1767" s="21"/>
      <c r="C1767" s="22"/>
      <c r="D1767" s="29" t="str">
        <f t="shared" si="27"/>
        <v/>
      </c>
      <c r="E1767" s="22"/>
      <c r="F1767" s="22" t="str">
        <f ca="1">auto_pop!H1767</f>
        <v/>
      </c>
      <c r="G1767" s="33"/>
      <c r="H1767" s="33"/>
    </row>
    <row r="1768" spans="2:8" s="2" customFormat="1" ht="15" x14ac:dyDescent="0.25">
      <c r="B1768" s="21"/>
      <c r="C1768" s="22"/>
      <c r="D1768" s="29" t="str">
        <f t="shared" si="27"/>
        <v/>
      </c>
      <c r="E1768" s="22"/>
      <c r="F1768" s="22" t="str">
        <f ca="1">auto_pop!H1768</f>
        <v/>
      </c>
      <c r="G1768" s="33"/>
      <c r="H1768" s="33"/>
    </row>
    <row r="1769" spans="2:8" s="2" customFormat="1" ht="15" x14ac:dyDescent="0.25">
      <c r="B1769" s="21"/>
      <c r="C1769" s="22"/>
      <c r="D1769" s="29" t="str">
        <f t="shared" si="27"/>
        <v/>
      </c>
      <c r="E1769" s="22"/>
      <c r="F1769" s="22" t="str">
        <f ca="1">auto_pop!H1769</f>
        <v/>
      </c>
      <c r="G1769" s="33"/>
      <c r="H1769" s="33"/>
    </row>
    <row r="1770" spans="2:8" s="2" customFormat="1" ht="15" x14ac:dyDescent="0.25">
      <c r="B1770" s="21"/>
      <c r="C1770" s="22"/>
      <c r="D1770" s="29" t="str">
        <f t="shared" si="27"/>
        <v/>
      </c>
      <c r="E1770" s="22"/>
      <c r="F1770" s="22" t="str">
        <f ca="1">auto_pop!H1770</f>
        <v/>
      </c>
      <c r="G1770" s="33"/>
      <c r="H1770" s="33"/>
    </row>
    <row r="1771" spans="2:8" s="2" customFormat="1" ht="15" x14ac:dyDescent="0.25">
      <c r="B1771" s="21"/>
      <c r="C1771" s="22"/>
      <c r="D1771" s="29" t="str">
        <f t="shared" si="27"/>
        <v/>
      </c>
      <c r="E1771" s="22"/>
      <c r="F1771" s="22" t="str">
        <f ca="1">auto_pop!H1771</f>
        <v/>
      </c>
      <c r="G1771" s="33"/>
      <c r="H1771" s="33"/>
    </row>
    <row r="1772" spans="2:8" s="2" customFormat="1" ht="15" x14ac:dyDescent="0.25">
      <c r="B1772" s="21"/>
      <c r="C1772" s="22"/>
      <c r="D1772" s="29" t="str">
        <f t="shared" si="27"/>
        <v/>
      </c>
      <c r="E1772" s="22"/>
      <c r="F1772" s="22" t="str">
        <f ca="1">auto_pop!H1772</f>
        <v/>
      </c>
      <c r="G1772" s="33"/>
      <c r="H1772" s="33"/>
    </row>
    <row r="1773" spans="2:8" s="2" customFormat="1" ht="15" x14ac:dyDescent="0.25">
      <c r="B1773" s="21"/>
      <c r="C1773" s="22"/>
      <c r="D1773" s="29" t="str">
        <f t="shared" si="27"/>
        <v/>
      </c>
      <c r="E1773" s="22"/>
      <c r="F1773" s="22" t="str">
        <f ca="1">auto_pop!H1773</f>
        <v/>
      </c>
      <c r="G1773" s="33"/>
      <c r="H1773" s="33"/>
    </row>
    <row r="1774" spans="2:8" s="2" customFormat="1" ht="15" x14ac:dyDescent="0.25">
      <c r="B1774" s="21"/>
      <c r="C1774" s="22"/>
      <c r="D1774" s="29" t="str">
        <f t="shared" si="27"/>
        <v/>
      </c>
      <c r="E1774" s="22"/>
      <c r="F1774" s="22" t="str">
        <f ca="1">auto_pop!H1774</f>
        <v/>
      </c>
      <c r="G1774" s="33"/>
      <c r="H1774" s="33"/>
    </row>
    <row r="1775" spans="2:8" s="2" customFormat="1" ht="15" x14ac:dyDescent="0.25">
      <c r="B1775" s="21"/>
      <c r="C1775" s="22"/>
      <c r="D1775" s="29" t="str">
        <f t="shared" si="27"/>
        <v/>
      </c>
      <c r="E1775" s="22"/>
      <c r="F1775" s="22" t="str">
        <f ca="1">auto_pop!H1775</f>
        <v/>
      </c>
      <c r="G1775" s="33"/>
      <c r="H1775" s="33"/>
    </row>
    <row r="1776" spans="2:8" s="2" customFormat="1" ht="15" x14ac:dyDescent="0.25">
      <c r="B1776" s="21"/>
      <c r="C1776" s="22"/>
      <c r="D1776" s="29" t="str">
        <f t="shared" si="27"/>
        <v/>
      </c>
      <c r="E1776" s="22"/>
      <c r="F1776" s="22" t="str">
        <f ca="1">auto_pop!H1776</f>
        <v/>
      </c>
      <c r="G1776" s="33"/>
      <c r="H1776" s="33"/>
    </row>
    <row r="1777" spans="2:8" s="2" customFormat="1" ht="15" x14ac:dyDescent="0.25">
      <c r="B1777" s="21"/>
      <c r="C1777" s="22"/>
      <c r="D1777" s="29" t="str">
        <f t="shared" si="27"/>
        <v/>
      </c>
      <c r="E1777" s="22"/>
      <c r="F1777" s="22" t="str">
        <f ca="1">auto_pop!H1777</f>
        <v/>
      </c>
      <c r="G1777" s="33"/>
      <c r="H1777" s="33"/>
    </row>
    <row r="1778" spans="2:8" s="2" customFormat="1" ht="15" x14ac:dyDescent="0.25">
      <c r="B1778" s="21"/>
      <c r="C1778" s="22"/>
      <c r="D1778" s="29" t="str">
        <f t="shared" si="27"/>
        <v/>
      </c>
      <c r="E1778" s="22"/>
      <c r="F1778" s="22" t="str">
        <f ca="1">auto_pop!H1778</f>
        <v/>
      </c>
      <c r="G1778" s="33"/>
      <c r="H1778" s="33"/>
    </row>
    <row r="1779" spans="2:8" s="2" customFormat="1" ht="15" x14ac:dyDescent="0.25">
      <c r="B1779" s="21"/>
      <c r="C1779" s="22"/>
      <c r="D1779" s="29" t="str">
        <f t="shared" si="27"/>
        <v/>
      </c>
      <c r="E1779" s="22"/>
      <c r="F1779" s="22" t="str">
        <f ca="1">auto_pop!H1779</f>
        <v/>
      </c>
      <c r="G1779" s="33"/>
      <c r="H1779" s="33"/>
    </row>
    <row r="1780" spans="2:8" s="2" customFormat="1" ht="15" x14ac:dyDescent="0.25">
      <c r="B1780" s="21"/>
      <c r="C1780" s="22"/>
      <c r="D1780" s="29" t="str">
        <f t="shared" si="27"/>
        <v/>
      </c>
      <c r="E1780" s="22"/>
      <c r="F1780" s="22" t="str">
        <f ca="1">auto_pop!H1780</f>
        <v/>
      </c>
      <c r="G1780" s="33"/>
      <c r="H1780" s="33"/>
    </row>
    <row r="1781" spans="2:8" s="2" customFormat="1" ht="15" x14ac:dyDescent="0.25">
      <c r="B1781" s="21"/>
      <c r="C1781" s="22"/>
      <c r="D1781" s="29" t="str">
        <f t="shared" si="27"/>
        <v/>
      </c>
      <c r="E1781" s="22"/>
      <c r="F1781" s="22" t="str">
        <f ca="1">auto_pop!H1781</f>
        <v/>
      </c>
      <c r="G1781" s="33"/>
      <c r="H1781" s="33"/>
    </row>
    <row r="1782" spans="2:8" s="2" customFormat="1" ht="15" x14ac:dyDescent="0.25">
      <c r="B1782" s="21"/>
      <c r="C1782" s="22"/>
      <c r="D1782" s="29" t="str">
        <f t="shared" si="27"/>
        <v/>
      </c>
      <c r="E1782" s="22"/>
      <c r="F1782" s="22" t="str">
        <f ca="1">auto_pop!H1782</f>
        <v/>
      </c>
      <c r="G1782" s="33"/>
      <c r="H1782" s="33"/>
    </row>
    <row r="1783" spans="2:8" s="2" customFormat="1" ht="15" x14ac:dyDescent="0.25">
      <c r="B1783" s="21"/>
      <c r="C1783" s="22"/>
      <c r="D1783" s="29" t="str">
        <f t="shared" si="27"/>
        <v/>
      </c>
      <c r="E1783" s="22"/>
      <c r="F1783" s="22" t="str">
        <f ca="1">auto_pop!H1783</f>
        <v/>
      </c>
      <c r="G1783" s="33"/>
      <c r="H1783" s="33"/>
    </row>
    <row r="1784" spans="2:8" s="2" customFormat="1" ht="15" x14ac:dyDescent="0.25">
      <c r="B1784" s="21"/>
      <c r="C1784" s="22"/>
      <c r="D1784" s="29" t="str">
        <f t="shared" si="27"/>
        <v/>
      </c>
      <c r="E1784" s="22"/>
      <c r="F1784" s="22" t="str">
        <f ca="1">auto_pop!H1784</f>
        <v/>
      </c>
      <c r="G1784" s="33"/>
      <c r="H1784" s="33"/>
    </row>
    <row r="1785" spans="2:8" s="2" customFormat="1" ht="15" x14ac:dyDescent="0.25">
      <c r="B1785" s="21"/>
      <c r="C1785" s="22"/>
      <c r="D1785" s="29" t="str">
        <f t="shared" si="27"/>
        <v/>
      </c>
      <c r="E1785" s="22"/>
      <c r="F1785" s="22" t="str">
        <f ca="1">auto_pop!H1785</f>
        <v/>
      </c>
      <c r="G1785" s="33"/>
      <c r="H1785" s="33"/>
    </row>
    <row r="1786" spans="2:8" s="2" customFormat="1" ht="15" x14ac:dyDescent="0.25">
      <c r="B1786" s="21"/>
      <c r="C1786" s="22"/>
      <c r="D1786" s="29" t="str">
        <f t="shared" si="27"/>
        <v/>
      </c>
      <c r="E1786" s="22"/>
      <c r="F1786" s="22" t="str">
        <f ca="1">auto_pop!H1786</f>
        <v/>
      </c>
      <c r="G1786" s="33"/>
      <c r="H1786" s="33"/>
    </row>
    <row r="1787" spans="2:8" s="2" customFormat="1" ht="15" x14ac:dyDescent="0.25">
      <c r="B1787" s="21"/>
      <c r="C1787" s="22"/>
      <c r="D1787" s="29" t="str">
        <f t="shared" si="27"/>
        <v/>
      </c>
      <c r="E1787" s="22"/>
      <c r="F1787" s="22" t="str">
        <f ca="1">auto_pop!H1787</f>
        <v/>
      </c>
      <c r="G1787" s="33"/>
      <c r="H1787" s="33"/>
    </row>
    <row r="1788" spans="2:8" s="2" customFormat="1" ht="15" x14ac:dyDescent="0.25">
      <c r="B1788" s="21"/>
      <c r="C1788" s="22"/>
      <c r="D1788" s="29" t="str">
        <f t="shared" si="27"/>
        <v/>
      </c>
      <c r="E1788" s="22"/>
      <c r="F1788" s="22" t="str">
        <f ca="1">auto_pop!H1788</f>
        <v/>
      </c>
      <c r="G1788" s="33"/>
      <c r="H1788" s="33"/>
    </row>
    <row r="1789" spans="2:8" s="2" customFormat="1" ht="15" x14ac:dyDescent="0.25">
      <c r="B1789" s="21"/>
      <c r="C1789" s="22"/>
      <c r="D1789" s="29" t="str">
        <f t="shared" si="27"/>
        <v/>
      </c>
      <c r="E1789" s="22"/>
      <c r="F1789" s="22" t="str">
        <f ca="1">auto_pop!H1789</f>
        <v/>
      </c>
      <c r="G1789" s="33"/>
      <c r="H1789" s="33"/>
    </row>
    <row r="1790" spans="2:8" s="2" customFormat="1" ht="15" x14ac:dyDescent="0.25">
      <c r="B1790" s="21"/>
      <c r="C1790" s="22"/>
      <c r="D1790" s="29" t="str">
        <f t="shared" si="27"/>
        <v/>
      </c>
      <c r="E1790" s="22"/>
      <c r="F1790" s="22" t="str">
        <f ca="1">auto_pop!H1790</f>
        <v/>
      </c>
      <c r="G1790" s="33"/>
      <c r="H1790" s="33"/>
    </row>
    <row r="1791" spans="2:8" s="2" customFormat="1" ht="15" x14ac:dyDescent="0.25">
      <c r="B1791" s="21"/>
      <c r="C1791" s="22"/>
      <c r="D1791" s="29" t="str">
        <f t="shared" si="27"/>
        <v/>
      </c>
      <c r="E1791" s="22"/>
      <c r="F1791" s="22" t="str">
        <f ca="1">auto_pop!H1791</f>
        <v/>
      </c>
      <c r="G1791" s="33"/>
      <c r="H1791" s="33"/>
    </row>
    <row r="1792" spans="2:8" s="2" customFormat="1" ht="15" x14ac:dyDescent="0.25">
      <c r="B1792" s="21"/>
      <c r="C1792" s="22"/>
      <c r="D1792" s="29" t="str">
        <f t="shared" si="27"/>
        <v/>
      </c>
      <c r="E1792" s="22"/>
      <c r="F1792" s="22" t="str">
        <f ca="1">auto_pop!H1792</f>
        <v/>
      </c>
      <c r="G1792" s="33"/>
      <c r="H1792" s="33"/>
    </row>
    <row r="1793" spans="2:8" s="2" customFormat="1" ht="15" x14ac:dyDescent="0.25">
      <c r="B1793" s="21"/>
      <c r="C1793" s="22"/>
      <c r="D1793" s="29" t="str">
        <f t="shared" si="27"/>
        <v/>
      </c>
      <c r="E1793" s="22"/>
      <c r="F1793" s="22" t="str">
        <f ca="1">auto_pop!H1793</f>
        <v/>
      </c>
      <c r="G1793" s="33"/>
      <c r="H1793" s="33"/>
    </row>
    <row r="1794" spans="2:8" s="2" customFormat="1" ht="15" x14ac:dyDescent="0.25">
      <c r="B1794" s="21"/>
      <c r="C1794" s="22"/>
      <c r="D1794" s="29" t="str">
        <f t="shared" si="27"/>
        <v/>
      </c>
      <c r="E1794" s="22"/>
      <c r="F1794" s="22" t="str">
        <f ca="1">auto_pop!H1794</f>
        <v/>
      </c>
      <c r="G1794" s="33"/>
      <c r="H1794" s="33"/>
    </row>
    <row r="1795" spans="2:8" s="2" customFormat="1" ht="15" x14ac:dyDescent="0.25">
      <c r="B1795" s="21"/>
      <c r="C1795" s="22"/>
      <c r="D1795" s="29" t="str">
        <f t="shared" si="27"/>
        <v/>
      </c>
      <c r="E1795" s="22"/>
      <c r="F1795" s="22" t="str">
        <f ca="1">auto_pop!H1795</f>
        <v/>
      </c>
      <c r="G1795" s="33"/>
      <c r="H1795" s="33"/>
    </row>
    <row r="1796" spans="2:8" s="2" customFormat="1" ht="15" x14ac:dyDescent="0.25">
      <c r="B1796" s="21"/>
      <c r="C1796" s="22"/>
      <c r="D1796" s="29" t="str">
        <f t="shared" ref="D1796:D1859" si="28">IF(C1796&lt;&gt;"", IF(OR(C1796="Chapin", C1796="Oatka", C1796="Seneca"), "", 1), "")</f>
        <v/>
      </c>
      <c r="E1796" s="22"/>
      <c r="F1796" s="22" t="str">
        <f ca="1">auto_pop!H1796</f>
        <v/>
      </c>
      <c r="G1796" s="33"/>
      <c r="H1796" s="33"/>
    </row>
    <row r="1797" spans="2:8" s="2" customFormat="1" ht="15" x14ac:dyDescent="0.25">
      <c r="B1797" s="21"/>
      <c r="C1797" s="22"/>
      <c r="D1797" s="29" t="str">
        <f t="shared" si="28"/>
        <v/>
      </c>
      <c r="E1797" s="22"/>
      <c r="F1797" s="22" t="str">
        <f ca="1">auto_pop!H1797</f>
        <v/>
      </c>
      <c r="G1797" s="33"/>
      <c r="H1797" s="33"/>
    </row>
    <row r="1798" spans="2:8" s="2" customFormat="1" ht="15" x14ac:dyDescent="0.25">
      <c r="B1798" s="21"/>
      <c r="C1798" s="22"/>
      <c r="D1798" s="29" t="str">
        <f t="shared" si="28"/>
        <v/>
      </c>
      <c r="E1798" s="22"/>
      <c r="F1798" s="22" t="str">
        <f ca="1">auto_pop!H1798</f>
        <v/>
      </c>
      <c r="G1798" s="33"/>
      <c r="H1798" s="33"/>
    </row>
    <row r="1799" spans="2:8" s="2" customFormat="1" ht="15" x14ac:dyDescent="0.25">
      <c r="B1799" s="21"/>
      <c r="C1799" s="22"/>
      <c r="D1799" s="29" t="str">
        <f t="shared" si="28"/>
        <v/>
      </c>
      <c r="E1799" s="22"/>
      <c r="F1799" s="22" t="str">
        <f ca="1">auto_pop!H1799</f>
        <v/>
      </c>
      <c r="G1799" s="33"/>
      <c r="H1799" s="33"/>
    </row>
    <row r="1800" spans="2:8" s="2" customFormat="1" ht="15" x14ac:dyDescent="0.25">
      <c r="B1800" s="21"/>
      <c r="C1800" s="22"/>
      <c r="D1800" s="29" t="str">
        <f t="shared" si="28"/>
        <v/>
      </c>
      <c r="E1800" s="22"/>
      <c r="F1800" s="22" t="str">
        <f ca="1">auto_pop!H1800</f>
        <v/>
      </c>
      <c r="G1800" s="33"/>
      <c r="H1800" s="33"/>
    </row>
    <row r="1801" spans="2:8" s="2" customFormat="1" ht="15" x14ac:dyDescent="0.25">
      <c r="B1801" s="21"/>
      <c r="C1801" s="22"/>
      <c r="D1801" s="29" t="str">
        <f t="shared" si="28"/>
        <v/>
      </c>
      <c r="E1801" s="22"/>
      <c r="F1801" s="22" t="str">
        <f ca="1">auto_pop!H1801</f>
        <v/>
      </c>
      <c r="G1801" s="33"/>
      <c r="H1801" s="33"/>
    </row>
    <row r="1802" spans="2:8" s="2" customFormat="1" ht="15" x14ac:dyDescent="0.25">
      <c r="B1802" s="21"/>
      <c r="C1802" s="22"/>
      <c r="D1802" s="29" t="str">
        <f t="shared" si="28"/>
        <v/>
      </c>
      <c r="E1802" s="22"/>
      <c r="F1802" s="22" t="str">
        <f ca="1">auto_pop!H1802</f>
        <v/>
      </c>
      <c r="G1802" s="33"/>
      <c r="H1802" s="33"/>
    </row>
    <row r="1803" spans="2:8" s="2" customFormat="1" ht="15" x14ac:dyDescent="0.25">
      <c r="B1803" s="21"/>
      <c r="C1803" s="22"/>
      <c r="D1803" s="29" t="str">
        <f t="shared" si="28"/>
        <v/>
      </c>
      <c r="E1803" s="22"/>
      <c r="F1803" s="22" t="str">
        <f ca="1">auto_pop!H1803</f>
        <v/>
      </c>
      <c r="G1803" s="33"/>
      <c r="H1803" s="33"/>
    </row>
    <row r="1804" spans="2:8" s="2" customFormat="1" ht="15" x14ac:dyDescent="0.25">
      <c r="B1804" s="21"/>
      <c r="C1804" s="22"/>
      <c r="D1804" s="29" t="str">
        <f t="shared" si="28"/>
        <v/>
      </c>
      <c r="E1804" s="22"/>
      <c r="F1804" s="22" t="str">
        <f ca="1">auto_pop!H1804</f>
        <v/>
      </c>
      <c r="G1804" s="33"/>
      <c r="H1804" s="33"/>
    </row>
    <row r="1805" spans="2:8" s="2" customFormat="1" ht="15" x14ac:dyDescent="0.25">
      <c r="B1805" s="21"/>
      <c r="C1805" s="22"/>
      <c r="D1805" s="29" t="str">
        <f t="shared" si="28"/>
        <v/>
      </c>
      <c r="E1805" s="22"/>
      <c r="F1805" s="22" t="str">
        <f ca="1">auto_pop!H1805</f>
        <v/>
      </c>
      <c r="G1805" s="33"/>
      <c r="H1805" s="33"/>
    </row>
    <row r="1806" spans="2:8" s="2" customFormat="1" ht="15" x14ac:dyDescent="0.25">
      <c r="B1806" s="21"/>
      <c r="C1806" s="22"/>
      <c r="D1806" s="29" t="str">
        <f t="shared" si="28"/>
        <v/>
      </c>
      <c r="E1806" s="22"/>
      <c r="F1806" s="22" t="str">
        <f ca="1">auto_pop!H1806</f>
        <v/>
      </c>
      <c r="G1806" s="33"/>
      <c r="H1806" s="33"/>
    </row>
    <row r="1807" spans="2:8" s="2" customFormat="1" ht="15" x14ac:dyDescent="0.25">
      <c r="B1807" s="21"/>
      <c r="C1807" s="22"/>
      <c r="D1807" s="29" t="str">
        <f t="shared" si="28"/>
        <v/>
      </c>
      <c r="E1807" s="22"/>
      <c r="F1807" s="22" t="str">
        <f ca="1">auto_pop!H1807</f>
        <v/>
      </c>
      <c r="G1807" s="33"/>
      <c r="H1807" s="33"/>
    </row>
    <row r="1808" spans="2:8" s="2" customFormat="1" ht="15" x14ac:dyDescent="0.25">
      <c r="B1808" s="21"/>
      <c r="C1808" s="22"/>
      <c r="D1808" s="29" t="str">
        <f t="shared" si="28"/>
        <v/>
      </c>
      <c r="E1808" s="22"/>
      <c r="F1808" s="22" t="str">
        <f ca="1">auto_pop!H1808</f>
        <v/>
      </c>
      <c r="G1808" s="33"/>
      <c r="H1808" s="33"/>
    </row>
    <row r="1809" spans="2:8" s="2" customFormat="1" ht="15" x14ac:dyDescent="0.25">
      <c r="B1809" s="21"/>
      <c r="C1809" s="22"/>
      <c r="D1809" s="29" t="str">
        <f t="shared" si="28"/>
        <v/>
      </c>
      <c r="E1809" s="22"/>
      <c r="F1809" s="22" t="str">
        <f ca="1">auto_pop!H1809</f>
        <v/>
      </c>
      <c r="G1809" s="33"/>
      <c r="H1809" s="33"/>
    </row>
    <row r="1810" spans="2:8" s="2" customFormat="1" ht="15" x14ac:dyDescent="0.25">
      <c r="B1810" s="21"/>
      <c r="C1810" s="22"/>
      <c r="D1810" s="29" t="str">
        <f t="shared" si="28"/>
        <v/>
      </c>
      <c r="E1810" s="22"/>
      <c r="F1810" s="22" t="str">
        <f ca="1">auto_pop!H1810</f>
        <v/>
      </c>
      <c r="G1810" s="33"/>
      <c r="H1810" s="33"/>
    </row>
    <row r="1811" spans="2:8" s="2" customFormat="1" ht="15" x14ac:dyDescent="0.25">
      <c r="B1811" s="21"/>
      <c r="C1811" s="22"/>
      <c r="D1811" s="29" t="str">
        <f t="shared" si="28"/>
        <v/>
      </c>
      <c r="E1811" s="22"/>
      <c r="F1811" s="22" t="str">
        <f ca="1">auto_pop!H1811</f>
        <v/>
      </c>
      <c r="G1811" s="33"/>
      <c r="H1811" s="33"/>
    </row>
    <row r="1812" spans="2:8" s="2" customFormat="1" ht="15" x14ac:dyDescent="0.25">
      <c r="B1812" s="21"/>
      <c r="C1812" s="22"/>
      <c r="D1812" s="29" t="str">
        <f t="shared" si="28"/>
        <v/>
      </c>
      <c r="E1812" s="22"/>
      <c r="F1812" s="22" t="str">
        <f ca="1">auto_pop!H1812</f>
        <v/>
      </c>
      <c r="G1812" s="33"/>
      <c r="H1812" s="33"/>
    </row>
    <row r="1813" spans="2:8" s="2" customFormat="1" ht="15" x14ac:dyDescent="0.25">
      <c r="B1813" s="21"/>
      <c r="C1813" s="22"/>
      <c r="D1813" s="29" t="str">
        <f t="shared" si="28"/>
        <v/>
      </c>
      <c r="E1813" s="22"/>
      <c r="F1813" s="22" t="str">
        <f ca="1">auto_pop!H1813</f>
        <v/>
      </c>
      <c r="G1813" s="33"/>
      <c r="H1813" s="33"/>
    </row>
    <row r="1814" spans="2:8" s="2" customFormat="1" ht="15" x14ac:dyDescent="0.25">
      <c r="B1814" s="21"/>
      <c r="C1814" s="22"/>
      <c r="D1814" s="29" t="str">
        <f t="shared" si="28"/>
        <v/>
      </c>
      <c r="E1814" s="22"/>
      <c r="F1814" s="22" t="str">
        <f ca="1">auto_pop!H1814</f>
        <v/>
      </c>
      <c r="G1814" s="33"/>
      <c r="H1814" s="33"/>
    </row>
    <row r="1815" spans="2:8" s="2" customFormat="1" ht="15" x14ac:dyDescent="0.25">
      <c r="B1815" s="21"/>
      <c r="C1815" s="22"/>
      <c r="D1815" s="29" t="str">
        <f t="shared" si="28"/>
        <v/>
      </c>
      <c r="E1815" s="22"/>
      <c r="F1815" s="22" t="str">
        <f ca="1">auto_pop!H1815</f>
        <v/>
      </c>
      <c r="G1815" s="33"/>
      <c r="H1815" s="33"/>
    </row>
    <row r="1816" spans="2:8" s="2" customFormat="1" ht="15" x14ac:dyDescent="0.25">
      <c r="B1816" s="21"/>
      <c r="C1816" s="22"/>
      <c r="D1816" s="29" t="str">
        <f t="shared" si="28"/>
        <v/>
      </c>
      <c r="E1816" s="22"/>
      <c r="F1816" s="22" t="str">
        <f ca="1">auto_pop!H1816</f>
        <v/>
      </c>
      <c r="G1816" s="33"/>
      <c r="H1816" s="33"/>
    </row>
    <row r="1817" spans="2:8" s="2" customFormat="1" ht="15" x14ac:dyDescent="0.25">
      <c r="B1817" s="21"/>
      <c r="C1817" s="22"/>
      <c r="D1817" s="29" t="str">
        <f t="shared" si="28"/>
        <v/>
      </c>
      <c r="E1817" s="22"/>
      <c r="F1817" s="22" t="str">
        <f ca="1">auto_pop!H1817</f>
        <v/>
      </c>
      <c r="G1817" s="33"/>
      <c r="H1817" s="33"/>
    </row>
    <row r="1818" spans="2:8" s="2" customFormat="1" ht="15" x14ac:dyDescent="0.25">
      <c r="B1818" s="21"/>
      <c r="C1818" s="22"/>
      <c r="D1818" s="29" t="str">
        <f t="shared" si="28"/>
        <v/>
      </c>
      <c r="E1818" s="22"/>
      <c r="F1818" s="22" t="str">
        <f ca="1">auto_pop!H1818</f>
        <v/>
      </c>
      <c r="G1818" s="33"/>
      <c r="H1818" s="33"/>
    </row>
    <row r="1819" spans="2:8" s="2" customFormat="1" ht="15" x14ac:dyDescent="0.25">
      <c r="B1819" s="21"/>
      <c r="C1819" s="22"/>
      <c r="D1819" s="29" t="str">
        <f t="shared" si="28"/>
        <v/>
      </c>
      <c r="E1819" s="22"/>
      <c r="F1819" s="22" t="str">
        <f ca="1">auto_pop!H1819</f>
        <v/>
      </c>
      <c r="G1819" s="33"/>
      <c r="H1819" s="33"/>
    </row>
    <row r="1820" spans="2:8" s="2" customFormat="1" ht="15" x14ac:dyDescent="0.25">
      <c r="B1820" s="21"/>
      <c r="C1820" s="22"/>
      <c r="D1820" s="29" t="str">
        <f t="shared" si="28"/>
        <v/>
      </c>
      <c r="E1820" s="22"/>
      <c r="F1820" s="22" t="str">
        <f ca="1">auto_pop!H1820</f>
        <v/>
      </c>
      <c r="G1820" s="33"/>
      <c r="H1820" s="33"/>
    </row>
    <row r="1821" spans="2:8" s="2" customFormat="1" ht="15" x14ac:dyDescent="0.25">
      <c r="B1821" s="21"/>
      <c r="C1821" s="22"/>
      <c r="D1821" s="29" t="str">
        <f t="shared" si="28"/>
        <v/>
      </c>
      <c r="E1821" s="22"/>
      <c r="F1821" s="22" t="str">
        <f ca="1">auto_pop!H1821</f>
        <v/>
      </c>
      <c r="G1821" s="33"/>
      <c r="H1821" s="33"/>
    </row>
    <row r="1822" spans="2:8" s="2" customFormat="1" ht="15" x14ac:dyDescent="0.25">
      <c r="B1822" s="21"/>
      <c r="C1822" s="22"/>
      <c r="D1822" s="29" t="str">
        <f t="shared" si="28"/>
        <v/>
      </c>
      <c r="E1822" s="22"/>
      <c r="F1822" s="22" t="str">
        <f ca="1">auto_pop!H1822</f>
        <v/>
      </c>
      <c r="G1822" s="33"/>
      <c r="H1822" s="33"/>
    </row>
    <row r="1823" spans="2:8" s="2" customFormat="1" ht="15" x14ac:dyDescent="0.25">
      <c r="B1823" s="21"/>
      <c r="C1823" s="22"/>
      <c r="D1823" s="29" t="str">
        <f t="shared" si="28"/>
        <v/>
      </c>
      <c r="E1823" s="22"/>
      <c r="F1823" s="22" t="str">
        <f ca="1">auto_pop!H1823</f>
        <v/>
      </c>
      <c r="G1823" s="33"/>
      <c r="H1823" s="33"/>
    </row>
    <row r="1824" spans="2:8" s="2" customFormat="1" ht="15" x14ac:dyDescent="0.25">
      <c r="B1824" s="21"/>
      <c r="C1824" s="22"/>
      <c r="D1824" s="29" t="str">
        <f t="shared" si="28"/>
        <v/>
      </c>
      <c r="E1824" s="22"/>
      <c r="F1824" s="22" t="str">
        <f ca="1">auto_pop!H1824</f>
        <v/>
      </c>
      <c r="G1824" s="33"/>
      <c r="H1824" s="33"/>
    </row>
    <row r="1825" spans="2:8" s="2" customFormat="1" ht="15" x14ac:dyDescent="0.25">
      <c r="B1825" s="21"/>
      <c r="C1825" s="22"/>
      <c r="D1825" s="29" t="str">
        <f t="shared" si="28"/>
        <v/>
      </c>
      <c r="E1825" s="22"/>
      <c r="F1825" s="22" t="str">
        <f ca="1">auto_pop!H1825</f>
        <v/>
      </c>
      <c r="G1825" s="33"/>
      <c r="H1825" s="33"/>
    </row>
    <row r="1826" spans="2:8" s="2" customFormat="1" ht="15" x14ac:dyDescent="0.25">
      <c r="B1826" s="21"/>
      <c r="C1826" s="22"/>
      <c r="D1826" s="29" t="str">
        <f t="shared" si="28"/>
        <v/>
      </c>
      <c r="E1826" s="22"/>
      <c r="F1826" s="22" t="str">
        <f ca="1">auto_pop!H1826</f>
        <v/>
      </c>
      <c r="G1826" s="33"/>
      <c r="H1826" s="33"/>
    </row>
    <row r="1827" spans="2:8" s="2" customFormat="1" ht="15" x14ac:dyDescent="0.25">
      <c r="B1827" s="21"/>
      <c r="C1827" s="22"/>
      <c r="D1827" s="29" t="str">
        <f t="shared" si="28"/>
        <v/>
      </c>
      <c r="E1827" s="22"/>
      <c r="F1827" s="22" t="str">
        <f ca="1">auto_pop!H1827</f>
        <v/>
      </c>
      <c r="G1827" s="33"/>
      <c r="H1827" s="33"/>
    </row>
    <row r="1828" spans="2:8" s="2" customFormat="1" ht="15" x14ac:dyDescent="0.25">
      <c r="B1828" s="21"/>
      <c r="C1828" s="22"/>
      <c r="D1828" s="29" t="str">
        <f t="shared" si="28"/>
        <v/>
      </c>
      <c r="E1828" s="22"/>
      <c r="F1828" s="22" t="str">
        <f ca="1">auto_pop!H1828</f>
        <v/>
      </c>
      <c r="G1828" s="33"/>
      <c r="H1828" s="33"/>
    </row>
    <row r="1829" spans="2:8" s="2" customFormat="1" ht="15" x14ac:dyDescent="0.25">
      <c r="B1829" s="21"/>
      <c r="C1829" s="22"/>
      <c r="D1829" s="29" t="str">
        <f t="shared" si="28"/>
        <v/>
      </c>
      <c r="E1829" s="22"/>
      <c r="F1829" s="22" t="str">
        <f ca="1">auto_pop!H1829</f>
        <v/>
      </c>
      <c r="G1829" s="33"/>
      <c r="H1829" s="33"/>
    </row>
    <row r="1830" spans="2:8" s="2" customFormat="1" ht="15" x14ac:dyDescent="0.25">
      <c r="B1830" s="21"/>
      <c r="C1830" s="22"/>
      <c r="D1830" s="29" t="str">
        <f t="shared" si="28"/>
        <v/>
      </c>
      <c r="E1830" s="22"/>
      <c r="F1830" s="22" t="str">
        <f ca="1">auto_pop!H1830</f>
        <v/>
      </c>
      <c r="G1830" s="33"/>
      <c r="H1830" s="33"/>
    </row>
    <row r="1831" spans="2:8" s="2" customFormat="1" ht="15" x14ac:dyDescent="0.25">
      <c r="B1831" s="21"/>
      <c r="C1831" s="22"/>
      <c r="D1831" s="29" t="str">
        <f t="shared" si="28"/>
        <v/>
      </c>
      <c r="E1831" s="22"/>
      <c r="F1831" s="22" t="str">
        <f ca="1">auto_pop!H1831</f>
        <v/>
      </c>
      <c r="G1831" s="33"/>
      <c r="H1831" s="33"/>
    </row>
    <row r="1832" spans="2:8" s="2" customFormat="1" ht="15" x14ac:dyDescent="0.25">
      <c r="B1832" s="21"/>
      <c r="C1832" s="22"/>
      <c r="D1832" s="29" t="str">
        <f t="shared" si="28"/>
        <v/>
      </c>
      <c r="E1832" s="22"/>
      <c r="F1832" s="22" t="str">
        <f ca="1">auto_pop!H1832</f>
        <v/>
      </c>
      <c r="G1832" s="33"/>
      <c r="H1832" s="33"/>
    </row>
    <row r="1833" spans="2:8" s="2" customFormat="1" ht="15" x14ac:dyDescent="0.25">
      <c r="B1833" s="21"/>
      <c r="C1833" s="22"/>
      <c r="D1833" s="29" t="str">
        <f t="shared" si="28"/>
        <v/>
      </c>
      <c r="E1833" s="22"/>
      <c r="F1833" s="22" t="str">
        <f ca="1">auto_pop!H1833</f>
        <v/>
      </c>
      <c r="G1833" s="33"/>
      <c r="H1833" s="33"/>
    </row>
    <row r="1834" spans="2:8" s="2" customFormat="1" ht="15" x14ac:dyDescent="0.25">
      <c r="B1834" s="21"/>
      <c r="C1834" s="22"/>
      <c r="D1834" s="29" t="str">
        <f t="shared" si="28"/>
        <v/>
      </c>
      <c r="E1834" s="22"/>
      <c r="F1834" s="22" t="str">
        <f ca="1">auto_pop!H1834</f>
        <v/>
      </c>
      <c r="G1834" s="33"/>
      <c r="H1834" s="33"/>
    </row>
    <row r="1835" spans="2:8" s="2" customFormat="1" ht="15" x14ac:dyDescent="0.25">
      <c r="B1835" s="21"/>
      <c r="C1835" s="22"/>
      <c r="D1835" s="29" t="str">
        <f t="shared" si="28"/>
        <v/>
      </c>
      <c r="E1835" s="22"/>
      <c r="F1835" s="22" t="str">
        <f ca="1">auto_pop!H1835</f>
        <v/>
      </c>
      <c r="G1835" s="33"/>
      <c r="H1835" s="33"/>
    </row>
    <row r="1836" spans="2:8" s="2" customFormat="1" ht="15" x14ac:dyDescent="0.25">
      <c r="B1836" s="21"/>
      <c r="C1836" s="22"/>
      <c r="D1836" s="29" t="str">
        <f t="shared" si="28"/>
        <v/>
      </c>
      <c r="E1836" s="22"/>
      <c r="F1836" s="22" t="str">
        <f ca="1">auto_pop!H1836</f>
        <v/>
      </c>
      <c r="G1836" s="33"/>
      <c r="H1836" s="33"/>
    </row>
    <row r="1837" spans="2:8" s="2" customFormat="1" ht="15" x14ac:dyDescent="0.25">
      <c r="B1837" s="21"/>
      <c r="C1837" s="22"/>
      <c r="D1837" s="29" t="str">
        <f t="shared" si="28"/>
        <v/>
      </c>
      <c r="E1837" s="22"/>
      <c r="F1837" s="22" t="str">
        <f ca="1">auto_pop!H1837</f>
        <v/>
      </c>
      <c r="G1837" s="33"/>
      <c r="H1837" s="33"/>
    </row>
    <row r="1838" spans="2:8" s="2" customFormat="1" ht="15" x14ac:dyDescent="0.25">
      <c r="B1838" s="21"/>
      <c r="C1838" s="22"/>
      <c r="D1838" s="29" t="str">
        <f t="shared" si="28"/>
        <v/>
      </c>
      <c r="E1838" s="22"/>
      <c r="F1838" s="22" t="str">
        <f ca="1">auto_pop!H1838</f>
        <v/>
      </c>
      <c r="G1838" s="33"/>
      <c r="H1838" s="33"/>
    </row>
    <row r="1839" spans="2:8" s="2" customFormat="1" ht="15" x14ac:dyDescent="0.25">
      <c r="B1839" s="21"/>
      <c r="C1839" s="22"/>
      <c r="D1839" s="29" t="str">
        <f t="shared" si="28"/>
        <v/>
      </c>
      <c r="E1839" s="22"/>
      <c r="F1839" s="22" t="str">
        <f ca="1">auto_pop!H1839</f>
        <v/>
      </c>
      <c r="G1839" s="33"/>
      <c r="H1839" s="33"/>
    </row>
    <row r="1840" spans="2:8" s="2" customFormat="1" ht="15" x14ac:dyDescent="0.25">
      <c r="B1840" s="21"/>
      <c r="C1840" s="22"/>
      <c r="D1840" s="29" t="str">
        <f t="shared" si="28"/>
        <v/>
      </c>
      <c r="E1840" s="22"/>
      <c r="F1840" s="22" t="str">
        <f ca="1">auto_pop!H1840</f>
        <v/>
      </c>
      <c r="G1840" s="33"/>
      <c r="H1840" s="33"/>
    </row>
    <row r="1841" spans="2:8" s="2" customFormat="1" ht="15" x14ac:dyDescent="0.25">
      <c r="B1841" s="21"/>
      <c r="C1841" s="22"/>
      <c r="D1841" s="29" t="str">
        <f t="shared" si="28"/>
        <v/>
      </c>
      <c r="E1841" s="22"/>
      <c r="F1841" s="22" t="str">
        <f ca="1">auto_pop!H1841</f>
        <v/>
      </c>
      <c r="G1841" s="33"/>
      <c r="H1841" s="33"/>
    </row>
    <row r="1842" spans="2:8" s="2" customFormat="1" ht="15" x14ac:dyDescent="0.25">
      <c r="B1842" s="21"/>
      <c r="C1842" s="22"/>
      <c r="D1842" s="29" t="str">
        <f t="shared" si="28"/>
        <v/>
      </c>
      <c r="E1842" s="22"/>
      <c r="F1842" s="22" t="str">
        <f ca="1">auto_pop!H1842</f>
        <v/>
      </c>
      <c r="G1842" s="33"/>
      <c r="H1842" s="33"/>
    </row>
    <row r="1843" spans="2:8" s="2" customFormat="1" ht="15" x14ac:dyDescent="0.25">
      <c r="B1843" s="21"/>
      <c r="C1843" s="22"/>
      <c r="D1843" s="29" t="str">
        <f t="shared" si="28"/>
        <v/>
      </c>
      <c r="E1843" s="22"/>
      <c r="F1843" s="22" t="str">
        <f ca="1">auto_pop!H1843</f>
        <v/>
      </c>
      <c r="G1843" s="33"/>
      <c r="H1843" s="33"/>
    </row>
    <row r="1844" spans="2:8" s="2" customFormat="1" ht="15" x14ac:dyDescent="0.25">
      <c r="B1844" s="21"/>
      <c r="C1844" s="22"/>
      <c r="D1844" s="29" t="str">
        <f t="shared" si="28"/>
        <v/>
      </c>
      <c r="E1844" s="22"/>
      <c r="F1844" s="22" t="str">
        <f ca="1">auto_pop!H1844</f>
        <v/>
      </c>
      <c r="G1844" s="33"/>
      <c r="H1844" s="33"/>
    </row>
    <row r="1845" spans="2:8" s="2" customFormat="1" ht="15" x14ac:dyDescent="0.25">
      <c r="B1845" s="21"/>
      <c r="C1845" s="22"/>
      <c r="D1845" s="29" t="str">
        <f t="shared" si="28"/>
        <v/>
      </c>
      <c r="E1845" s="22"/>
      <c r="F1845" s="22" t="str">
        <f ca="1">auto_pop!H1845</f>
        <v/>
      </c>
      <c r="G1845" s="33"/>
      <c r="H1845" s="33"/>
    </row>
    <row r="1846" spans="2:8" s="2" customFormat="1" ht="15" x14ac:dyDescent="0.25">
      <c r="B1846" s="21"/>
      <c r="C1846" s="22"/>
      <c r="D1846" s="29" t="str">
        <f t="shared" si="28"/>
        <v/>
      </c>
      <c r="E1846" s="22"/>
      <c r="F1846" s="22" t="str">
        <f ca="1">auto_pop!H1846</f>
        <v/>
      </c>
      <c r="G1846" s="33"/>
      <c r="H1846" s="33"/>
    </row>
    <row r="1847" spans="2:8" s="2" customFormat="1" ht="15" x14ac:dyDescent="0.25">
      <c r="B1847" s="21"/>
      <c r="C1847" s="22"/>
      <c r="D1847" s="29" t="str">
        <f t="shared" si="28"/>
        <v/>
      </c>
      <c r="E1847" s="22"/>
      <c r="F1847" s="22" t="str">
        <f ca="1">auto_pop!H1847</f>
        <v/>
      </c>
      <c r="G1847" s="33"/>
      <c r="H1847" s="33"/>
    </row>
    <row r="1848" spans="2:8" s="2" customFormat="1" ht="15" x14ac:dyDescent="0.25">
      <c r="B1848" s="21"/>
      <c r="C1848" s="22"/>
      <c r="D1848" s="29" t="str">
        <f t="shared" si="28"/>
        <v/>
      </c>
      <c r="E1848" s="22"/>
      <c r="F1848" s="22" t="str">
        <f ca="1">auto_pop!H1848</f>
        <v/>
      </c>
      <c r="G1848" s="33"/>
      <c r="H1848" s="33"/>
    </row>
    <row r="1849" spans="2:8" s="2" customFormat="1" ht="15" x14ac:dyDescent="0.25">
      <c r="B1849" s="21"/>
      <c r="C1849" s="22"/>
      <c r="D1849" s="29" t="str">
        <f t="shared" si="28"/>
        <v/>
      </c>
      <c r="E1849" s="22"/>
      <c r="F1849" s="22" t="str">
        <f ca="1">auto_pop!H1849</f>
        <v/>
      </c>
      <c r="G1849" s="33"/>
      <c r="H1849" s="33"/>
    </row>
    <row r="1850" spans="2:8" s="2" customFormat="1" ht="15" x14ac:dyDescent="0.25">
      <c r="B1850" s="21"/>
      <c r="C1850" s="22"/>
      <c r="D1850" s="29" t="str">
        <f t="shared" si="28"/>
        <v/>
      </c>
      <c r="E1850" s="22"/>
      <c r="F1850" s="22" t="str">
        <f ca="1">auto_pop!H1850</f>
        <v/>
      </c>
      <c r="G1850" s="33"/>
      <c r="H1850" s="33"/>
    </row>
    <row r="1851" spans="2:8" s="2" customFormat="1" ht="15" x14ac:dyDescent="0.25">
      <c r="B1851" s="21"/>
      <c r="C1851" s="22"/>
      <c r="D1851" s="29" t="str">
        <f t="shared" si="28"/>
        <v/>
      </c>
      <c r="E1851" s="22"/>
      <c r="F1851" s="22" t="str">
        <f ca="1">auto_pop!H1851</f>
        <v/>
      </c>
      <c r="G1851" s="33"/>
      <c r="H1851" s="33"/>
    </row>
    <row r="1852" spans="2:8" s="2" customFormat="1" ht="15" x14ac:dyDescent="0.25">
      <c r="B1852" s="21"/>
      <c r="C1852" s="22"/>
      <c r="D1852" s="29" t="str">
        <f t="shared" si="28"/>
        <v/>
      </c>
      <c r="E1852" s="22"/>
      <c r="F1852" s="22" t="str">
        <f ca="1">auto_pop!H1852</f>
        <v/>
      </c>
      <c r="G1852" s="33"/>
      <c r="H1852" s="33"/>
    </row>
    <row r="1853" spans="2:8" s="2" customFormat="1" ht="15" x14ac:dyDescent="0.25">
      <c r="B1853" s="21"/>
      <c r="C1853" s="22"/>
      <c r="D1853" s="29" t="str">
        <f t="shared" si="28"/>
        <v/>
      </c>
      <c r="E1853" s="22"/>
      <c r="F1853" s="22" t="str">
        <f ca="1">auto_pop!H1853</f>
        <v/>
      </c>
      <c r="G1853" s="33"/>
      <c r="H1853" s="33"/>
    </row>
    <row r="1854" spans="2:8" s="2" customFormat="1" ht="15" x14ac:dyDescent="0.25">
      <c r="B1854" s="21"/>
      <c r="C1854" s="22"/>
      <c r="D1854" s="29" t="str">
        <f t="shared" si="28"/>
        <v/>
      </c>
      <c r="E1854" s="22"/>
      <c r="F1854" s="22" t="str">
        <f ca="1">auto_pop!H1854</f>
        <v/>
      </c>
      <c r="G1854" s="33"/>
      <c r="H1854" s="33"/>
    </row>
    <row r="1855" spans="2:8" s="2" customFormat="1" ht="15" x14ac:dyDescent="0.25">
      <c r="B1855" s="21"/>
      <c r="C1855" s="22"/>
      <c r="D1855" s="29" t="str">
        <f t="shared" si="28"/>
        <v/>
      </c>
      <c r="E1855" s="22"/>
      <c r="F1855" s="22" t="str">
        <f ca="1">auto_pop!H1855</f>
        <v/>
      </c>
      <c r="G1855" s="33"/>
      <c r="H1855" s="33"/>
    </row>
    <row r="1856" spans="2:8" s="2" customFormat="1" ht="15" x14ac:dyDescent="0.25">
      <c r="B1856" s="21"/>
      <c r="C1856" s="22"/>
      <c r="D1856" s="29" t="str">
        <f t="shared" si="28"/>
        <v/>
      </c>
      <c r="E1856" s="22"/>
      <c r="F1856" s="22" t="str">
        <f ca="1">auto_pop!H1856</f>
        <v/>
      </c>
      <c r="G1856" s="33"/>
      <c r="H1856" s="33"/>
    </row>
    <row r="1857" spans="2:8" s="2" customFormat="1" ht="15" x14ac:dyDescent="0.25">
      <c r="B1857" s="21"/>
      <c r="C1857" s="22"/>
      <c r="D1857" s="29" t="str">
        <f t="shared" si="28"/>
        <v/>
      </c>
      <c r="E1857" s="22"/>
      <c r="F1857" s="22" t="str">
        <f ca="1">auto_pop!H1857</f>
        <v/>
      </c>
      <c r="G1857" s="33"/>
      <c r="H1857" s="33"/>
    </row>
    <row r="1858" spans="2:8" s="2" customFormat="1" ht="15" x14ac:dyDescent="0.25">
      <c r="B1858" s="21"/>
      <c r="C1858" s="22"/>
      <c r="D1858" s="29" t="str">
        <f t="shared" si="28"/>
        <v/>
      </c>
      <c r="E1858" s="22"/>
      <c r="F1858" s="22" t="str">
        <f ca="1">auto_pop!H1858</f>
        <v/>
      </c>
      <c r="G1858" s="33"/>
      <c r="H1858" s="33"/>
    </row>
    <row r="1859" spans="2:8" s="2" customFormat="1" ht="15" x14ac:dyDescent="0.25">
      <c r="B1859" s="21"/>
      <c r="C1859" s="22"/>
      <c r="D1859" s="29" t="str">
        <f t="shared" si="28"/>
        <v/>
      </c>
      <c r="E1859" s="22"/>
      <c r="F1859" s="22" t="str">
        <f ca="1">auto_pop!H1859</f>
        <v/>
      </c>
      <c r="G1859" s="33"/>
      <c r="H1859" s="33"/>
    </row>
    <row r="1860" spans="2:8" s="2" customFormat="1" ht="15" x14ac:dyDescent="0.25">
      <c r="B1860" s="21"/>
      <c r="C1860" s="22"/>
      <c r="D1860" s="29" t="str">
        <f t="shared" ref="D1860:D1923" si="29">IF(C1860&lt;&gt;"", IF(OR(C1860="Chapin", C1860="Oatka", C1860="Seneca"), "", 1), "")</f>
        <v/>
      </c>
      <c r="E1860" s="22"/>
      <c r="F1860" s="22" t="str">
        <f ca="1">auto_pop!H1860</f>
        <v/>
      </c>
      <c r="G1860" s="33"/>
      <c r="H1860" s="33"/>
    </row>
    <row r="1861" spans="2:8" s="2" customFormat="1" ht="15" x14ac:dyDescent="0.25">
      <c r="B1861" s="21"/>
      <c r="C1861" s="22"/>
      <c r="D1861" s="29" t="str">
        <f t="shared" si="29"/>
        <v/>
      </c>
      <c r="E1861" s="22"/>
      <c r="F1861" s="22" t="str">
        <f ca="1">auto_pop!H1861</f>
        <v/>
      </c>
      <c r="G1861" s="33"/>
      <c r="H1861" s="33"/>
    </row>
    <row r="1862" spans="2:8" s="2" customFormat="1" ht="15" x14ac:dyDescent="0.25">
      <c r="B1862" s="21"/>
      <c r="C1862" s="22"/>
      <c r="D1862" s="29" t="str">
        <f t="shared" si="29"/>
        <v/>
      </c>
      <c r="E1862" s="22"/>
      <c r="F1862" s="22" t="str">
        <f ca="1">auto_pop!H1862</f>
        <v/>
      </c>
      <c r="G1862" s="33"/>
      <c r="H1862" s="33"/>
    </row>
    <row r="1863" spans="2:8" s="2" customFormat="1" ht="15" x14ac:dyDescent="0.25">
      <c r="B1863" s="21"/>
      <c r="C1863" s="22"/>
      <c r="D1863" s="29" t="str">
        <f t="shared" si="29"/>
        <v/>
      </c>
      <c r="E1863" s="22"/>
      <c r="F1863" s="22" t="str">
        <f ca="1">auto_pop!H1863</f>
        <v/>
      </c>
      <c r="G1863" s="33"/>
      <c r="H1863" s="33"/>
    </row>
    <row r="1864" spans="2:8" s="2" customFormat="1" ht="15" x14ac:dyDescent="0.25">
      <c r="B1864" s="21"/>
      <c r="C1864" s="22"/>
      <c r="D1864" s="29" t="str">
        <f t="shared" si="29"/>
        <v/>
      </c>
      <c r="E1864" s="22"/>
      <c r="F1864" s="22" t="str">
        <f ca="1">auto_pop!H1864</f>
        <v/>
      </c>
      <c r="G1864" s="33"/>
      <c r="H1864" s="33"/>
    </row>
    <row r="1865" spans="2:8" s="2" customFormat="1" ht="15" x14ac:dyDescent="0.25">
      <c r="B1865" s="21"/>
      <c r="C1865" s="22"/>
      <c r="D1865" s="29" t="str">
        <f t="shared" si="29"/>
        <v/>
      </c>
      <c r="E1865" s="22"/>
      <c r="F1865" s="22" t="str">
        <f ca="1">auto_pop!H1865</f>
        <v/>
      </c>
      <c r="G1865" s="33"/>
      <c r="H1865" s="33"/>
    </row>
    <row r="1866" spans="2:8" s="2" customFormat="1" ht="15" x14ac:dyDescent="0.25">
      <c r="B1866" s="21"/>
      <c r="C1866" s="22"/>
      <c r="D1866" s="29" t="str">
        <f t="shared" si="29"/>
        <v/>
      </c>
      <c r="E1866" s="22"/>
      <c r="F1866" s="22" t="str">
        <f ca="1">auto_pop!H1866</f>
        <v/>
      </c>
      <c r="G1866" s="33"/>
      <c r="H1866" s="33"/>
    </row>
    <row r="1867" spans="2:8" s="2" customFormat="1" ht="15" x14ac:dyDescent="0.25">
      <c r="B1867" s="21"/>
      <c r="C1867" s="22"/>
      <c r="D1867" s="29" t="str">
        <f t="shared" si="29"/>
        <v/>
      </c>
      <c r="E1867" s="22"/>
      <c r="F1867" s="22" t="str">
        <f ca="1">auto_pop!H1867</f>
        <v/>
      </c>
      <c r="G1867" s="33"/>
      <c r="H1867" s="33"/>
    </row>
    <row r="1868" spans="2:8" s="2" customFormat="1" ht="15" x14ac:dyDescent="0.25">
      <c r="B1868" s="21"/>
      <c r="C1868" s="22"/>
      <c r="D1868" s="29" t="str">
        <f t="shared" si="29"/>
        <v/>
      </c>
      <c r="E1868" s="22"/>
      <c r="F1868" s="22" t="str">
        <f ca="1">auto_pop!H1868</f>
        <v/>
      </c>
      <c r="G1868" s="33"/>
      <c r="H1868" s="33"/>
    </row>
    <row r="1869" spans="2:8" s="2" customFormat="1" ht="15" x14ac:dyDescent="0.25">
      <c r="B1869" s="21"/>
      <c r="C1869" s="22"/>
      <c r="D1869" s="29" t="str">
        <f t="shared" si="29"/>
        <v/>
      </c>
      <c r="E1869" s="22"/>
      <c r="F1869" s="22" t="str">
        <f ca="1">auto_pop!H1869</f>
        <v/>
      </c>
      <c r="G1869" s="33"/>
      <c r="H1869" s="33"/>
    </row>
    <row r="1870" spans="2:8" s="2" customFormat="1" ht="15" x14ac:dyDescent="0.25">
      <c r="B1870" s="21"/>
      <c r="C1870" s="22"/>
      <c r="D1870" s="29" t="str">
        <f t="shared" si="29"/>
        <v/>
      </c>
      <c r="E1870" s="22"/>
      <c r="F1870" s="22" t="str">
        <f ca="1">auto_pop!H1870</f>
        <v/>
      </c>
      <c r="G1870" s="33"/>
      <c r="H1870" s="33"/>
    </row>
    <row r="1871" spans="2:8" s="2" customFormat="1" ht="15" x14ac:dyDescent="0.25">
      <c r="B1871" s="21"/>
      <c r="C1871" s="22"/>
      <c r="D1871" s="29" t="str">
        <f t="shared" si="29"/>
        <v/>
      </c>
      <c r="E1871" s="22"/>
      <c r="F1871" s="22" t="str">
        <f ca="1">auto_pop!H1871</f>
        <v/>
      </c>
      <c r="G1871" s="33"/>
      <c r="H1871" s="33"/>
    </row>
    <row r="1872" spans="2:8" s="2" customFormat="1" ht="15" x14ac:dyDescent="0.25">
      <c r="B1872" s="21"/>
      <c r="C1872" s="22"/>
      <c r="D1872" s="29" t="str">
        <f t="shared" si="29"/>
        <v/>
      </c>
      <c r="E1872" s="22"/>
      <c r="F1872" s="22" t="str">
        <f ca="1">auto_pop!H1872</f>
        <v/>
      </c>
      <c r="G1872" s="33"/>
      <c r="H1872" s="33"/>
    </row>
    <row r="1873" spans="2:8" s="2" customFormat="1" ht="15" x14ac:dyDescent="0.25">
      <c r="B1873" s="21"/>
      <c r="C1873" s="22"/>
      <c r="D1873" s="29" t="str">
        <f t="shared" si="29"/>
        <v/>
      </c>
      <c r="E1873" s="22"/>
      <c r="F1873" s="22" t="str">
        <f ca="1">auto_pop!H1873</f>
        <v/>
      </c>
      <c r="G1873" s="33"/>
      <c r="H1873" s="33"/>
    </row>
    <row r="1874" spans="2:8" s="2" customFormat="1" ht="15" x14ac:dyDescent="0.25">
      <c r="B1874" s="21"/>
      <c r="C1874" s="22"/>
      <c r="D1874" s="29" t="str">
        <f t="shared" si="29"/>
        <v/>
      </c>
      <c r="E1874" s="22"/>
      <c r="F1874" s="22" t="str">
        <f ca="1">auto_pop!H1874</f>
        <v/>
      </c>
      <c r="G1874" s="33"/>
      <c r="H1874" s="33"/>
    </row>
    <row r="1875" spans="2:8" s="2" customFormat="1" ht="15" x14ac:dyDescent="0.25">
      <c r="B1875" s="21"/>
      <c r="C1875" s="22"/>
      <c r="D1875" s="29" t="str">
        <f t="shared" si="29"/>
        <v/>
      </c>
      <c r="E1875" s="22"/>
      <c r="F1875" s="22" t="str">
        <f ca="1">auto_pop!H1875</f>
        <v/>
      </c>
      <c r="G1875" s="33"/>
      <c r="H1875" s="33"/>
    </row>
    <row r="1876" spans="2:8" s="2" customFormat="1" ht="15" x14ac:dyDescent="0.25">
      <c r="B1876" s="21"/>
      <c r="C1876" s="22"/>
      <c r="D1876" s="29" t="str">
        <f t="shared" si="29"/>
        <v/>
      </c>
      <c r="E1876" s="22"/>
      <c r="F1876" s="22" t="str">
        <f ca="1">auto_pop!H1876</f>
        <v/>
      </c>
      <c r="G1876" s="33"/>
      <c r="H1876" s="33"/>
    </row>
    <row r="1877" spans="2:8" s="2" customFormat="1" ht="15" x14ac:dyDescent="0.25">
      <c r="B1877" s="21"/>
      <c r="C1877" s="22"/>
      <c r="D1877" s="29" t="str">
        <f t="shared" si="29"/>
        <v/>
      </c>
      <c r="E1877" s="22"/>
      <c r="F1877" s="22" t="str">
        <f ca="1">auto_pop!H1877</f>
        <v/>
      </c>
      <c r="G1877" s="33"/>
      <c r="H1877" s="33"/>
    </row>
    <row r="1878" spans="2:8" s="2" customFormat="1" ht="15" x14ac:dyDescent="0.25">
      <c r="B1878" s="21"/>
      <c r="C1878" s="22"/>
      <c r="D1878" s="29" t="str">
        <f t="shared" si="29"/>
        <v/>
      </c>
      <c r="E1878" s="22"/>
      <c r="F1878" s="22" t="str">
        <f ca="1">auto_pop!H1878</f>
        <v/>
      </c>
      <c r="G1878" s="33"/>
      <c r="H1878" s="33"/>
    </row>
    <row r="1879" spans="2:8" s="2" customFormat="1" ht="15" x14ac:dyDescent="0.25">
      <c r="B1879" s="21"/>
      <c r="C1879" s="22"/>
      <c r="D1879" s="29" t="str">
        <f t="shared" si="29"/>
        <v/>
      </c>
      <c r="E1879" s="22"/>
      <c r="F1879" s="22" t="str">
        <f ca="1">auto_pop!H1879</f>
        <v/>
      </c>
      <c r="G1879" s="33"/>
      <c r="H1879" s="33"/>
    </row>
    <row r="1880" spans="2:8" s="2" customFormat="1" ht="15" x14ac:dyDescent="0.25">
      <c r="B1880" s="21"/>
      <c r="C1880" s="22"/>
      <c r="D1880" s="29" t="str">
        <f t="shared" si="29"/>
        <v/>
      </c>
      <c r="E1880" s="22"/>
      <c r="F1880" s="22" t="str">
        <f ca="1">auto_pop!H1880</f>
        <v/>
      </c>
      <c r="G1880" s="33"/>
      <c r="H1880" s="33"/>
    </row>
    <row r="1881" spans="2:8" s="2" customFormat="1" ht="15" x14ac:dyDescent="0.25">
      <c r="B1881" s="21"/>
      <c r="C1881" s="22"/>
      <c r="D1881" s="29" t="str">
        <f t="shared" si="29"/>
        <v/>
      </c>
      <c r="E1881" s="22"/>
      <c r="F1881" s="22" t="str">
        <f ca="1">auto_pop!H1881</f>
        <v/>
      </c>
      <c r="G1881" s="33"/>
      <c r="H1881" s="33"/>
    </row>
    <row r="1882" spans="2:8" s="2" customFormat="1" ht="15" x14ac:dyDescent="0.25">
      <c r="B1882" s="21"/>
      <c r="C1882" s="22"/>
      <c r="D1882" s="29" t="str">
        <f t="shared" si="29"/>
        <v/>
      </c>
      <c r="E1882" s="22"/>
      <c r="F1882" s="22" t="str">
        <f ca="1">auto_pop!H1882</f>
        <v/>
      </c>
      <c r="G1882" s="33"/>
      <c r="H1882" s="33"/>
    </row>
    <row r="1883" spans="2:8" s="2" customFormat="1" ht="15" x14ac:dyDescent="0.25">
      <c r="B1883" s="21"/>
      <c r="C1883" s="22"/>
      <c r="D1883" s="29" t="str">
        <f t="shared" si="29"/>
        <v/>
      </c>
      <c r="E1883" s="22"/>
      <c r="F1883" s="22" t="str">
        <f ca="1">auto_pop!H1883</f>
        <v/>
      </c>
      <c r="G1883" s="33"/>
      <c r="H1883" s="33"/>
    </row>
    <row r="1884" spans="2:8" s="2" customFormat="1" ht="15" x14ac:dyDescent="0.25">
      <c r="B1884" s="21"/>
      <c r="C1884" s="22"/>
      <c r="D1884" s="29" t="str">
        <f t="shared" si="29"/>
        <v/>
      </c>
      <c r="E1884" s="22"/>
      <c r="F1884" s="22" t="str">
        <f ca="1">auto_pop!H1884</f>
        <v/>
      </c>
      <c r="G1884" s="33"/>
      <c r="H1884" s="33"/>
    </row>
    <row r="1885" spans="2:8" s="2" customFormat="1" ht="15" x14ac:dyDescent="0.25">
      <c r="B1885" s="21"/>
      <c r="C1885" s="22"/>
      <c r="D1885" s="29" t="str">
        <f t="shared" si="29"/>
        <v/>
      </c>
      <c r="E1885" s="22"/>
      <c r="F1885" s="22" t="str">
        <f ca="1">auto_pop!H1885</f>
        <v/>
      </c>
      <c r="G1885" s="33"/>
      <c r="H1885" s="33"/>
    </row>
    <row r="1886" spans="2:8" s="2" customFormat="1" ht="15" x14ac:dyDescent="0.25">
      <c r="B1886" s="21"/>
      <c r="C1886" s="22"/>
      <c r="D1886" s="29" t="str">
        <f t="shared" si="29"/>
        <v/>
      </c>
      <c r="E1886" s="22"/>
      <c r="F1886" s="22" t="str">
        <f ca="1">auto_pop!H1886</f>
        <v/>
      </c>
      <c r="G1886" s="33"/>
      <c r="H1886" s="33"/>
    </row>
    <row r="1887" spans="2:8" s="2" customFormat="1" ht="15" x14ac:dyDescent="0.25">
      <c r="B1887" s="21"/>
      <c r="C1887" s="22"/>
      <c r="D1887" s="29" t="str">
        <f t="shared" si="29"/>
        <v/>
      </c>
      <c r="E1887" s="22"/>
      <c r="F1887" s="22" t="str">
        <f ca="1">auto_pop!H1887</f>
        <v/>
      </c>
      <c r="G1887" s="33"/>
      <c r="H1887" s="33"/>
    </row>
    <row r="1888" spans="2:8" s="2" customFormat="1" ht="15" x14ac:dyDescent="0.25">
      <c r="B1888" s="21"/>
      <c r="C1888" s="22"/>
      <c r="D1888" s="29" t="str">
        <f t="shared" si="29"/>
        <v/>
      </c>
      <c r="E1888" s="22"/>
      <c r="F1888" s="22" t="str">
        <f ca="1">auto_pop!H1888</f>
        <v/>
      </c>
      <c r="G1888" s="33"/>
      <c r="H1888" s="33"/>
    </row>
    <row r="1889" spans="2:8" s="2" customFormat="1" ht="15" x14ac:dyDescent="0.25">
      <c r="B1889" s="21"/>
      <c r="C1889" s="22"/>
      <c r="D1889" s="29" t="str">
        <f t="shared" si="29"/>
        <v/>
      </c>
      <c r="E1889" s="22"/>
      <c r="F1889" s="22" t="str">
        <f ca="1">auto_pop!H1889</f>
        <v/>
      </c>
      <c r="G1889" s="33"/>
      <c r="H1889" s="33"/>
    </row>
    <row r="1890" spans="2:8" s="2" customFormat="1" ht="15" x14ac:dyDescent="0.25">
      <c r="B1890" s="21"/>
      <c r="C1890" s="22"/>
      <c r="D1890" s="29" t="str">
        <f t="shared" si="29"/>
        <v/>
      </c>
      <c r="E1890" s="22"/>
      <c r="F1890" s="22" t="str">
        <f ca="1">auto_pop!H1890</f>
        <v/>
      </c>
      <c r="G1890" s="33"/>
      <c r="H1890" s="33"/>
    </row>
    <row r="1891" spans="2:8" s="2" customFormat="1" ht="15" x14ac:dyDescent="0.25">
      <c r="B1891" s="21"/>
      <c r="C1891" s="22"/>
      <c r="D1891" s="29" t="str">
        <f t="shared" si="29"/>
        <v/>
      </c>
      <c r="E1891" s="22"/>
      <c r="F1891" s="22" t="str">
        <f ca="1">auto_pop!H1891</f>
        <v/>
      </c>
      <c r="G1891" s="33"/>
      <c r="H1891" s="33"/>
    </row>
    <row r="1892" spans="2:8" s="2" customFormat="1" ht="15" x14ac:dyDescent="0.25">
      <c r="B1892" s="21"/>
      <c r="C1892" s="22"/>
      <c r="D1892" s="29" t="str">
        <f t="shared" si="29"/>
        <v/>
      </c>
      <c r="E1892" s="22"/>
      <c r="F1892" s="22" t="str">
        <f ca="1">auto_pop!H1892</f>
        <v/>
      </c>
      <c r="G1892" s="33"/>
      <c r="H1892" s="33"/>
    </row>
    <row r="1893" spans="2:8" s="2" customFormat="1" ht="15" x14ac:dyDescent="0.25">
      <c r="B1893" s="21"/>
      <c r="C1893" s="22"/>
      <c r="D1893" s="29" t="str">
        <f t="shared" si="29"/>
        <v/>
      </c>
      <c r="E1893" s="22"/>
      <c r="F1893" s="22" t="str">
        <f ca="1">auto_pop!H1893</f>
        <v/>
      </c>
      <c r="G1893" s="33"/>
      <c r="H1893" s="33"/>
    </row>
    <row r="1894" spans="2:8" s="2" customFormat="1" ht="15" x14ac:dyDescent="0.25">
      <c r="B1894" s="21"/>
      <c r="C1894" s="22"/>
      <c r="D1894" s="29" t="str">
        <f t="shared" si="29"/>
        <v/>
      </c>
      <c r="E1894" s="22"/>
      <c r="F1894" s="22" t="str">
        <f ca="1">auto_pop!H1894</f>
        <v/>
      </c>
      <c r="G1894" s="33"/>
      <c r="H1894" s="33"/>
    </row>
    <row r="1895" spans="2:8" s="2" customFormat="1" ht="15" x14ac:dyDescent="0.25">
      <c r="B1895" s="21"/>
      <c r="C1895" s="22"/>
      <c r="D1895" s="29" t="str">
        <f t="shared" si="29"/>
        <v/>
      </c>
      <c r="E1895" s="22"/>
      <c r="F1895" s="22" t="str">
        <f ca="1">auto_pop!H1895</f>
        <v/>
      </c>
      <c r="G1895" s="33"/>
      <c r="H1895" s="33"/>
    </row>
    <row r="1896" spans="2:8" s="2" customFormat="1" ht="15" x14ac:dyDescent="0.25">
      <c r="B1896" s="21"/>
      <c r="C1896" s="22"/>
      <c r="D1896" s="29" t="str">
        <f t="shared" si="29"/>
        <v/>
      </c>
      <c r="E1896" s="22"/>
      <c r="F1896" s="22" t="str">
        <f ca="1">auto_pop!H1896</f>
        <v/>
      </c>
      <c r="G1896" s="33"/>
      <c r="H1896" s="33"/>
    </row>
    <row r="1897" spans="2:8" s="2" customFormat="1" ht="15" x14ac:dyDescent="0.25">
      <c r="B1897" s="21"/>
      <c r="C1897" s="22"/>
      <c r="D1897" s="29" t="str">
        <f t="shared" si="29"/>
        <v/>
      </c>
      <c r="E1897" s="22"/>
      <c r="F1897" s="22" t="str">
        <f ca="1">auto_pop!H1897</f>
        <v/>
      </c>
      <c r="G1897" s="33"/>
      <c r="H1897" s="33"/>
    </row>
    <row r="1898" spans="2:8" s="2" customFormat="1" ht="15" x14ac:dyDescent="0.25">
      <c r="B1898" s="21"/>
      <c r="C1898" s="22"/>
      <c r="D1898" s="29" t="str">
        <f t="shared" si="29"/>
        <v/>
      </c>
      <c r="E1898" s="22"/>
      <c r="F1898" s="22" t="str">
        <f ca="1">auto_pop!H1898</f>
        <v/>
      </c>
      <c r="G1898" s="33"/>
      <c r="H1898" s="33"/>
    </row>
    <row r="1899" spans="2:8" s="2" customFormat="1" ht="15" x14ac:dyDescent="0.25">
      <c r="B1899" s="21"/>
      <c r="C1899" s="22"/>
      <c r="D1899" s="29" t="str">
        <f t="shared" si="29"/>
        <v/>
      </c>
      <c r="E1899" s="22"/>
      <c r="F1899" s="22" t="str">
        <f ca="1">auto_pop!H1899</f>
        <v/>
      </c>
      <c r="G1899" s="33"/>
      <c r="H1899" s="33"/>
    </row>
    <row r="1900" spans="2:8" s="2" customFormat="1" ht="15" x14ac:dyDescent="0.25">
      <c r="B1900" s="21"/>
      <c r="C1900" s="22"/>
      <c r="D1900" s="29" t="str">
        <f t="shared" si="29"/>
        <v/>
      </c>
      <c r="E1900" s="22"/>
      <c r="F1900" s="22" t="str">
        <f ca="1">auto_pop!H1900</f>
        <v/>
      </c>
      <c r="G1900" s="33"/>
      <c r="H1900" s="33"/>
    </row>
    <row r="1901" spans="2:8" s="2" customFormat="1" ht="15" x14ac:dyDescent="0.25">
      <c r="B1901" s="21"/>
      <c r="C1901" s="22"/>
      <c r="D1901" s="29" t="str">
        <f t="shared" si="29"/>
        <v/>
      </c>
      <c r="E1901" s="22"/>
      <c r="F1901" s="22" t="str">
        <f ca="1">auto_pop!H1901</f>
        <v/>
      </c>
      <c r="G1901" s="33"/>
      <c r="H1901" s="33"/>
    </row>
    <row r="1902" spans="2:8" s="2" customFormat="1" ht="15" x14ac:dyDescent="0.25">
      <c r="B1902" s="21"/>
      <c r="C1902" s="22"/>
      <c r="D1902" s="29" t="str">
        <f t="shared" si="29"/>
        <v/>
      </c>
      <c r="E1902" s="22"/>
      <c r="F1902" s="22" t="str">
        <f ca="1">auto_pop!H1902</f>
        <v/>
      </c>
      <c r="G1902" s="33"/>
      <c r="H1902" s="33"/>
    </row>
    <row r="1903" spans="2:8" s="2" customFormat="1" ht="15" x14ac:dyDescent="0.25">
      <c r="B1903" s="21"/>
      <c r="C1903" s="22"/>
      <c r="D1903" s="29" t="str">
        <f t="shared" si="29"/>
        <v/>
      </c>
      <c r="E1903" s="22"/>
      <c r="F1903" s="22" t="str">
        <f ca="1">auto_pop!H1903</f>
        <v/>
      </c>
      <c r="G1903" s="33"/>
      <c r="H1903" s="33"/>
    </row>
    <row r="1904" spans="2:8" s="2" customFormat="1" ht="15" x14ac:dyDescent="0.25">
      <c r="B1904" s="21"/>
      <c r="C1904" s="22"/>
      <c r="D1904" s="29" t="str">
        <f t="shared" si="29"/>
        <v/>
      </c>
      <c r="E1904" s="22"/>
      <c r="F1904" s="22" t="str">
        <f ca="1">auto_pop!H1904</f>
        <v/>
      </c>
      <c r="G1904" s="33"/>
      <c r="H1904" s="33"/>
    </row>
    <row r="1905" spans="2:8" s="2" customFormat="1" ht="15" x14ac:dyDescent="0.25">
      <c r="B1905" s="21"/>
      <c r="C1905" s="22"/>
      <c r="D1905" s="29" t="str">
        <f t="shared" si="29"/>
        <v/>
      </c>
      <c r="E1905" s="22"/>
      <c r="F1905" s="22" t="str">
        <f ca="1">auto_pop!H1905</f>
        <v/>
      </c>
      <c r="G1905" s="33"/>
      <c r="H1905" s="33"/>
    </row>
    <row r="1906" spans="2:8" s="2" customFormat="1" ht="15" x14ac:dyDescent="0.25">
      <c r="B1906" s="21"/>
      <c r="C1906" s="22"/>
      <c r="D1906" s="29" t="str">
        <f t="shared" si="29"/>
        <v/>
      </c>
      <c r="E1906" s="22"/>
      <c r="F1906" s="22" t="str">
        <f ca="1">auto_pop!H1906</f>
        <v/>
      </c>
      <c r="G1906" s="33"/>
      <c r="H1906" s="33"/>
    </row>
    <row r="1907" spans="2:8" s="2" customFormat="1" ht="15" x14ac:dyDescent="0.25">
      <c r="B1907" s="21"/>
      <c r="C1907" s="22"/>
      <c r="D1907" s="29" t="str">
        <f t="shared" si="29"/>
        <v/>
      </c>
      <c r="E1907" s="22"/>
      <c r="F1907" s="22" t="str">
        <f ca="1">auto_pop!H1907</f>
        <v/>
      </c>
      <c r="G1907" s="33"/>
      <c r="H1907" s="33"/>
    </row>
    <row r="1908" spans="2:8" s="2" customFormat="1" ht="15" x14ac:dyDescent="0.25">
      <c r="B1908" s="21"/>
      <c r="C1908" s="22"/>
      <c r="D1908" s="29" t="str">
        <f t="shared" si="29"/>
        <v/>
      </c>
      <c r="E1908" s="22"/>
      <c r="F1908" s="22" t="str">
        <f ca="1">auto_pop!H1908</f>
        <v/>
      </c>
      <c r="G1908" s="33"/>
      <c r="H1908" s="33"/>
    </row>
    <row r="1909" spans="2:8" s="2" customFormat="1" ht="15" x14ac:dyDescent="0.25">
      <c r="B1909" s="21"/>
      <c r="C1909" s="22"/>
      <c r="D1909" s="29" t="str">
        <f t="shared" si="29"/>
        <v/>
      </c>
      <c r="E1909" s="22"/>
      <c r="F1909" s="22" t="str">
        <f ca="1">auto_pop!H1909</f>
        <v/>
      </c>
      <c r="G1909" s="33"/>
      <c r="H1909" s="33"/>
    </row>
    <row r="1910" spans="2:8" s="2" customFormat="1" ht="15" x14ac:dyDescent="0.25">
      <c r="B1910" s="21"/>
      <c r="C1910" s="22"/>
      <c r="D1910" s="29" t="str">
        <f t="shared" si="29"/>
        <v/>
      </c>
      <c r="E1910" s="22"/>
      <c r="F1910" s="22" t="str">
        <f ca="1">auto_pop!H1910</f>
        <v/>
      </c>
      <c r="G1910" s="33"/>
      <c r="H1910" s="33"/>
    </row>
    <row r="1911" spans="2:8" s="2" customFormat="1" ht="15" x14ac:dyDescent="0.25">
      <c r="B1911" s="21"/>
      <c r="C1911" s="22"/>
      <c r="D1911" s="29" t="str">
        <f t="shared" si="29"/>
        <v/>
      </c>
      <c r="E1911" s="22"/>
      <c r="F1911" s="22" t="str">
        <f ca="1">auto_pop!H1911</f>
        <v/>
      </c>
      <c r="G1911" s="33"/>
      <c r="H1911" s="33"/>
    </row>
    <row r="1912" spans="2:8" s="2" customFormat="1" ht="15" x14ac:dyDescent="0.25">
      <c r="B1912" s="21"/>
      <c r="C1912" s="22"/>
      <c r="D1912" s="29" t="str">
        <f t="shared" si="29"/>
        <v/>
      </c>
      <c r="E1912" s="22"/>
      <c r="F1912" s="22" t="str">
        <f ca="1">auto_pop!H1912</f>
        <v/>
      </c>
      <c r="G1912" s="33"/>
      <c r="H1912" s="33"/>
    </row>
    <row r="1913" spans="2:8" s="2" customFormat="1" ht="15" x14ac:dyDescent="0.25">
      <c r="B1913" s="21"/>
      <c r="C1913" s="22"/>
      <c r="D1913" s="29" t="str">
        <f t="shared" si="29"/>
        <v/>
      </c>
      <c r="E1913" s="22"/>
      <c r="F1913" s="22" t="str">
        <f ca="1">auto_pop!H1913</f>
        <v/>
      </c>
      <c r="G1913" s="33"/>
      <c r="H1913" s="33"/>
    </row>
    <row r="1914" spans="2:8" s="2" customFormat="1" ht="15" x14ac:dyDescent="0.25">
      <c r="B1914" s="21"/>
      <c r="C1914" s="22"/>
      <c r="D1914" s="29" t="str">
        <f t="shared" si="29"/>
        <v/>
      </c>
      <c r="E1914" s="22"/>
      <c r="F1914" s="22" t="str">
        <f ca="1">auto_pop!H1914</f>
        <v/>
      </c>
      <c r="G1914" s="33"/>
      <c r="H1914" s="33"/>
    </row>
    <row r="1915" spans="2:8" s="2" customFormat="1" ht="15" x14ac:dyDescent="0.25">
      <c r="B1915" s="21"/>
      <c r="C1915" s="22"/>
      <c r="D1915" s="29" t="str">
        <f t="shared" si="29"/>
        <v/>
      </c>
      <c r="E1915" s="22"/>
      <c r="F1915" s="22" t="str">
        <f ca="1">auto_pop!H1915</f>
        <v/>
      </c>
      <c r="G1915" s="33"/>
      <c r="H1915" s="33"/>
    </row>
    <row r="1916" spans="2:8" s="2" customFormat="1" ht="15" x14ac:dyDescent="0.25">
      <c r="B1916" s="21"/>
      <c r="C1916" s="22"/>
      <c r="D1916" s="29" t="str">
        <f t="shared" si="29"/>
        <v/>
      </c>
      <c r="E1916" s="22"/>
      <c r="F1916" s="22" t="str">
        <f ca="1">auto_pop!H1916</f>
        <v/>
      </c>
      <c r="G1916" s="33"/>
      <c r="H1916" s="33"/>
    </row>
    <row r="1917" spans="2:8" s="2" customFormat="1" ht="15" x14ac:dyDescent="0.25">
      <c r="B1917" s="21"/>
      <c r="C1917" s="22"/>
      <c r="D1917" s="29" t="str">
        <f t="shared" si="29"/>
        <v/>
      </c>
      <c r="E1917" s="22"/>
      <c r="F1917" s="22" t="str">
        <f ca="1">auto_pop!H1917</f>
        <v/>
      </c>
      <c r="G1917" s="33"/>
      <c r="H1917" s="33"/>
    </row>
    <row r="1918" spans="2:8" s="2" customFormat="1" ht="15" x14ac:dyDescent="0.25">
      <c r="B1918" s="21"/>
      <c r="C1918" s="22"/>
      <c r="D1918" s="29" t="str">
        <f t="shared" si="29"/>
        <v/>
      </c>
      <c r="E1918" s="22"/>
      <c r="F1918" s="22" t="str">
        <f ca="1">auto_pop!H1918</f>
        <v/>
      </c>
      <c r="G1918" s="33"/>
      <c r="H1918" s="33"/>
    </row>
    <row r="1919" spans="2:8" s="2" customFormat="1" ht="15" x14ac:dyDescent="0.25">
      <c r="B1919" s="21"/>
      <c r="C1919" s="22"/>
      <c r="D1919" s="29" t="str">
        <f t="shared" si="29"/>
        <v/>
      </c>
      <c r="E1919" s="22"/>
      <c r="F1919" s="22" t="str">
        <f ca="1">auto_pop!H1919</f>
        <v/>
      </c>
      <c r="G1919" s="33"/>
      <c r="H1919" s="33"/>
    </row>
    <row r="1920" spans="2:8" s="2" customFormat="1" ht="15" x14ac:dyDescent="0.25">
      <c r="B1920" s="21"/>
      <c r="C1920" s="22"/>
      <c r="D1920" s="29" t="str">
        <f t="shared" si="29"/>
        <v/>
      </c>
      <c r="E1920" s="22"/>
      <c r="F1920" s="22" t="str">
        <f ca="1">auto_pop!H1920</f>
        <v/>
      </c>
      <c r="G1920" s="33"/>
      <c r="H1920" s="33"/>
    </row>
    <row r="1921" spans="2:8" s="2" customFormat="1" ht="15" x14ac:dyDescent="0.25">
      <c r="B1921" s="21"/>
      <c r="C1921" s="22"/>
      <c r="D1921" s="29" t="str">
        <f t="shared" si="29"/>
        <v/>
      </c>
      <c r="E1921" s="22"/>
      <c r="F1921" s="22" t="str">
        <f ca="1">auto_pop!H1921</f>
        <v/>
      </c>
      <c r="G1921" s="33"/>
      <c r="H1921" s="33"/>
    </row>
    <row r="1922" spans="2:8" s="2" customFormat="1" ht="15" x14ac:dyDescent="0.25">
      <c r="B1922" s="21"/>
      <c r="C1922" s="22"/>
      <c r="D1922" s="29" t="str">
        <f t="shared" si="29"/>
        <v/>
      </c>
      <c r="E1922" s="22"/>
      <c r="F1922" s="22" t="str">
        <f ca="1">auto_pop!H1922</f>
        <v/>
      </c>
      <c r="G1922" s="33"/>
      <c r="H1922" s="33"/>
    </row>
    <row r="1923" spans="2:8" s="2" customFormat="1" ht="15" x14ac:dyDescent="0.25">
      <c r="B1923" s="21"/>
      <c r="C1923" s="22"/>
      <c r="D1923" s="29" t="str">
        <f t="shared" si="29"/>
        <v/>
      </c>
      <c r="E1923" s="22"/>
      <c r="F1923" s="22" t="str">
        <f ca="1">auto_pop!H1923</f>
        <v/>
      </c>
      <c r="G1923" s="33"/>
      <c r="H1923" s="33"/>
    </row>
    <row r="1924" spans="2:8" s="2" customFormat="1" ht="15" x14ac:dyDescent="0.25">
      <c r="B1924" s="21"/>
      <c r="C1924" s="22"/>
      <c r="D1924" s="29" t="str">
        <f t="shared" ref="D1924:D1987" si="30">IF(C1924&lt;&gt;"", IF(OR(C1924="Chapin", C1924="Oatka", C1924="Seneca"), "", 1), "")</f>
        <v/>
      </c>
      <c r="E1924" s="22"/>
      <c r="F1924" s="22" t="str">
        <f ca="1">auto_pop!H1924</f>
        <v/>
      </c>
      <c r="G1924" s="33"/>
      <c r="H1924" s="33"/>
    </row>
    <row r="1925" spans="2:8" s="2" customFormat="1" ht="15" x14ac:dyDescent="0.25">
      <c r="B1925" s="21"/>
      <c r="C1925" s="22"/>
      <c r="D1925" s="29" t="str">
        <f t="shared" si="30"/>
        <v/>
      </c>
      <c r="E1925" s="22"/>
      <c r="F1925" s="22" t="str">
        <f ca="1">auto_pop!H1925</f>
        <v/>
      </c>
      <c r="G1925" s="33"/>
      <c r="H1925" s="33"/>
    </row>
    <row r="1926" spans="2:8" s="2" customFormat="1" ht="15" x14ac:dyDescent="0.25">
      <c r="B1926" s="21"/>
      <c r="C1926" s="22"/>
      <c r="D1926" s="29" t="str">
        <f t="shared" si="30"/>
        <v/>
      </c>
      <c r="E1926" s="22"/>
      <c r="F1926" s="22" t="str">
        <f ca="1">auto_pop!H1926</f>
        <v/>
      </c>
      <c r="G1926" s="33"/>
      <c r="H1926" s="33"/>
    </row>
    <row r="1927" spans="2:8" s="2" customFormat="1" ht="15" x14ac:dyDescent="0.25">
      <c r="B1927" s="21"/>
      <c r="C1927" s="22"/>
      <c r="D1927" s="29" t="str">
        <f t="shared" si="30"/>
        <v/>
      </c>
      <c r="E1927" s="22"/>
      <c r="F1927" s="22" t="str">
        <f ca="1">auto_pop!H1927</f>
        <v/>
      </c>
      <c r="G1927" s="33"/>
      <c r="H1927" s="33"/>
    </row>
    <row r="1928" spans="2:8" s="2" customFormat="1" ht="15" x14ac:dyDescent="0.25">
      <c r="B1928" s="21"/>
      <c r="C1928" s="22"/>
      <c r="D1928" s="29" t="str">
        <f t="shared" si="30"/>
        <v/>
      </c>
      <c r="E1928" s="22"/>
      <c r="F1928" s="22" t="str">
        <f ca="1">auto_pop!H1928</f>
        <v/>
      </c>
      <c r="G1928" s="33"/>
      <c r="H1928" s="33"/>
    </row>
    <row r="1929" spans="2:8" s="2" customFormat="1" ht="15" x14ac:dyDescent="0.25">
      <c r="B1929" s="21"/>
      <c r="C1929" s="22"/>
      <c r="D1929" s="29" t="str">
        <f t="shared" si="30"/>
        <v/>
      </c>
      <c r="E1929" s="22"/>
      <c r="F1929" s="22" t="str">
        <f ca="1">auto_pop!H1929</f>
        <v/>
      </c>
      <c r="G1929" s="33"/>
      <c r="H1929" s="33"/>
    </row>
    <row r="1930" spans="2:8" s="2" customFormat="1" ht="15" x14ac:dyDescent="0.25">
      <c r="B1930" s="21"/>
      <c r="C1930" s="22"/>
      <c r="D1930" s="29" t="str">
        <f t="shared" si="30"/>
        <v/>
      </c>
      <c r="E1930" s="22"/>
      <c r="F1930" s="22" t="str">
        <f ca="1">auto_pop!H1930</f>
        <v/>
      </c>
      <c r="G1930" s="33"/>
      <c r="H1930" s="33"/>
    </row>
    <row r="1931" spans="2:8" s="2" customFormat="1" ht="15" x14ac:dyDescent="0.25">
      <c r="B1931" s="21"/>
      <c r="C1931" s="22"/>
      <c r="D1931" s="29" t="str">
        <f t="shared" si="30"/>
        <v/>
      </c>
      <c r="E1931" s="22"/>
      <c r="F1931" s="22" t="str">
        <f ca="1">auto_pop!H1931</f>
        <v/>
      </c>
      <c r="G1931" s="33"/>
      <c r="H1931" s="33"/>
    </row>
    <row r="1932" spans="2:8" s="2" customFormat="1" ht="15" x14ac:dyDescent="0.25">
      <c r="B1932" s="21"/>
      <c r="C1932" s="22"/>
      <c r="D1932" s="29" t="str">
        <f t="shared" si="30"/>
        <v/>
      </c>
      <c r="E1932" s="22"/>
      <c r="F1932" s="22" t="str">
        <f ca="1">auto_pop!H1932</f>
        <v/>
      </c>
      <c r="G1932" s="33"/>
      <c r="H1932" s="33"/>
    </row>
    <row r="1933" spans="2:8" s="2" customFormat="1" ht="15" x14ac:dyDescent="0.25">
      <c r="B1933" s="21"/>
      <c r="C1933" s="22"/>
      <c r="D1933" s="29" t="str">
        <f t="shared" si="30"/>
        <v/>
      </c>
      <c r="E1933" s="22"/>
      <c r="F1933" s="22" t="str">
        <f ca="1">auto_pop!H1933</f>
        <v/>
      </c>
      <c r="G1933" s="33"/>
      <c r="H1933" s="33"/>
    </row>
    <row r="1934" spans="2:8" s="2" customFormat="1" ht="15" x14ac:dyDescent="0.25">
      <c r="B1934" s="21"/>
      <c r="C1934" s="22"/>
      <c r="D1934" s="29" t="str">
        <f t="shared" si="30"/>
        <v/>
      </c>
      <c r="E1934" s="22"/>
      <c r="F1934" s="22" t="str">
        <f ca="1">auto_pop!H1934</f>
        <v/>
      </c>
      <c r="G1934" s="33"/>
      <c r="H1934" s="33"/>
    </row>
    <row r="1935" spans="2:8" s="2" customFormat="1" ht="15" x14ac:dyDescent="0.25">
      <c r="B1935" s="21"/>
      <c r="C1935" s="22"/>
      <c r="D1935" s="29" t="str">
        <f t="shared" si="30"/>
        <v/>
      </c>
      <c r="E1935" s="22"/>
      <c r="F1935" s="22" t="str">
        <f ca="1">auto_pop!H1935</f>
        <v/>
      </c>
      <c r="G1935" s="33"/>
      <c r="H1935" s="33"/>
    </row>
    <row r="1936" spans="2:8" s="2" customFormat="1" ht="15" x14ac:dyDescent="0.25">
      <c r="B1936" s="21"/>
      <c r="C1936" s="22"/>
      <c r="D1936" s="29" t="str">
        <f t="shared" si="30"/>
        <v/>
      </c>
      <c r="E1936" s="22"/>
      <c r="F1936" s="22" t="str">
        <f ca="1">auto_pop!H1936</f>
        <v/>
      </c>
      <c r="G1936" s="33"/>
      <c r="H1936" s="33"/>
    </row>
    <row r="1937" spans="2:8" s="2" customFormat="1" ht="15" x14ac:dyDescent="0.25">
      <c r="B1937" s="21"/>
      <c r="C1937" s="22"/>
      <c r="D1937" s="29" t="str">
        <f t="shared" si="30"/>
        <v/>
      </c>
      <c r="E1937" s="22"/>
      <c r="F1937" s="22" t="str">
        <f ca="1">auto_pop!H1937</f>
        <v/>
      </c>
      <c r="G1937" s="33"/>
      <c r="H1937" s="33"/>
    </row>
    <row r="1938" spans="2:8" s="2" customFormat="1" ht="15" x14ac:dyDescent="0.25">
      <c r="B1938" s="21"/>
      <c r="C1938" s="22"/>
      <c r="D1938" s="29" t="str">
        <f t="shared" si="30"/>
        <v/>
      </c>
      <c r="E1938" s="22"/>
      <c r="F1938" s="22" t="str">
        <f ca="1">auto_pop!H1938</f>
        <v/>
      </c>
      <c r="G1938" s="33"/>
      <c r="H1938" s="33"/>
    </row>
    <row r="1939" spans="2:8" s="2" customFormat="1" ht="15" x14ac:dyDescent="0.25">
      <c r="B1939" s="21"/>
      <c r="C1939" s="22"/>
      <c r="D1939" s="29" t="str">
        <f t="shared" si="30"/>
        <v/>
      </c>
      <c r="E1939" s="22"/>
      <c r="F1939" s="22" t="str">
        <f ca="1">auto_pop!H1939</f>
        <v/>
      </c>
      <c r="G1939" s="33"/>
      <c r="H1939" s="33"/>
    </row>
    <row r="1940" spans="2:8" s="2" customFormat="1" ht="15" x14ac:dyDescent="0.25">
      <c r="B1940" s="21"/>
      <c r="C1940" s="22"/>
      <c r="D1940" s="29" t="str">
        <f t="shared" si="30"/>
        <v/>
      </c>
      <c r="E1940" s="22"/>
      <c r="F1940" s="22" t="str">
        <f ca="1">auto_pop!H1940</f>
        <v/>
      </c>
      <c r="G1940" s="33"/>
      <c r="H1940" s="33"/>
    </row>
    <row r="1941" spans="2:8" s="2" customFormat="1" ht="15" x14ac:dyDescent="0.25">
      <c r="B1941" s="21"/>
      <c r="C1941" s="22"/>
      <c r="D1941" s="29" t="str">
        <f t="shared" si="30"/>
        <v/>
      </c>
      <c r="E1941" s="22"/>
      <c r="F1941" s="22" t="str">
        <f ca="1">auto_pop!H1941</f>
        <v/>
      </c>
      <c r="G1941" s="33"/>
      <c r="H1941" s="33"/>
    </row>
    <row r="1942" spans="2:8" s="2" customFormat="1" ht="15" x14ac:dyDescent="0.25">
      <c r="B1942" s="21"/>
      <c r="C1942" s="22"/>
      <c r="D1942" s="29" t="str">
        <f t="shared" si="30"/>
        <v/>
      </c>
      <c r="E1942" s="22"/>
      <c r="F1942" s="22" t="str">
        <f ca="1">auto_pop!H1942</f>
        <v/>
      </c>
      <c r="G1942" s="33"/>
      <c r="H1942" s="33"/>
    </row>
    <row r="1943" spans="2:8" s="2" customFormat="1" ht="15" x14ac:dyDescent="0.25">
      <c r="B1943" s="21"/>
      <c r="C1943" s="22"/>
      <c r="D1943" s="29" t="str">
        <f t="shared" si="30"/>
        <v/>
      </c>
      <c r="E1943" s="22"/>
      <c r="F1943" s="22" t="str">
        <f ca="1">auto_pop!H1943</f>
        <v/>
      </c>
      <c r="G1943" s="33"/>
      <c r="H1943" s="33"/>
    </row>
    <row r="1944" spans="2:8" s="2" customFormat="1" ht="15" x14ac:dyDescent="0.25">
      <c r="B1944" s="21"/>
      <c r="C1944" s="22"/>
      <c r="D1944" s="29" t="str">
        <f t="shared" si="30"/>
        <v/>
      </c>
      <c r="E1944" s="22"/>
      <c r="F1944" s="22" t="str">
        <f ca="1">auto_pop!H1944</f>
        <v/>
      </c>
      <c r="G1944" s="33"/>
      <c r="H1944" s="33"/>
    </row>
    <row r="1945" spans="2:8" s="2" customFormat="1" ht="15" x14ac:dyDescent="0.25">
      <c r="B1945" s="21"/>
      <c r="C1945" s="22"/>
      <c r="D1945" s="29" t="str">
        <f t="shared" si="30"/>
        <v/>
      </c>
      <c r="E1945" s="22"/>
      <c r="F1945" s="22" t="str">
        <f ca="1">auto_pop!H1945</f>
        <v/>
      </c>
      <c r="G1945" s="33"/>
      <c r="H1945" s="33"/>
    </row>
    <row r="1946" spans="2:8" s="2" customFormat="1" ht="15" x14ac:dyDescent="0.25">
      <c r="B1946" s="21"/>
      <c r="C1946" s="22"/>
      <c r="D1946" s="29" t="str">
        <f t="shared" si="30"/>
        <v/>
      </c>
      <c r="E1946" s="22"/>
      <c r="F1946" s="22" t="str">
        <f ca="1">auto_pop!H1946</f>
        <v/>
      </c>
      <c r="G1946" s="33"/>
      <c r="H1946" s="33"/>
    </row>
    <row r="1947" spans="2:8" s="2" customFormat="1" ht="15" x14ac:dyDescent="0.25">
      <c r="B1947" s="21"/>
      <c r="C1947" s="22"/>
      <c r="D1947" s="29" t="str">
        <f t="shared" si="30"/>
        <v/>
      </c>
      <c r="E1947" s="22"/>
      <c r="F1947" s="22" t="str">
        <f ca="1">auto_pop!H1947</f>
        <v/>
      </c>
      <c r="G1947" s="33"/>
      <c r="H1947" s="33"/>
    </row>
    <row r="1948" spans="2:8" s="2" customFormat="1" ht="15" x14ac:dyDescent="0.25">
      <c r="B1948" s="21"/>
      <c r="C1948" s="22"/>
      <c r="D1948" s="29" t="str">
        <f t="shared" si="30"/>
        <v/>
      </c>
      <c r="E1948" s="22"/>
      <c r="F1948" s="22" t="str">
        <f ca="1">auto_pop!H1948</f>
        <v/>
      </c>
      <c r="G1948" s="33"/>
      <c r="H1948" s="33"/>
    </row>
    <row r="1949" spans="2:8" s="2" customFormat="1" ht="15" x14ac:dyDescent="0.25">
      <c r="B1949" s="21"/>
      <c r="C1949" s="22"/>
      <c r="D1949" s="29" t="str">
        <f t="shared" si="30"/>
        <v/>
      </c>
      <c r="E1949" s="22"/>
      <c r="F1949" s="22" t="str">
        <f ca="1">auto_pop!H1949</f>
        <v/>
      </c>
      <c r="G1949" s="33"/>
      <c r="H1949" s="33"/>
    </row>
    <row r="1950" spans="2:8" s="2" customFormat="1" ht="15" x14ac:dyDescent="0.25">
      <c r="B1950" s="21"/>
      <c r="C1950" s="22"/>
      <c r="D1950" s="29" t="str">
        <f t="shared" si="30"/>
        <v/>
      </c>
      <c r="E1950" s="22"/>
      <c r="F1950" s="22" t="str">
        <f ca="1">auto_pop!H1950</f>
        <v/>
      </c>
      <c r="G1950" s="33"/>
      <c r="H1950" s="33"/>
    </row>
    <row r="1951" spans="2:8" s="2" customFormat="1" ht="15" x14ac:dyDescent="0.25">
      <c r="B1951" s="21"/>
      <c r="C1951" s="22"/>
      <c r="D1951" s="29" t="str">
        <f t="shared" si="30"/>
        <v/>
      </c>
      <c r="E1951" s="22"/>
      <c r="F1951" s="22" t="str">
        <f ca="1">auto_pop!H1951</f>
        <v/>
      </c>
      <c r="G1951" s="33"/>
      <c r="H1951" s="33"/>
    </row>
    <row r="1952" spans="2:8" s="2" customFormat="1" ht="15" x14ac:dyDescent="0.25">
      <c r="B1952" s="21"/>
      <c r="C1952" s="22"/>
      <c r="D1952" s="29" t="str">
        <f t="shared" si="30"/>
        <v/>
      </c>
      <c r="E1952" s="22"/>
      <c r="F1952" s="22" t="str">
        <f ca="1">auto_pop!H1952</f>
        <v/>
      </c>
      <c r="G1952" s="33"/>
      <c r="H1952" s="33"/>
    </row>
    <row r="1953" spans="2:8" s="2" customFormat="1" ht="15" x14ac:dyDescent="0.25">
      <c r="B1953" s="21"/>
      <c r="C1953" s="22"/>
      <c r="D1953" s="29" t="str">
        <f t="shared" si="30"/>
        <v/>
      </c>
      <c r="E1953" s="22"/>
      <c r="F1953" s="22" t="str">
        <f ca="1">auto_pop!H1953</f>
        <v/>
      </c>
      <c r="G1953" s="33"/>
      <c r="H1953" s="33"/>
    </row>
    <row r="1954" spans="2:8" s="2" customFormat="1" ht="15" x14ac:dyDescent="0.25">
      <c r="B1954" s="21"/>
      <c r="C1954" s="22"/>
      <c r="D1954" s="29" t="str">
        <f t="shared" si="30"/>
        <v/>
      </c>
      <c r="E1954" s="22"/>
      <c r="F1954" s="22" t="str">
        <f ca="1">auto_pop!H1954</f>
        <v/>
      </c>
      <c r="G1954" s="33"/>
      <c r="H1954" s="33"/>
    </row>
    <row r="1955" spans="2:8" s="2" customFormat="1" ht="15" x14ac:dyDescent="0.25">
      <c r="B1955" s="21"/>
      <c r="C1955" s="22"/>
      <c r="D1955" s="29" t="str">
        <f t="shared" si="30"/>
        <v/>
      </c>
      <c r="E1955" s="22"/>
      <c r="F1955" s="22" t="str">
        <f ca="1">auto_pop!H1955</f>
        <v/>
      </c>
      <c r="G1955" s="33"/>
      <c r="H1955" s="33"/>
    </row>
    <row r="1956" spans="2:8" s="2" customFormat="1" ht="15" x14ac:dyDescent="0.25">
      <c r="B1956" s="21"/>
      <c r="C1956" s="22"/>
      <c r="D1956" s="29" t="str">
        <f t="shared" si="30"/>
        <v/>
      </c>
      <c r="E1956" s="22"/>
      <c r="F1956" s="22" t="str">
        <f ca="1">auto_pop!H1956</f>
        <v/>
      </c>
      <c r="G1956" s="33"/>
      <c r="H1956" s="33"/>
    </row>
    <row r="1957" spans="2:8" s="2" customFormat="1" ht="15" x14ac:dyDescent="0.25">
      <c r="B1957" s="21"/>
      <c r="C1957" s="22"/>
      <c r="D1957" s="29" t="str">
        <f t="shared" si="30"/>
        <v/>
      </c>
      <c r="E1957" s="22"/>
      <c r="F1957" s="22" t="str">
        <f ca="1">auto_pop!H1957</f>
        <v/>
      </c>
      <c r="G1957" s="33"/>
      <c r="H1957" s="33"/>
    </row>
    <row r="1958" spans="2:8" s="2" customFormat="1" ht="15" x14ac:dyDescent="0.25">
      <c r="B1958" s="21"/>
      <c r="C1958" s="22"/>
      <c r="D1958" s="29" t="str">
        <f t="shared" si="30"/>
        <v/>
      </c>
      <c r="E1958" s="22"/>
      <c r="F1958" s="22" t="str">
        <f ca="1">auto_pop!H1958</f>
        <v/>
      </c>
      <c r="G1958" s="33"/>
      <c r="H1958" s="33"/>
    </row>
    <row r="1959" spans="2:8" s="2" customFormat="1" ht="15" x14ac:dyDescent="0.25">
      <c r="B1959" s="21"/>
      <c r="C1959" s="22"/>
      <c r="D1959" s="29" t="str">
        <f t="shared" si="30"/>
        <v/>
      </c>
      <c r="E1959" s="22"/>
      <c r="F1959" s="22" t="str">
        <f ca="1">auto_pop!H1959</f>
        <v/>
      </c>
      <c r="G1959" s="33"/>
      <c r="H1959" s="33"/>
    </row>
    <row r="1960" spans="2:8" s="2" customFormat="1" ht="15" x14ac:dyDescent="0.25">
      <c r="B1960" s="21"/>
      <c r="C1960" s="22"/>
      <c r="D1960" s="29" t="str">
        <f t="shared" si="30"/>
        <v/>
      </c>
      <c r="E1960" s="22"/>
      <c r="F1960" s="22" t="str">
        <f ca="1">auto_pop!H1960</f>
        <v/>
      </c>
      <c r="G1960" s="33"/>
      <c r="H1960" s="33"/>
    </row>
    <row r="1961" spans="2:8" s="2" customFormat="1" ht="15" x14ac:dyDescent="0.25">
      <c r="B1961" s="21"/>
      <c r="C1961" s="22"/>
      <c r="D1961" s="29" t="str">
        <f t="shared" si="30"/>
        <v/>
      </c>
      <c r="E1961" s="22"/>
      <c r="F1961" s="22" t="str">
        <f ca="1">auto_pop!H1961</f>
        <v/>
      </c>
      <c r="G1961" s="33"/>
      <c r="H1961" s="33"/>
    </row>
    <row r="1962" spans="2:8" s="2" customFormat="1" ht="15" x14ac:dyDescent="0.25">
      <c r="B1962" s="21"/>
      <c r="C1962" s="22"/>
      <c r="D1962" s="29" t="str">
        <f t="shared" si="30"/>
        <v/>
      </c>
      <c r="E1962" s="22"/>
      <c r="F1962" s="22" t="str">
        <f ca="1">auto_pop!H1962</f>
        <v/>
      </c>
      <c r="G1962" s="33"/>
      <c r="H1962" s="33"/>
    </row>
    <row r="1963" spans="2:8" s="2" customFormat="1" ht="15" x14ac:dyDescent="0.25">
      <c r="B1963" s="21"/>
      <c r="C1963" s="22"/>
      <c r="D1963" s="29" t="str">
        <f t="shared" si="30"/>
        <v/>
      </c>
      <c r="E1963" s="22"/>
      <c r="F1963" s="22" t="str">
        <f ca="1">auto_pop!H1963</f>
        <v/>
      </c>
      <c r="G1963" s="33"/>
      <c r="H1963" s="33"/>
    </row>
    <row r="1964" spans="2:8" s="2" customFormat="1" ht="15" x14ac:dyDescent="0.25">
      <c r="B1964" s="21"/>
      <c r="C1964" s="22"/>
      <c r="D1964" s="29" t="str">
        <f t="shared" si="30"/>
        <v/>
      </c>
      <c r="E1964" s="22"/>
      <c r="F1964" s="22" t="str">
        <f ca="1">auto_pop!H1964</f>
        <v/>
      </c>
      <c r="G1964" s="33"/>
      <c r="H1964" s="33"/>
    </row>
    <row r="1965" spans="2:8" s="2" customFormat="1" ht="15" x14ac:dyDescent="0.25">
      <c r="B1965" s="21"/>
      <c r="C1965" s="22"/>
      <c r="D1965" s="29" t="str">
        <f t="shared" si="30"/>
        <v/>
      </c>
      <c r="E1965" s="22"/>
      <c r="F1965" s="22" t="str">
        <f ca="1">auto_pop!H1965</f>
        <v/>
      </c>
      <c r="G1965" s="33"/>
      <c r="H1965" s="33"/>
    </row>
    <row r="1966" spans="2:8" s="2" customFormat="1" ht="15" x14ac:dyDescent="0.25">
      <c r="B1966" s="21"/>
      <c r="C1966" s="22"/>
      <c r="D1966" s="29" t="str">
        <f t="shared" si="30"/>
        <v/>
      </c>
      <c r="E1966" s="22"/>
      <c r="F1966" s="22" t="str">
        <f ca="1">auto_pop!H1966</f>
        <v/>
      </c>
      <c r="G1966" s="33"/>
      <c r="H1966" s="33"/>
    </row>
    <row r="1967" spans="2:8" s="2" customFormat="1" ht="15" x14ac:dyDescent="0.25">
      <c r="B1967" s="21"/>
      <c r="C1967" s="22"/>
      <c r="D1967" s="29" t="str">
        <f t="shared" si="30"/>
        <v/>
      </c>
      <c r="E1967" s="22"/>
      <c r="F1967" s="22" t="str">
        <f ca="1">auto_pop!H1967</f>
        <v/>
      </c>
      <c r="G1967" s="33"/>
      <c r="H1967" s="33"/>
    </row>
    <row r="1968" spans="2:8" s="2" customFormat="1" ht="15" x14ac:dyDescent="0.25">
      <c r="B1968" s="21"/>
      <c r="C1968" s="22"/>
      <c r="D1968" s="29" t="str">
        <f t="shared" si="30"/>
        <v/>
      </c>
      <c r="E1968" s="22"/>
      <c r="F1968" s="22" t="str">
        <f ca="1">auto_pop!H1968</f>
        <v/>
      </c>
      <c r="G1968" s="33"/>
      <c r="H1968" s="33"/>
    </row>
    <row r="1969" spans="2:8" s="2" customFormat="1" ht="15" x14ac:dyDescent="0.25">
      <c r="B1969" s="21"/>
      <c r="C1969" s="22"/>
      <c r="D1969" s="29" t="str">
        <f t="shared" si="30"/>
        <v/>
      </c>
      <c r="E1969" s="22"/>
      <c r="F1969" s="22" t="str">
        <f ca="1">auto_pop!H1969</f>
        <v/>
      </c>
      <c r="G1969" s="33"/>
      <c r="H1969" s="33"/>
    </row>
    <row r="1970" spans="2:8" s="2" customFormat="1" ht="15" x14ac:dyDescent="0.25">
      <c r="B1970" s="21"/>
      <c r="C1970" s="22"/>
      <c r="D1970" s="29" t="str">
        <f t="shared" si="30"/>
        <v/>
      </c>
      <c r="E1970" s="22"/>
      <c r="F1970" s="22" t="str">
        <f ca="1">auto_pop!H1970</f>
        <v/>
      </c>
      <c r="G1970" s="33"/>
      <c r="H1970" s="33"/>
    </row>
    <row r="1971" spans="2:8" s="2" customFormat="1" ht="15" x14ac:dyDescent="0.25">
      <c r="B1971" s="21"/>
      <c r="C1971" s="22"/>
      <c r="D1971" s="29" t="str">
        <f t="shared" si="30"/>
        <v/>
      </c>
      <c r="E1971" s="22"/>
      <c r="F1971" s="22" t="str">
        <f ca="1">auto_pop!H1971</f>
        <v/>
      </c>
      <c r="G1971" s="33"/>
      <c r="H1971" s="33"/>
    </row>
    <row r="1972" spans="2:8" s="2" customFormat="1" ht="15" x14ac:dyDescent="0.25">
      <c r="B1972" s="21"/>
      <c r="C1972" s="22"/>
      <c r="D1972" s="29" t="str">
        <f t="shared" si="30"/>
        <v/>
      </c>
      <c r="E1972" s="22"/>
      <c r="F1972" s="22" t="str">
        <f ca="1">auto_pop!H1972</f>
        <v/>
      </c>
      <c r="G1972" s="33"/>
      <c r="H1972" s="33"/>
    </row>
    <row r="1973" spans="2:8" s="2" customFormat="1" ht="15" x14ac:dyDescent="0.25">
      <c r="B1973" s="21"/>
      <c r="C1973" s="22"/>
      <c r="D1973" s="29" t="str">
        <f t="shared" si="30"/>
        <v/>
      </c>
      <c r="E1973" s="22"/>
      <c r="F1973" s="22" t="str">
        <f ca="1">auto_pop!H1973</f>
        <v/>
      </c>
      <c r="G1973" s="33"/>
      <c r="H1973" s="33"/>
    </row>
    <row r="1974" spans="2:8" s="2" customFormat="1" ht="15" x14ac:dyDescent="0.25">
      <c r="B1974" s="21"/>
      <c r="C1974" s="22"/>
      <c r="D1974" s="29" t="str">
        <f t="shared" si="30"/>
        <v/>
      </c>
      <c r="E1974" s="22"/>
      <c r="F1974" s="22" t="str">
        <f ca="1">auto_pop!H1974</f>
        <v/>
      </c>
      <c r="G1974" s="33"/>
      <c r="H1974" s="33"/>
    </row>
    <row r="1975" spans="2:8" s="2" customFormat="1" ht="15" x14ac:dyDescent="0.25">
      <c r="B1975" s="21"/>
      <c r="C1975" s="22"/>
      <c r="D1975" s="29" t="str">
        <f t="shared" si="30"/>
        <v/>
      </c>
      <c r="E1975" s="22"/>
      <c r="F1975" s="22" t="str">
        <f ca="1">auto_pop!H1975</f>
        <v/>
      </c>
      <c r="G1975" s="33"/>
      <c r="H1975" s="33"/>
    </row>
    <row r="1976" spans="2:8" s="2" customFormat="1" ht="15" x14ac:dyDescent="0.25">
      <c r="B1976" s="21"/>
      <c r="C1976" s="22"/>
      <c r="D1976" s="29" t="str">
        <f t="shared" si="30"/>
        <v/>
      </c>
      <c r="E1976" s="22"/>
      <c r="F1976" s="22" t="str">
        <f ca="1">auto_pop!H1976</f>
        <v/>
      </c>
      <c r="G1976" s="33"/>
      <c r="H1976" s="33"/>
    </row>
    <row r="1977" spans="2:8" s="2" customFormat="1" ht="15" x14ac:dyDescent="0.25">
      <c r="B1977" s="21"/>
      <c r="C1977" s="22"/>
      <c r="D1977" s="29" t="str">
        <f t="shared" si="30"/>
        <v/>
      </c>
      <c r="E1977" s="22"/>
      <c r="F1977" s="22" t="str">
        <f ca="1">auto_pop!H1977</f>
        <v/>
      </c>
      <c r="G1977" s="33"/>
      <c r="H1977" s="33"/>
    </row>
    <row r="1978" spans="2:8" s="2" customFormat="1" ht="15" x14ac:dyDescent="0.25">
      <c r="B1978" s="21"/>
      <c r="C1978" s="22"/>
      <c r="D1978" s="29" t="str">
        <f t="shared" si="30"/>
        <v/>
      </c>
      <c r="E1978" s="22"/>
      <c r="F1978" s="22" t="str">
        <f ca="1">auto_pop!H1978</f>
        <v/>
      </c>
      <c r="G1978" s="33"/>
      <c r="H1978" s="33"/>
    </row>
    <row r="1979" spans="2:8" s="2" customFormat="1" ht="15" x14ac:dyDescent="0.25">
      <c r="B1979" s="21"/>
      <c r="C1979" s="22"/>
      <c r="D1979" s="29" t="str">
        <f t="shared" si="30"/>
        <v/>
      </c>
      <c r="E1979" s="22"/>
      <c r="F1979" s="22" t="str">
        <f ca="1">auto_pop!H1979</f>
        <v/>
      </c>
      <c r="G1979" s="33"/>
      <c r="H1979" s="33"/>
    </row>
    <row r="1980" spans="2:8" s="2" customFormat="1" ht="15" x14ac:dyDescent="0.25">
      <c r="B1980" s="21"/>
      <c r="C1980" s="22"/>
      <c r="D1980" s="29" t="str">
        <f t="shared" si="30"/>
        <v/>
      </c>
      <c r="E1980" s="22"/>
      <c r="F1980" s="22" t="str">
        <f ca="1">auto_pop!H1980</f>
        <v/>
      </c>
      <c r="G1980" s="33"/>
      <c r="H1980" s="33"/>
    </row>
    <row r="1981" spans="2:8" s="2" customFormat="1" ht="15" x14ac:dyDescent="0.25">
      <c r="B1981" s="21"/>
      <c r="C1981" s="22"/>
      <c r="D1981" s="29" t="str">
        <f t="shared" si="30"/>
        <v/>
      </c>
      <c r="E1981" s="22"/>
      <c r="F1981" s="22" t="str">
        <f ca="1">auto_pop!H1981</f>
        <v/>
      </c>
      <c r="G1981" s="33"/>
      <c r="H1981" s="33"/>
    </row>
    <row r="1982" spans="2:8" s="2" customFormat="1" ht="15" x14ac:dyDescent="0.25">
      <c r="B1982" s="21"/>
      <c r="C1982" s="22"/>
      <c r="D1982" s="29" t="str">
        <f t="shared" si="30"/>
        <v/>
      </c>
      <c r="E1982" s="22"/>
      <c r="F1982" s="22" t="str">
        <f ca="1">auto_pop!H1982</f>
        <v/>
      </c>
      <c r="G1982" s="33"/>
      <c r="H1982" s="33"/>
    </row>
    <row r="1983" spans="2:8" s="2" customFormat="1" ht="15" x14ac:dyDescent="0.25">
      <c r="B1983" s="21"/>
      <c r="C1983" s="22"/>
      <c r="D1983" s="29" t="str">
        <f t="shared" si="30"/>
        <v/>
      </c>
      <c r="E1983" s="22"/>
      <c r="F1983" s="22" t="str">
        <f ca="1">auto_pop!H1983</f>
        <v/>
      </c>
      <c r="G1983" s="33"/>
      <c r="H1983" s="33"/>
    </row>
    <row r="1984" spans="2:8" s="2" customFormat="1" ht="15" x14ac:dyDescent="0.25">
      <c r="B1984" s="21"/>
      <c r="C1984" s="22"/>
      <c r="D1984" s="29" t="str">
        <f t="shared" si="30"/>
        <v/>
      </c>
      <c r="E1984" s="22"/>
      <c r="F1984" s="22" t="str">
        <f ca="1">auto_pop!H1984</f>
        <v/>
      </c>
      <c r="G1984" s="33"/>
      <c r="H1984" s="33"/>
    </row>
    <row r="1985" spans="2:8" s="2" customFormat="1" ht="15" x14ac:dyDescent="0.25">
      <c r="B1985" s="21"/>
      <c r="C1985" s="22"/>
      <c r="D1985" s="29" t="str">
        <f t="shared" si="30"/>
        <v/>
      </c>
      <c r="E1985" s="22"/>
      <c r="F1985" s="22" t="str">
        <f ca="1">auto_pop!H1985</f>
        <v/>
      </c>
      <c r="G1985" s="33"/>
      <c r="H1985" s="33"/>
    </row>
    <row r="1986" spans="2:8" s="2" customFormat="1" ht="15" x14ac:dyDescent="0.25">
      <c r="B1986" s="21"/>
      <c r="C1986" s="22"/>
      <c r="D1986" s="29" t="str">
        <f t="shared" si="30"/>
        <v/>
      </c>
      <c r="E1986" s="22"/>
      <c r="F1986" s="22" t="str">
        <f ca="1">auto_pop!H1986</f>
        <v/>
      </c>
      <c r="G1986" s="33"/>
      <c r="H1986" s="33"/>
    </row>
    <row r="1987" spans="2:8" s="2" customFormat="1" ht="15" x14ac:dyDescent="0.25">
      <c r="B1987" s="21"/>
      <c r="C1987" s="22"/>
      <c r="D1987" s="29" t="str">
        <f t="shared" si="30"/>
        <v/>
      </c>
      <c r="E1987" s="22"/>
      <c r="F1987" s="22" t="str">
        <f ca="1">auto_pop!H1987</f>
        <v/>
      </c>
      <c r="G1987" s="33"/>
      <c r="H1987" s="33"/>
    </row>
    <row r="1988" spans="2:8" s="2" customFormat="1" ht="15" x14ac:dyDescent="0.25">
      <c r="B1988" s="21"/>
      <c r="C1988" s="22"/>
      <c r="D1988" s="29" t="str">
        <f t="shared" ref="D1988:D1999" si="31">IF(C1988&lt;&gt;"", IF(OR(C1988="Chapin", C1988="Oatka", C1988="Seneca"), "", 1), "")</f>
        <v/>
      </c>
      <c r="E1988" s="22"/>
      <c r="F1988" s="22" t="str">
        <f ca="1">auto_pop!H1988</f>
        <v/>
      </c>
      <c r="G1988" s="33"/>
      <c r="H1988" s="33"/>
    </row>
    <row r="1989" spans="2:8" s="2" customFormat="1" ht="15" x14ac:dyDescent="0.25">
      <c r="B1989" s="21"/>
      <c r="C1989" s="22"/>
      <c r="D1989" s="29" t="str">
        <f t="shared" si="31"/>
        <v/>
      </c>
      <c r="E1989" s="22"/>
      <c r="F1989" s="22" t="str">
        <f ca="1">auto_pop!H1989</f>
        <v/>
      </c>
      <c r="G1989" s="33"/>
      <c r="H1989" s="33"/>
    </row>
    <row r="1990" spans="2:8" s="2" customFormat="1" ht="15" x14ac:dyDescent="0.25">
      <c r="B1990" s="21"/>
      <c r="C1990" s="22"/>
      <c r="D1990" s="29" t="str">
        <f t="shared" si="31"/>
        <v/>
      </c>
      <c r="E1990" s="22"/>
      <c r="F1990" s="22" t="str">
        <f ca="1">auto_pop!H1990</f>
        <v/>
      </c>
      <c r="G1990" s="33"/>
      <c r="H1990" s="33"/>
    </row>
    <row r="1991" spans="2:8" s="2" customFormat="1" ht="15" x14ac:dyDescent="0.25">
      <c r="B1991" s="21"/>
      <c r="C1991" s="22"/>
      <c r="D1991" s="29" t="str">
        <f t="shared" si="31"/>
        <v/>
      </c>
      <c r="E1991" s="22"/>
      <c r="F1991" s="22" t="str">
        <f ca="1">auto_pop!H1991</f>
        <v/>
      </c>
      <c r="G1991" s="33"/>
      <c r="H1991" s="33"/>
    </row>
    <row r="1992" spans="2:8" s="2" customFormat="1" ht="15" x14ac:dyDescent="0.25">
      <c r="B1992" s="21"/>
      <c r="C1992" s="22"/>
      <c r="D1992" s="29" t="str">
        <f t="shared" si="31"/>
        <v/>
      </c>
      <c r="E1992" s="22"/>
      <c r="F1992" s="22" t="str">
        <f ca="1">auto_pop!H1992</f>
        <v/>
      </c>
      <c r="G1992" s="33"/>
      <c r="H1992" s="33"/>
    </row>
    <row r="1993" spans="2:8" s="2" customFormat="1" ht="15" x14ac:dyDescent="0.25">
      <c r="B1993" s="21"/>
      <c r="C1993" s="22"/>
      <c r="D1993" s="29" t="str">
        <f t="shared" si="31"/>
        <v/>
      </c>
      <c r="E1993" s="22"/>
      <c r="F1993" s="22" t="str">
        <f ca="1">auto_pop!H1993</f>
        <v/>
      </c>
      <c r="G1993" s="33"/>
      <c r="H1993" s="33"/>
    </row>
    <row r="1994" spans="2:8" s="2" customFormat="1" ht="15" x14ac:dyDescent="0.25">
      <c r="B1994" s="21"/>
      <c r="C1994" s="22"/>
      <c r="D1994" s="29" t="str">
        <f t="shared" si="31"/>
        <v/>
      </c>
      <c r="E1994" s="22"/>
      <c r="F1994" s="22" t="str">
        <f ca="1">auto_pop!H1994</f>
        <v/>
      </c>
      <c r="G1994" s="33"/>
      <c r="H1994" s="33"/>
    </row>
    <row r="1995" spans="2:8" s="2" customFormat="1" ht="15" x14ac:dyDescent="0.25">
      <c r="B1995" s="21"/>
      <c r="C1995" s="22"/>
      <c r="D1995" s="29" t="str">
        <f t="shared" si="31"/>
        <v/>
      </c>
      <c r="E1995" s="22"/>
      <c r="F1995" s="22" t="str">
        <f ca="1">auto_pop!H1995</f>
        <v/>
      </c>
      <c r="G1995" s="33"/>
      <c r="H1995" s="33"/>
    </row>
    <row r="1996" spans="2:8" s="2" customFormat="1" ht="15" x14ac:dyDescent="0.25">
      <c r="B1996" s="21"/>
      <c r="C1996" s="22"/>
      <c r="D1996" s="29" t="str">
        <f t="shared" si="31"/>
        <v/>
      </c>
      <c r="E1996" s="22"/>
      <c r="F1996" s="22" t="str">
        <f ca="1">auto_pop!H1996</f>
        <v/>
      </c>
      <c r="G1996" s="33"/>
      <c r="H1996" s="33"/>
    </row>
    <row r="1997" spans="2:8" s="2" customFormat="1" ht="15" x14ac:dyDescent="0.25">
      <c r="B1997" s="21"/>
      <c r="C1997" s="22"/>
      <c r="D1997" s="29" t="str">
        <f t="shared" si="31"/>
        <v/>
      </c>
      <c r="E1997" s="22"/>
      <c r="F1997" s="22" t="str">
        <f ca="1">auto_pop!H1997</f>
        <v/>
      </c>
      <c r="G1997" s="33"/>
      <c r="H1997" s="33"/>
    </row>
    <row r="1998" spans="2:8" s="2" customFormat="1" ht="15" x14ac:dyDescent="0.25">
      <c r="B1998" s="21"/>
      <c r="C1998" s="22"/>
      <c r="D1998" s="29" t="str">
        <f t="shared" si="31"/>
        <v/>
      </c>
      <c r="E1998" s="22"/>
      <c r="F1998" s="22" t="str">
        <f ca="1">auto_pop!H1998</f>
        <v/>
      </c>
      <c r="G1998" s="33"/>
      <c r="H1998" s="33"/>
    </row>
    <row r="1999" spans="2:8" s="2" customFormat="1" ht="15" x14ac:dyDescent="0.25">
      <c r="B1999" s="21"/>
      <c r="C1999" s="22"/>
      <c r="D1999" s="29" t="str">
        <f t="shared" si="31"/>
        <v/>
      </c>
      <c r="E1999" s="22"/>
      <c r="F1999" s="22" t="str">
        <f ca="1">auto_pop!H1999</f>
        <v/>
      </c>
      <c r="G1999" s="33"/>
      <c r="H1999" s="33"/>
    </row>
    <row r="2000" spans="2:8" s="2" customFormat="1" ht="15" x14ac:dyDescent="0.25">
      <c r="B2000" s="14" t="s">
        <v>46</v>
      </c>
      <c r="C2000" s="14" t="s">
        <v>46</v>
      </c>
      <c r="D2000" s="14" t="s">
        <v>46</v>
      </c>
      <c r="E2000" s="14" t="s">
        <v>46</v>
      </c>
      <c r="F2000" s="14" t="s">
        <v>46</v>
      </c>
      <c r="G2000" s="31" t="s">
        <v>46</v>
      </c>
      <c r="H2000" s="31" t="s">
        <v>46</v>
      </c>
    </row>
  </sheetData>
  <sortState ref="B3:H530">
    <sortCondition ref="C3"/>
  </sortState>
  <conditionalFormatting sqref="B4:B18 B22:B25 B27:B1999">
    <cfRule type="expression" dxfId="4" priority="11">
      <formula>AND(B3="", B4="",  B5="", F3="", F4="", F2&lt;&gt;"")</formula>
    </cfRule>
  </conditionalFormatting>
  <conditionalFormatting sqref="F3:F1999">
    <cfRule type="expression" dxfId="3" priority="9">
      <formula>ISBLANK(F3)</formula>
    </cfRule>
  </conditionalFormatting>
  <conditionalFormatting sqref="D3:D1999">
    <cfRule type="expression" dxfId="2" priority="8">
      <formula>ISBLANK(D3)</formula>
    </cfRule>
  </conditionalFormatting>
  <conditionalFormatting sqref="B19">
    <cfRule type="expression" dxfId="1" priority="13">
      <formula>AND(B18="", B19="",  #REF!="", F18="", F19="", F17&lt;&gt;"")</formula>
    </cfRule>
  </conditionalFormatting>
  <conditionalFormatting sqref="B21">
    <cfRule type="expression" dxfId="0" priority="15">
      <formula>AND(#REF!="", B21="",  B22="", F20="", F21="", F19&lt;&gt;"")</formula>
    </cfRule>
  </conditionalFormatting>
  <dataValidations count="3">
    <dataValidation type="date" allowBlank="1" showErrorMessage="1" errorTitle="Sample Date Error" error="Sample date must be between 10/1/20 and 9/30/21" sqref="B4:B19 B21:B25 B27:B1999">
      <formula1>44378</formula1>
      <formula2>44834</formula2>
    </dataValidation>
    <dataValidation type="date" allowBlank="1" showInputMessage="1" showErrorMessage="1" errorTitle="Sample date Error" error="Sample date must be between 10/1/2021 and 9/30/2022." sqref="B3">
      <formula1>44470</formula1>
      <formula2>44834</formula2>
    </dataValidation>
    <dataValidation type="custom" allowBlank="1" showErrorMessage="1" errorTitle="Value Error" error="Value must be a number or &quot;CERT&quot;._x000a_" sqref="G3:G1999">
      <formula1>OR(ISNUMBER(VALUE(G3)), EXACT("CERT", G3))</formula1>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heet1.scroll_Button_Click">
                <anchor moveWithCells="1" sizeWithCells="1">
                  <from>
                    <xdr:col>9</xdr:col>
                    <xdr:colOff>3070860</xdr:colOff>
                    <xdr:row>26</xdr:row>
                    <xdr:rowOff>45720</xdr:rowOff>
                  </from>
                  <to>
                    <xdr:col>9</xdr:col>
                    <xdr:colOff>4442460</xdr:colOff>
                    <xdr:row>28</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ErrorMessage="1" errorTitle="Industry Error" error="Industry must be one of the following:_x000a__x000a_Angelica_x000a_Chapin_x000a_FDC_x000a_GCC_x000a_Georgia Pacific_x000a_Hodgins_x000a_Hood_x000a_Oatka_x000a_Seneca_x000a_Summit_x000a_Tompkins_x000a_Upstate_x000a_US Chrome_x000a_WTP_x000a_">
          <x14:formula1>
            <xm:f>data_val!$C$3:$C$16</xm:f>
          </x14:formula1>
          <xm:sqref>C3:C1999</xm:sqref>
        </x14:dataValidation>
        <x14:dataValidation type="list" allowBlank="1" showErrorMessage="1" errorTitle="Sample Type Error" error="Sample type must be one of the following:_x000a__x000a_SASS_x000a_AS_x000a_Triennial SASS_x000a_Violation Resample_x000a_IU sample_x000a_Auth sample_x000a_">
          <x14:formula1>
            <xm:f>data_val!$E$3:$E$8</xm:f>
          </x14:formula1>
          <xm:sqref>E3:E1999</xm:sqref>
        </x14:dataValidation>
        <x14:dataValidation type="list" allowBlank="1" showErrorMessage="1" errorTitle="Parameter must be one of these:" error="Ammonia_x000a_Arsenic_x000a_BOD_x000a_Cadmium_x000a_Chlorine_x000a_Chromium (T)_x000a_Chromium (VI)_x000a_Copper_x000a_Cyanide (CATC)_x000a_Cyanide (T)_x000a_Fluorides_x000a_Lead_x000a_Mercury_x000a_Nickel_x000a_Oil &amp; grease_x000a_pH_x000a_Phenols_x000a_Phosphrous_x000a_Selenium_x000a_Silver_x000a_Sulfide_x000a_Temperature (ºC)_x000a_TKN_x000a_TSS_x000a_TPH_x000a_TTO_x000a_Zinc_x000a_">
          <x14:formula1>
            <xm:f>data_val!$F$4:$F$30</xm:f>
          </x14:formula1>
          <xm:sqref>F3:F1999</xm:sqref>
        </x14:dataValidation>
        <x14:dataValidation type="list" allowBlank="1" showErrorMessage="1" errorTitle="Monitoring Point Error" error="Monitoring Point must be either 1 or 2._x000a__x000a_Can be 2 only when that industry has 2 monitoring points._x000a_">
          <x14:formula1>
            <xm:f>INDIRECT(mon_p!$F3)</xm:f>
          </x14:formula1>
          <xm:sqref>D3:D1999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000"/>
  <sheetViews>
    <sheetView workbookViewId="0"/>
  </sheetViews>
  <sheetFormatPr defaultColWidth="9.109375" defaultRowHeight="14.4" x14ac:dyDescent="0.3"/>
  <cols>
    <col min="2" max="2" width="22" customWidth="1"/>
    <col min="3" max="3" width="18.5546875" customWidth="1"/>
    <col min="4" max="4" width="17.6640625" bestFit="1" customWidth="1"/>
    <col min="6" max="6" width="16" bestFit="1" customWidth="1"/>
  </cols>
  <sheetData>
    <row r="1" spans="1:6" s="9" customFormat="1" ht="15" x14ac:dyDescent="0.25">
      <c r="A1" s="4" t="s">
        <v>112</v>
      </c>
      <c r="B1" s="4" t="s">
        <v>123</v>
      </c>
    </row>
    <row r="2" spans="1:6" s="2" customFormat="1" ht="15.6" x14ac:dyDescent="0.3">
      <c r="B2" s="1" t="s">
        <v>26</v>
      </c>
      <c r="C2" s="1" t="s">
        <v>28</v>
      </c>
      <c r="D2" s="1" t="s">
        <v>29</v>
      </c>
      <c r="F2" s="1" t="s">
        <v>77</v>
      </c>
    </row>
    <row r="3" spans="1:6" s="2" customFormat="1" ht="15" x14ac:dyDescent="0.25">
      <c r="B3" s="2" t="s">
        <v>78</v>
      </c>
      <c r="C3" s="2" t="s">
        <v>79</v>
      </c>
      <c r="D3" s="2" t="s">
        <v>80</v>
      </c>
      <c r="F3" s="22" t="str">
        <f>IF(sample_log!$C3="", "", IF(sample_log!$C3="Chapin", "chapin_mon", IF(sample_log!$C3="Oatka", "oatka_mon", IF(sample_log!$C3="Seneca", "seneca_mon", "one"))))</f>
        <v/>
      </c>
    </row>
    <row r="4" spans="1:6" s="2" customFormat="1" ht="15" x14ac:dyDescent="0.25">
      <c r="B4" s="2" t="s">
        <v>81</v>
      </c>
      <c r="C4" s="2" t="s">
        <v>82</v>
      </c>
      <c r="D4" s="2" t="s">
        <v>83</v>
      </c>
      <c r="F4" s="22" t="str">
        <f>IF(sample_log!$C4="", "", IF(sample_log!$C4="Chapin", "chapin_mon", IF(sample_log!$C4="Oatka", "oatka_mon", IF(sample_log!$C4="Seneca", "seneca_mon", "one"))))</f>
        <v/>
      </c>
    </row>
    <row r="5" spans="1:6" s="2" customFormat="1" ht="15" x14ac:dyDescent="0.25">
      <c r="F5" s="22" t="str">
        <f>IF(sample_log!$C5="", "", IF(sample_log!$C5="Chapin", "chapin_mon", IF(sample_log!$C5="Oatka", "oatka_mon", IF(sample_log!$C5="Seneca", "seneca_mon", "one"))))</f>
        <v/>
      </c>
    </row>
    <row r="6" spans="1:6" s="2" customFormat="1" ht="15" x14ac:dyDescent="0.25">
      <c r="F6" s="22" t="str">
        <f>IF(sample_log!$C6="", "", IF(sample_log!$C6="Chapin", "chapin_mon", IF(sample_log!$C6="Oatka", "oatka_mon", IF(sample_log!$C6="Seneca", "seneca_mon", "one"))))</f>
        <v/>
      </c>
    </row>
    <row r="7" spans="1:6" s="2" customFormat="1" ht="15" x14ac:dyDescent="0.25">
      <c r="F7" s="22" t="str">
        <f>IF(sample_log!$C7="", "", IF(sample_log!$C7="Chapin", "chapin_mon", IF(sample_log!$C7="Oatka", "oatka_mon", IF(sample_log!$C7="Seneca", "seneca_mon", "one"))))</f>
        <v/>
      </c>
    </row>
    <row r="8" spans="1:6" s="2" customFormat="1" ht="15" x14ac:dyDescent="0.25">
      <c r="F8" s="22" t="str">
        <f>IF(sample_log!$C8="", "", IF(sample_log!$C8="Chapin", "chapin_mon", IF(sample_log!$C8="Oatka", "oatka_mon", IF(sample_log!$C8="Seneca", "seneca_mon", "one"))))</f>
        <v/>
      </c>
    </row>
    <row r="9" spans="1:6" s="2" customFormat="1" ht="15" x14ac:dyDescent="0.25">
      <c r="F9" s="22" t="str">
        <f>IF(sample_log!$C9="", "", IF(sample_log!$C9="Chapin", "chapin_mon", IF(sample_log!$C9="Oatka", "oatka_mon", IF(sample_log!$C9="Seneca", "seneca_mon", "one"))))</f>
        <v/>
      </c>
    </row>
    <row r="10" spans="1:6" s="2" customFormat="1" ht="15" x14ac:dyDescent="0.25">
      <c r="F10" s="22" t="str">
        <f>IF(sample_log!$C10="", "", IF(sample_log!$C10="Chapin", "chapin_mon", IF(sample_log!$C10="Oatka", "oatka_mon", IF(sample_log!$C10="Seneca", "seneca_mon", "one"))))</f>
        <v/>
      </c>
    </row>
    <row r="11" spans="1:6" s="2" customFormat="1" ht="15" x14ac:dyDescent="0.25">
      <c r="F11" s="22" t="str">
        <f>IF(sample_log!$C11="", "", IF(sample_log!$C11="Chapin", "chapin_mon", IF(sample_log!$C11="Oatka", "oatka_mon", IF(sample_log!$C11="Seneca", "seneca_mon", "one"))))</f>
        <v/>
      </c>
    </row>
    <row r="12" spans="1:6" s="2" customFormat="1" ht="15" x14ac:dyDescent="0.25">
      <c r="F12" s="22" t="str">
        <f>IF(sample_log!$C12="", "", IF(sample_log!$C12="Chapin", "chapin_mon", IF(sample_log!$C12="Oatka", "oatka_mon", IF(sample_log!$C12="Seneca", "seneca_mon", "one"))))</f>
        <v/>
      </c>
    </row>
    <row r="13" spans="1:6" s="2" customFormat="1" ht="15" x14ac:dyDescent="0.25">
      <c r="F13" s="22" t="str">
        <f>IF(sample_log!$C13="", "", IF(sample_log!$C13="Chapin", "chapin_mon", IF(sample_log!$C13="Oatka", "oatka_mon", IF(sample_log!$C13="Seneca", "seneca_mon", "one"))))</f>
        <v/>
      </c>
    </row>
    <row r="14" spans="1:6" s="2" customFormat="1" ht="15" x14ac:dyDescent="0.25">
      <c r="F14" s="22" t="str">
        <f>IF(sample_log!$C14="", "", IF(sample_log!$C14="Chapin", "chapin_mon", IF(sample_log!$C14="Oatka", "oatka_mon", IF(sample_log!$C14="Seneca", "seneca_mon", "one"))))</f>
        <v/>
      </c>
    </row>
    <row r="15" spans="1:6" s="2" customFormat="1" ht="15" x14ac:dyDescent="0.25">
      <c r="F15" s="22" t="str">
        <f>IF(sample_log!$C15="", "", IF(sample_log!$C15="Chapin", "chapin_mon", IF(sample_log!$C15="Oatka", "oatka_mon", IF(sample_log!$C15="Seneca", "seneca_mon", "one"))))</f>
        <v/>
      </c>
    </row>
    <row r="16" spans="1:6" s="2" customFormat="1" ht="15" x14ac:dyDescent="0.25">
      <c r="F16" s="22" t="str">
        <f>IF(sample_log!$C16="", "", IF(sample_log!$C16="Chapin", "chapin_mon", IF(sample_log!$C16="Oatka", "oatka_mon", IF(sample_log!$C16="Seneca", "seneca_mon", "one"))))</f>
        <v/>
      </c>
    </row>
    <row r="17" spans="6:6" s="2" customFormat="1" ht="15" x14ac:dyDescent="0.25">
      <c r="F17" s="22" t="str">
        <f>IF(sample_log!$C17="", "", IF(sample_log!$C17="Chapin", "chapin_mon", IF(sample_log!$C17="Oatka", "oatka_mon", IF(sample_log!$C17="Seneca", "seneca_mon", "one"))))</f>
        <v/>
      </c>
    </row>
    <row r="18" spans="6:6" s="2" customFormat="1" ht="15" x14ac:dyDescent="0.25">
      <c r="F18" s="22" t="str">
        <f>IF(sample_log!$C18="", "", IF(sample_log!$C18="Chapin", "chapin_mon", IF(sample_log!$C18="Oatka", "oatka_mon", IF(sample_log!$C18="Seneca", "seneca_mon", "one"))))</f>
        <v/>
      </c>
    </row>
    <row r="19" spans="6:6" s="2" customFormat="1" ht="15" x14ac:dyDescent="0.25">
      <c r="F19" s="22" t="str">
        <f>IF(sample_log!$C19="", "", IF(sample_log!$C19="Chapin", "chapin_mon", IF(sample_log!$C19="Oatka", "oatka_mon", IF(sample_log!$C19="Seneca", "seneca_mon", "one"))))</f>
        <v/>
      </c>
    </row>
    <row r="20" spans="6:6" s="2" customFormat="1" ht="15" x14ac:dyDescent="0.25">
      <c r="F20" s="22" t="str">
        <f>IF(sample_log!$C20="", "", IF(sample_log!$C20="Chapin", "chapin_mon", IF(sample_log!$C20="Oatka", "oatka_mon", IF(sample_log!$C20="Seneca", "seneca_mon", "one"))))</f>
        <v/>
      </c>
    </row>
    <row r="21" spans="6:6" s="2" customFormat="1" ht="15" x14ac:dyDescent="0.25">
      <c r="F21" s="22" t="str">
        <f>IF(sample_log!$C21="", "", IF(sample_log!$C21="Chapin", "chapin_mon", IF(sample_log!$C21="Oatka", "oatka_mon", IF(sample_log!$C21="Seneca", "seneca_mon", "one"))))</f>
        <v/>
      </c>
    </row>
    <row r="22" spans="6:6" s="2" customFormat="1" ht="15" x14ac:dyDescent="0.25">
      <c r="F22" s="22" t="str">
        <f>IF(sample_log!$C22="", "", IF(sample_log!$C22="Chapin", "chapin_mon", IF(sample_log!$C22="Oatka", "oatka_mon", IF(sample_log!$C22="Seneca", "seneca_mon", "one"))))</f>
        <v/>
      </c>
    </row>
    <row r="23" spans="6:6" s="2" customFormat="1" ht="15" x14ac:dyDescent="0.25">
      <c r="F23" s="22" t="str">
        <f>IF(sample_log!$C23="", "", IF(sample_log!$C23="Chapin", "chapin_mon", IF(sample_log!$C23="Oatka", "oatka_mon", IF(sample_log!$C23="Seneca", "seneca_mon", "one"))))</f>
        <v/>
      </c>
    </row>
    <row r="24" spans="6:6" s="2" customFormat="1" ht="15" x14ac:dyDescent="0.25">
      <c r="F24" s="22" t="str">
        <f>IF(sample_log!$C24="", "", IF(sample_log!$C24="Chapin", "chapin_mon", IF(sample_log!$C24="Oatka", "oatka_mon", IF(sample_log!$C24="Seneca", "seneca_mon", "one"))))</f>
        <v/>
      </c>
    </row>
    <row r="25" spans="6:6" s="2" customFormat="1" ht="15" x14ac:dyDescent="0.25">
      <c r="F25" s="22" t="str">
        <f>IF(sample_log!$C25="", "", IF(sample_log!$C25="Chapin", "chapin_mon", IF(sample_log!$C25="Oatka", "oatka_mon", IF(sample_log!$C25="Seneca", "seneca_mon", "one"))))</f>
        <v/>
      </c>
    </row>
    <row r="26" spans="6:6" s="2" customFormat="1" ht="15" x14ac:dyDescent="0.25">
      <c r="F26" s="22" t="str">
        <f>IF(sample_log!$C26="", "", IF(sample_log!$C26="Chapin", "chapin_mon", IF(sample_log!$C26="Oatka", "oatka_mon", IF(sample_log!$C26="Seneca", "seneca_mon", "one"))))</f>
        <v/>
      </c>
    </row>
    <row r="27" spans="6:6" s="2" customFormat="1" ht="15" x14ac:dyDescent="0.25">
      <c r="F27" s="22" t="str">
        <f>IF(sample_log!$C27="", "", IF(sample_log!$C27="Chapin", "chapin_mon", IF(sample_log!$C27="Oatka", "oatka_mon", IF(sample_log!$C27="Seneca", "seneca_mon", "one"))))</f>
        <v/>
      </c>
    </row>
    <row r="28" spans="6:6" s="2" customFormat="1" ht="15" x14ac:dyDescent="0.25">
      <c r="F28" s="22" t="str">
        <f>IF(sample_log!$C28="", "", IF(sample_log!$C28="Chapin", "chapin_mon", IF(sample_log!$C28="Oatka", "oatka_mon", IF(sample_log!$C28="Seneca", "seneca_mon", "one"))))</f>
        <v/>
      </c>
    </row>
    <row r="29" spans="6:6" s="2" customFormat="1" ht="15" x14ac:dyDescent="0.25">
      <c r="F29" s="22" t="str">
        <f>IF(sample_log!$C29="", "", IF(sample_log!$C29="Chapin", "chapin_mon", IF(sample_log!$C29="Oatka", "oatka_mon", IF(sample_log!$C29="Seneca", "seneca_mon", "one"))))</f>
        <v/>
      </c>
    </row>
    <row r="30" spans="6:6" s="2" customFormat="1" ht="15" x14ac:dyDescent="0.25">
      <c r="F30" s="22" t="str">
        <f>IF(sample_log!$C30="", "", IF(sample_log!$C30="Chapin", "chapin_mon", IF(sample_log!$C30="Oatka", "oatka_mon", IF(sample_log!$C30="Seneca", "seneca_mon", "one"))))</f>
        <v/>
      </c>
    </row>
    <row r="31" spans="6:6" s="2" customFormat="1" ht="15" x14ac:dyDescent="0.25">
      <c r="F31" s="22" t="str">
        <f>IF(sample_log!$C31="", "", IF(sample_log!$C31="Chapin", "chapin_mon", IF(sample_log!$C31="Oatka", "oatka_mon", IF(sample_log!$C31="Seneca", "seneca_mon", "one"))))</f>
        <v/>
      </c>
    </row>
    <row r="32" spans="6:6" s="2" customFormat="1" ht="15" x14ac:dyDescent="0.25">
      <c r="F32" s="22" t="str">
        <f>IF(sample_log!$C32="", "", IF(sample_log!$C32="Chapin", "chapin_mon", IF(sample_log!$C32="Oatka", "oatka_mon", IF(sample_log!$C32="Seneca", "seneca_mon", "one"))))</f>
        <v/>
      </c>
    </row>
    <row r="33" spans="6:6" s="2" customFormat="1" ht="15" x14ac:dyDescent="0.25">
      <c r="F33" s="22" t="str">
        <f>IF(sample_log!$C33="", "", IF(sample_log!$C33="Chapin", "chapin_mon", IF(sample_log!$C33="Oatka", "oatka_mon", IF(sample_log!$C33="Seneca", "seneca_mon", "one"))))</f>
        <v/>
      </c>
    </row>
    <row r="34" spans="6:6" s="2" customFormat="1" ht="15" x14ac:dyDescent="0.25">
      <c r="F34" s="22" t="str">
        <f>IF(sample_log!$C34="", "", IF(sample_log!$C34="Chapin", "chapin_mon", IF(sample_log!$C34="Oatka", "oatka_mon", IF(sample_log!$C34="Seneca", "seneca_mon", "one"))))</f>
        <v/>
      </c>
    </row>
    <row r="35" spans="6:6" s="2" customFormat="1" ht="15" x14ac:dyDescent="0.25">
      <c r="F35" s="22" t="str">
        <f>IF(sample_log!$C35="", "", IF(sample_log!$C35="Chapin", "chapin_mon", IF(sample_log!$C35="Oatka", "oatka_mon", IF(sample_log!$C35="Seneca", "seneca_mon", "one"))))</f>
        <v/>
      </c>
    </row>
    <row r="36" spans="6:6" s="2" customFormat="1" ht="15" x14ac:dyDescent="0.25">
      <c r="F36" s="22" t="str">
        <f>IF(sample_log!$C36="", "", IF(sample_log!$C36="Chapin", "chapin_mon", IF(sample_log!$C36="Oatka", "oatka_mon", IF(sample_log!$C36="Seneca", "seneca_mon", "one"))))</f>
        <v/>
      </c>
    </row>
    <row r="37" spans="6:6" s="2" customFormat="1" ht="15" x14ac:dyDescent="0.25">
      <c r="F37" s="22" t="str">
        <f>IF(sample_log!$C37="", "", IF(sample_log!$C37="Chapin", "chapin_mon", IF(sample_log!$C37="Oatka", "oatka_mon", IF(sample_log!$C37="Seneca", "seneca_mon", "one"))))</f>
        <v/>
      </c>
    </row>
    <row r="38" spans="6:6" s="2" customFormat="1" ht="15" x14ac:dyDescent="0.25">
      <c r="F38" s="22" t="str">
        <f>IF(sample_log!$C38="", "", IF(sample_log!$C38="Chapin", "chapin_mon", IF(sample_log!$C38="Oatka", "oatka_mon", IF(sample_log!$C38="Seneca", "seneca_mon", "one"))))</f>
        <v/>
      </c>
    </row>
    <row r="39" spans="6:6" s="2" customFormat="1" ht="15" x14ac:dyDescent="0.25">
      <c r="F39" s="22" t="str">
        <f>IF(sample_log!$C39="", "", IF(sample_log!$C39="Chapin", "chapin_mon", IF(sample_log!$C39="Oatka", "oatka_mon", IF(sample_log!$C39="Seneca", "seneca_mon", "one"))))</f>
        <v/>
      </c>
    </row>
    <row r="40" spans="6:6" s="2" customFormat="1" ht="15" x14ac:dyDescent="0.25">
      <c r="F40" s="22" t="str">
        <f>IF(sample_log!$C40="", "", IF(sample_log!$C40="Chapin", "chapin_mon", IF(sample_log!$C40="Oatka", "oatka_mon", IF(sample_log!$C40="Seneca", "seneca_mon", "one"))))</f>
        <v/>
      </c>
    </row>
    <row r="41" spans="6:6" s="2" customFormat="1" ht="15" x14ac:dyDescent="0.25">
      <c r="F41" s="22" t="str">
        <f>IF(sample_log!$C41="", "", IF(sample_log!$C41="Chapin", "chapin_mon", IF(sample_log!$C41="Oatka", "oatka_mon", IF(sample_log!$C41="Seneca", "seneca_mon", "one"))))</f>
        <v/>
      </c>
    </row>
    <row r="42" spans="6:6" s="2" customFormat="1" ht="15" x14ac:dyDescent="0.25">
      <c r="F42" s="22" t="str">
        <f>IF(sample_log!$C42="", "", IF(sample_log!$C42="Chapin", "chapin_mon", IF(sample_log!$C42="Oatka", "oatka_mon", IF(sample_log!$C42="Seneca", "seneca_mon", "one"))))</f>
        <v/>
      </c>
    </row>
    <row r="43" spans="6:6" s="2" customFormat="1" ht="15" x14ac:dyDescent="0.25">
      <c r="F43" s="22" t="str">
        <f>IF(sample_log!$C43="", "", IF(sample_log!$C43="Chapin", "chapin_mon", IF(sample_log!$C43="Oatka", "oatka_mon", IF(sample_log!$C43="Seneca", "seneca_mon", "one"))))</f>
        <v/>
      </c>
    </row>
    <row r="44" spans="6:6" s="2" customFormat="1" ht="15" x14ac:dyDescent="0.25">
      <c r="F44" s="22" t="str">
        <f>IF(sample_log!$C44="", "", IF(sample_log!$C44="Chapin", "chapin_mon", IF(sample_log!$C44="Oatka", "oatka_mon", IF(sample_log!$C44="Seneca", "seneca_mon", "one"))))</f>
        <v/>
      </c>
    </row>
    <row r="45" spans="6:6" s="2" customFormat="1" ht="15" x14ac:dyDescent="0.25">
      <c r="F45" s="22" t="str">
        <f>IF(sample_log!$C45="", "", IF(sample_log!$C45="Chapin", "chapin_mon", IF(sample_log!$C45="Oatka", "oatka_mon", IF(sample_log!$C45="Seneca", "seneca_mon", "one"))))</f>
        <v/>
      </c>
    </row>
    <row r="46" spans="6:6" s="2" customFormat="1" ht="15" x14ac:dyDescent="0.25">
      <c r="F46" s="22" t="str">
        <f>IF(sample_log!$C46="", "", IF(sample_log!$C46="Chapin", "chapin_mon", IF(sample_log!$C46="Oatka", "oatka_mon", IF(sample_log!$C46="Seneca", "seneca_mon", "one"))))</f>
        <v/>
      </c>
    </row>
    <row r="47" spans="6:6" s="2" customFormat="1" ht="15" x14ac:dyDescent="0.25">
      <c r="F47" s="22" t="str">
        <f>IF(sample_log!$C47="", "", IF(sample_log!$C47="Chapin", "chapin_mon", IF(sample_log!$C47="Oatka", "oatka_mon", IF(sample_log!$C47="Seneca", "seneca_mon", "one"))))</f>
        <v/>
      </c>
    </row>
    <row r="48" spans="6:6" s="2" customFormat="1" ht="15" x14ac:dyDescent="0.25">
      <c r="F48" s="22" t="str">
        <f>IF(sample_log!$C48="", "", IF(sample_log!$C48="Chapin", "chapin_mon", IF(sample_log!$C48="Oatka", "oatka_mon", IF(sample_log!$C48="Seneca", "seneca_mon", "one"))))</f>
        <v/>
      </c>
    </row>
    <row r="49" spans="6:6" s="2" customFormat="1" ht="15" x14ac:dyDescent="0.25">
      <c r="F49" s="22" t="str">
        <f>IF(sample_log!$C49="", "", IF(sample_log!$C49="Chapin", "chapin_mon", IF(sample_log!$C49="Oatka", "oatka_mon", IF(sample_log!$C49="Seneca", "seneca_mon", "one"))))</f>
        <v/>
      </c>
    </row>
    <row r="50" spans="6:6" s="2" customFormat="1" ht="15" x14ac:dyDescent="0.25">
      <c r="F50" s="22" t="str">
        <f>IF(sample_log!$C50="", "", IF(sample_log!$C50="Chapin", "chapin_mon", IF(sample_log!$C50="Oatka", "oatka_mon", IF(sample_log!$C50="Seneca", "seneca_mon", "one"))))</f>
        <v/>
      </c>
    </row>
    <row r="51" spans="6:6" s="2" customFormat="1" ht="15" x14ac:dyDescent="0.25">
      <c r="F51" s="22" t="str">
        <f>IF(sample_log!$C51="", "", IF(sample_log!$C51="Chapin", "chapin_mon", IF(sample_log!$C51="Oatka", "oatka_mon", IF(sample_log!$C51="Seneca", "seneca_mon", "one"))))</f>
        <v/>
      </c>
    </row>
    <row r="52" spans="6:6" s="2" customFormat="1" ht="15" x14ac:dyDescent="0.25">
      <c r="F52" s="22" t="str">
        <f>IF(sample_log!$C52="", "", IF(sample_log!$C52="Chapin", "chapin_mon", IF(sample_log!$C52="Oatka", "oatka_mon", IF(sample_log!$C52="Seneca", "seneca_mon", "one"))))</f>
        <v/>
      </c>
    </row>
    <row r="53" spans="6:6" s="2" customFormat="1" ht="15" x14ac:dyDescent="0.25">
      <c r="F53" s="22" t="str">
        <f>IF(sample_log!$C53="", "", IF(sample_log!$C53="Chapin", "chapin_mon", IF(sample_log!$C53="Oatka", "oatka_mon", IF(sample_log!$C53="Seneca", "seneca_mon", "one"))))</f>
        <v/>
      </c>
    </row>
    <row r="54" spans="6:6" s="2" customFormat="1" ht="15" x14ac:dyDescent="0.25">
      <c r="F54" s="22" t="str">
        <f>IF(sample_log!$C54="", "", IF(sample_log!$C54="Chapin", "chapin_mon", IF(sample_log!$C54="Oatka", "oatka_mon", IF(sample_log!$C54="Seneca", "seneca_mon", "one"))))</f>
        <v/>
      </c>
    </row>
    <row r="55" spans="6:6" s="2" customFormat="1" ht="15" x14ac:dyDescent="0.25">
      <c r="F55" s="22" t="str">
        <f>IF(sample_log!$C55="", "", IF(sample_log!$C55="Chapin", "chapin_mon", IF(sample_log!$C55="Oatka", "oatka_mon", IF(sample_log!$C55="Seneca", "seneca_mon", "one"))))</f>
        <v/>
      </c>
    </row>
    <row r="56" spans="6:6" s="2" customFormat="1" ht="15" x14ac:dyDescent="0.25">
      <c r="F56" s="22" t="str">
        <f>IF(sample_log!$C56="", "", IF(sample_log!$C56="Chapin", "chapin_mon", IF(sample_log!$C56="Oatka", "oatka_mon", IF(sample_log!$C56="Seneca", "seneca_mon", "one"))))</f>
        <v/>
      </c>
    </row>
    <row r="57" spans="6:6" s="2" customFormat="1" ht="15" x14ac:dyDescent="0.25">
      <c r="F57" s="22" t="str">
        <f>IF(sample_log!$C57="", "", IF(sample_log!$C57="Chapin", "chapin_mon", IF(sample_log!$C57="Oatka", "oatka_mon", IF(sample_log!$C57="Seneca", "seneca_mon", "one"))))</f>
        <v/>
      </c>
    </row>
    <row r="58" spans="6:6" s="2" customFormat="1" ht="15" x14ac:dyDescent="0.25">
      <c r="F58" s="22" t="str">
        <f>IF(sample_log!$C58="", "", IF(sample_log!$C58="Chapin", "chapin_mon", IF(sample_log!$C58="Oatka", "oatka_mon", IF(sample_log!$C58="Seneca", "seneca_mon", "one"))))</f>
        <v/>
      </c>
    </row>
    <row r="59" spans="6:6" s="2" customFormat="1" ht="15" x14ac:dyDescent="0.25">
      <c r="F59" s="22" t="str">
        <f>IF(sample_log!$C59="", "", IF(sample_log!$C59="Chapin", "chapin_mon", IF(sample_log!$C59="Oatka", "oatka_mon", IF(sample_log!$C59="Seneca", "seneca_mon", "one"))))</f>
        <v/>
      </c>
    </row>
    <row r="60" spans="6:6" s="2" customFormat="1" ht="15" x14ac:dyDescent="0.25">
      <c r="F60" s="22" t="str">
        <f>IF(sample_log!$C60="", "", IF(sample_log!$C60="Chapin", "chapin_mon", IF(sample_log!$C60="Oatka", "oatka_mon", IF(sample_log!$C60="Seneca", "seneca_mon", "one"))))</f>
        <v/>
      </c>
    </row>
    <row r="61" spans="6:6" s="2" customFormat="1" ht="15" x14ac:dyDescent="0.25">
      <c r="F61" s="22" t="str">
        <f>IF(sample_log!$C61="", "", IF(sample_log!$C61="Chapin", "chapin_mon", IF(sample_log!$C61="Oatka", "oatka_mon", IF(sample_log!$C61="Seneca", "seneca_mon", "one"))))</f>
        <v/>
      </c>
    </row>
    <row r="62" spans="6:6" s="2" customFormat="1" ht="15" x14ac:dyDescent="0.25">
      <c r="F62" s="22" t="str">
        <f>IF(sample_log!$C62="", "", IF(sample_log!$C62="Chapin", "chapin_mon", IF(sample_log!$C62="Oatka", "oatka_mon", IF(sample_log!$C62="Seneca", "seneca_mon", "one"))))</f>
        <v/>
      </c>
    </row>
    <row r="63" spans="6:6" s="2" customFormat="1" ht="15" x14ac:dyDescent="0.25">
      <c r="F63" s="22" t="str">
        <f>IF(sample_log!$C63="", "", IF(sample_log!$C63="Chapin", "chapin_mon", IF(sample_log!$C63="Oatka", "oatka_mon", IF(sample_log!$C63="Seneca", "seneca_mon", "one"))))</f>
        <v/>
      </c>
    </row>
    <row r="64" spans="6:6" s="2" customFormat="1" ht="15" x14ac:dyDescent="0.25">
      <c r="F64" s="22" t="str">
        <f>IF(sample_log!$C64="", "", IF(sample_log!$C64="Chapin", "chapin_mon", IF(sample_log!$C64="Oatka", "oatka_mon", IF(sample_log!$C64="Seneca", "seneca_mon", "one"))))</f>
        <v/>
      </c>
    </row>
    <row r="65" spans="6:6" s="2" customFormat="1" ht="15" x14ac:dyDescent="0.25">
      <c r="F65" s="22" t="str">
        <f>IF(sample_log!$C65="", "", IF(sample_log!$C65="Chapin", "chapin_mon", IF(sample_log!$C65="Oatka", "oatka_mon", IF(sample_log!$C65="Seneca", "seneca_mon", "one"))))</f>
        <v/>
      </c>
    </row>
    <row r="66" spans="6:6" s="2" customFormat="1" ht="15" x14ac:dyDescent="0.25">
      <c r="F66" s="22" t="str">
        <f>IF(sample_log!$C66="", "", IF(sample_log!$C66="Chapin", "chapin_mon", IF(sample_log!$C66="Oatka", "oatka_mon", IF(sample_log!$C66="Seneca", "seneca_mon", "one"))))</f>
        <v/>
      </c>
    </row>
    <row r="67" spans="6:6" s="2" customFormat="1" ht="15" x14ac:dyDescent="0.25">
      <c r="F67" s="22" t="str">
        <f>IF(sample_log!$C67="", "", IF(sample_log!$C67="Chapin", "chapin_mon", IF(sample_log!$C67="Oatka", "oatka_mon", IF(sample_log!$C67="Seneca", "seneca_mon", "one"))))</f>
        <v/>
      </c>
    </row>
    <row r="68" spans="6:6" s="2" customFormat="1" ht="15" x14ac:dyDescent="0.25">
      <c r="F68" s="22" t="str">
        <f>IF(sample_log!$C68="", "", IF(sample_log!$C68="Chapin", "chapin_mon", IF(sample_log!$C68="Oatka", "oatka_mon", IF(sample_log!$C68="Seneca", "seneca_mon", "one"))))</f>
        <v/>
      </c>
    </row>
    <row r="69" spans="6:6" s="2" customFormat="1" ht="15" x14ac:dyDescent="0.25">
      <c r="F69" s="22" t="str">
        <f>IF(sample_log!$C69="", "", IF(sample_log!$C69="Chapin", "chapin_mon", IF(sample_log!$C69="Oatka", "oatka_mon", IF(sample_log!$C69="Seneca", "seneca_mon", "one"))))</f>
        <v/>
      </c>
    </row>
    <row r="70" spans="6:6" s="2" customFormat="1" ht="15" x14ac:dyDescent="0.25">
      <c r="F70" s="22" t="str">
        <f>IF(sample_log!$C70="", "", IF(sample_log!$C70="Chapin", "chapin_mon", IF(sample_log!$C70="Oatka", "oatka_mon", IF(sample_log!$C70="Seneca", "seneca_mon", "one"))))</f>
        <v/>
      </c>
    </row>
    <row r="71" spans="6:6" s="2" customFormat="1" ht="15" x14ac:dyDescent="0.25">
      <c r="F71" s="22" t="str">
        <f>IF(sample_log!$C71="", "", IF(sample_log!$C71="Chapin", "chapin_mon", IF(sample_log!$C71="Oatka", "oatka_mon", IF(sample_log!$C71="Seneca", "seneca_mon", "one"))))</f>
        <v/>
      </c>
    </row>
    <row r="72" spans="6:6" s="2" customFormat="1" ht="15" x14ac:dyDescent="0.25">
      <c r="F72" s="22" t="str">
        <f>IF(sample_log!$C72="", "", IF(sample_log!$C72="Chapin", "chapin_mon", IF(sample_log!$C72="Oatka", "oatka_mon", IF(sample_log!$C72="Seneca", "seneca_mon", "one"))))</f>
        <v/>
      </c>
    </row>
    <row r="73" spans="6:6" s="2" customFormat="1" ht="15" x14ac:dyDescent="0.25">
      <c r="F73" s="22" t="str">
        <f>IF(sample_log!$C73="", "", IF(sample_log!$C73="Chapin", "chapin_mon", IF(sample_log!$C73="Oatka", "oatka_mon", IF(sample_log!$C73="Seneca", "seneca_mon", "one"))))</f>
        <v/>
      </c>
    </row>
    <row r="74" spans="6:6" s="2" customFormat="1" ht="15" x14ac:dyDescent="0.25">
      <c r="F74" s="22" t="str">
        <f>IF(sample_log!$C74="", "", IF(sample_log!$C74="Chapin", "chapin_mon", IF(sample_log!$C74="Oatka", "oatka_mon", IF(sample_log!$C74="Seneca", "seneca_mon", "one"))))</f>
        <v/>
      </c>
    </row>
    <row r="75" spans="6:6" s="2" customFormat="1" ht="15" x14ac:dyDescent="0.25">
      <c r="F75" s="22" t="str">
        <f>IF(sample_log!$C75="", "", IF(sample_log!$C75="Chapin", "chapin_mon", IF(sample_log!$C75="Oatka", "oatka_mon", IF(sample_log!$C75="Seneca", "seneca_mon", "one"))))</f>
        <v/>
      </c>
    </row>
    <row r="76" spans="6:6" s="2" customFormat="1" ht="15" x14ac:dyDescent="0.25">
      <c r="F76" s="22" t="str">
        <f>IF(sample_log!$C76="", "", IF(sample_log!$C76="Chapin", "chapin_mon", IF(sample_log!$C76="Oatka", "oatka_mon", IF(sample_log!$C76="Seneca", "seneca_mon", "one"))))</f>
        <v/>
      </c>
    </row>
    <row r="77" spans="6:6" s="2" customFormat="1" ht="15" x14ac:dyDescent="0.25">
      <c r="F77" s="22" t="str">
        <f>IF(sample_log!$C77="", "", IF(sample_log!$C77="Chapin", "chapin_mon", IF(sample_log!$C77="Oatka", "oatka_mon", IF(sample_log!$C77="Seneca", "seneca_mon", "one"))))</f>
        <v/>
      </c>
    </row>
    <row r="78" spans="6:6" s="2" customFormat="1" ht="15" x14ac:dyDescent="0.25">
      <c r="F78" s="22" t="str">
        <f>IF(sample_log!$C78="", "", IF(sample_log!$C78="Chapin", "chapin_mon", IF(sample_log!$C78="Oatka", "oatka_mon", IF(sample_log!$C78="Seneca", "seneca_mon", "one"))))</f>
        <v/>
      </c>
    </row>
    <row r="79" spans="6:6" s="2" customFormat="1" ht="15" x14ac:dyDescent="0.25">
      <c r="F79" s="22" t="str">
        <f>IF(sample_log!$C79="", "", IF(sample_log!$C79="Chapin", "chapin_mon", IF(sample_log!$C79="Oatka", "oatka_mon", IF(sample_log!$C79="Seneca", "seneca_mon", "one"))))</f>
        <v/>
      </c>
    </row>
    <row r="80" spans="6:6" s="2" customFormat="1" ht="15" x14ac:dyDescent="0.25">
      <c r="F80" s="22" t="str">
        <f>IF(sample_log!$C80="", "", IF(sample_log!$C80="Chapin", "chapin_mon", IF(sample_log!$C80="Oatka", "oatka_mon", IF(sample_log!$C80="Seneca", "seneca_mon", "one"))))</f>
        <v/>
      </c>
    </row>
    <row r="81" spans="6:6" s="2" customFormat="1" ht="15" x14ac:dyDescent="0.25">
      <c r="F81" s="22" t="str">
        <f>IF(sample_log!$C81="", "", IF(sample_log!$C81="Chapin", "chapin_mon", IF(sample_log!$C81="Oatka", "oatka_mon", IF(sample_log!$C81="Seneca", "seneca_mon", "one"))))</f>
        <v/>
      </c>
    </row>
    <row r="82" spans="6:6" s="2" customFormat="1" ht="15" x14ac:dyDescent="0.25">
      <c r="F82" s="22" t="str">
        <f>IF(sample_log!$C82="", "", IF(sample_log!$C82="Chapin", "chapin_mon", IF(sample_log!$C82="Oatka", "oatka_mon", IF(sample_log!$C82="Seneca", "seneca_mon", "one"))))</f>
        <v/>
      </c>
    </row>
    <row r="83" spans="6:6" s="2" customFormat="1" ht="15" x14ac:dyDescent="0.25">
      <c r="F83" s="22" t="str">
        <f>IF(sample_log!$C83="", "", IF(sample_log!$C83="Chapin", "chapin_mon", IF(sample_log!$C83="Oatka", "oatka_mon", IF(sample_log!$C83="Seneca", "seneca_mon", "one"))))</f>
        <v/>
      </c>
    </row>
    <row r="84" spans="6:6" s="2" customFormat="1" ht="15" x14ac:dyDescent="0.25">
      <c r="F84" s="22" t="str">
        <f>IF(sample_log!$C84="", "", IF(sample_log!$C84="Chapin", "chapin_mon", IF(sample_log!$C84="Oatka", "oatka_mon", IF(sample_log!$C84="Seneca", "seneca_mon", "one"))))</f>
        <v/>
      </c>
    </row>
    <row r="85" spans="6:6" s="2" customFormat="1" ht="15" x14ac:dyDescent="0.25">
      <c r="F85" s="22" t="str">
        <f>IF(sample_log!$C85="", "", IF(sample_log!$C85="Chapin", "chapin_mon", IF(sample_log!$C85="Oatka", "oatka_mon", IF(sample_log!$C85="Seneca", "seneca_mon", "one"))))</f>
        <v/>
      </c>
    </row>
    <row r="86" spans="6:6" s="2" customFormat="1" ht="15" x14ac:dyDescent="0.25">
      <c r="F86" s="22" t="str">
        <f>IF(sample_log!$C86="", "", IF(sample_log!$C86="Chapin", "chapin_mon", IF(sample_log!$C86="Oatka", "oatka_mon", IF(sample_log!$C86="Seneca", "seneca_mon", "one"))))</f>
        <v/>
      </c>
    </row>
    <row r="87" spans="6:6" s="2" customFormat="1" ht="15" x14ac:dyDescent="0.25">
      <c r="F87" s="22" t="str">
        <f>IF(sample_log!$C87="", "", IF(sample_log!$C87="Chapin", "chapin_mon", IF(sample_log!$C87="Oatka", "oatka_mon", IF(sample_log!$C87="Seneca", "seneca_mon", "one"))))</f>
        <v/>
      </c>
    </row>
    <row r="88" spans="6:6" s="2" customFormat="1" ht="15" x14ac:dyDescent="0.25">
      <c r="F88" s="22" t="str">
        <f>IF(sample_log!$C88="", "", IF(sample_log!$C88="Chapin", "chapin_mon", IF(sample_log!$C88="Oatka", "oatka_mon", IF(sample_log!$C88="Seneca", "seneca_mon", "one"))))</f>
        <v/>
      </c>
    </row>
    <row r="89" spans="6:6" s="2" customFormat="1" ht="15" x14ac:dyDescent="0.25">
      <c r="F89" s="22" t="str">
        <f>IF(sample_log!$C89="", "", IF(sample_log!$C89="Chapin", "chapin_mon", IF(sample_log!$C89="Oatka", "oatka_mon", IF(sample_log!$C89="Seneca", "seneca_mon", "one"))))</f>
        <v/>
      </c>
    </row>
    <row r="90" spans="6:6" s="2" customFormat="1" ht="15" x14ac:dyDescent="0.25">
      <c r="F90" s="22" t="str">
        <f>IF(sample_log!$C90="", "", IF(sample_log!$C90="Chapin", "chapin_mon", IF(sample_log!$C90="Oatka", "oatka_mon", IF(sample_log!$C90="Seneca", "seneca_mon", "one"))))</f>
        <v/>
      </c>
    </row>
    <row r="91" spans="6:6" s="2" customFormat="1" ht="15" x14ac:dyDescent="0.25">
      <c r="F91" s="22" t="str">
        <f>IF(sample_log!$C91="", "", IF(sample_log!$C91="Chapin", "chapin_mon", IF(sample_log!$C91="Oatka", "oatka_mon", IF(sample_log!$C91="Seneca", "seneca_mon", "one"))))</f>
        <v/>
      </c>
    </row>
    <row r="92" spans="6:6" s="2" customFormat="1" ht="15" x14ac:dyDescent="0.25">
      <c r="F92" s="22" t="str">
        <f>IF(sample_log!$C92="", "", IF(sample_log!$C92="Chapin", "chapin_mon", IF(sample_log!$C92="Oatka", "oatka_mon", IF(sample_log!$C92="Seneca", "seneca_mon", "one"))))</f>
        <v/>
      </c>
    </row>
    <row r="93" spans="6:6" s="2" customFormat="1" ht="15" x14ac:dyDescent="0.25">
      <c r="F93" s="22" t="str">
        <f>IF(sample_log!$C93="", "", IF(sample_log!$C93="Chapin", "chapin_mon", IF(sample_log!$C93="Oatka", "oatka_mon", IF(sample_log!$C93="Seneca", "seneca_mon", "one"))))</f>
        <v/>
      </c>
    </row>
    <row r="94" spans="6:6" s="2" customFormat="1" ht="15" x14ac:dyDescent="0.25">
      <c r="F94" s="22" t="str">
        <f>IF(sample_log!$C94="", "", IF(sample_log!$C94="Chapin", "chapin_mon", IF(sample_log!$C94="Oatka", "oatka_mon", IF(sample_log!$C94="Seneca", "seneca_mon", "one"))))</f>
        <v/>
      </c>
    </row>
    <row r="95" spans="6:6" s="2" customFormat="1" ht="15" x14ac:dyDescent="0.25">
      <c r="F95" s="22" t="str">
        <f>IF(sample_log!$C95="", "", IF(sample_log!$C95="Chapin", "chapin_mon", IF(sample_log!$C95="Oatka", "oatka_mon", IF(sample_log!$C95="Seneca", "seneca_mon", "one"))))</f>
        <v/>
      </c>
    </row>
    <row r="96" spans="6:6" s="2" customFormat="1" ht="15" x14ac:dyDescent="0.25">
      <c r="F96" s="22" t="str">
        <f>IF(sample_log!$C96="", "", IF(sample_log!$C96="Chapin", "chapin_mon", IF(sample_log!$C96="Oatka", "oatka_mon", IF(sample_log!$C96="Seneca", "seneca_mon", "one"))))</f>
        <v/>
      </c>
    </row>
    <row r="97" spans="6:6" s="2" customFormat="1" ht="15" x14ac:dyDescent="0.25">
      <c r="F97" s="22" t="str">
        <f>IF(sample_log!$C97="", "", IF(sample_log!$C97="Chapin", "chapin_mon", IF(sample_log!$C97="Oatka", "oatka_mon", IF(sample_log!$C97="Seneca", "seneca_mon", "one"))))</f>
        <v/>
      </c>
    </row>
    <row r="98" spans="6:6" s="2" customFormat="1" ht="15" x14ac:dyDescent="0.25">
      <c r="F98" s="22" t="str">
        <f>IF(sample_log!$C98="", "", IF(sample_log!$C98="Chapin", "chapin_mon", IF(sample_log!$C98="Oatka", "oatka_mon", IF(sample_log!$C98="Seneca", "seneca_mon", "one"))))</f>
        <v/>
      </c>
    </row>
    <row r="99" spans="6:6" s="2" customFormat="1" ht="15" x14ac:dyDescent="0.25">
      <c r="F99" s="22" t="str">
        <f>IF(sample_log!$C99="", "", IF(sample_log!$C99="Chapin", "chapin_mon", IF(sample_log!$C99="Oatka", "oatka_mon", IF(sample_log!$C99="Seneca", "seneca_mon", "one"))))</f>
        <v/>
      </c>
    </row>
    <row r="100" spans="6:6" s="2" customFormat="1" ht="15" x14ac:dyDescent="0.25">
      <c r="F100" s="22" t="str">
        <f>IF(sample_log!$C100="", "", IF(sample_log!$C100="Chapin", "chapin_mon", IF(sample_log!$C100="Oatka", "oatka_mon", IF(sample_log!$C100="Seneca", "seneca_mon", "one"))))</f>
        <v/>
      </c>
    </row>
    <row r="101" spans="6:6" s="2" customFormat="1" ht="15" x14ac:dyDescent="0.25">
      <c r="F101" s="22" t="str">
        <f>IF(sample_log!$C101="", "", IF(sample_log!$C101="Chapin", "chapin_mon", IF(sample_log!$C101="Oatka", "oatka_mon", IF(sample_log!$C101="Seneca", "seneca_mon", "one"))))</f>
        <v/>
      </c>
    </row>
    <row r="102" spans="6:6" s="2" customFormat="1" ht="15" x14ac:dyDescent="0.25">
      <c r="F102" s="22" t="str">
        <f>IF(sample_log!$C102="", "", IF(sample_log!$C102="Chapin", "chapin_mon", IF(sample_log!$C102="Oatka", "oatka_mon", IF(sample_log!$C102="Seneca", "seneca_mon", "one"))))</f>
        <v/>
      </c>
    </row>
    <row r="103" spans="6:6" s="2" customFormat="1" ht="15" x14ac:dyDescent="0.25">
      <c r="F103" s="22" t="str">
        <f>IF(sample_log!$C103="", "", IF(sample_log!$C103="Chapin", "chapin_mon", IF(sample_log!$C103="Oatka", "oatka_mon", IF(sample_log!$C103="Seneca", "seneca_mon", "one"))))</f>
        <v/>
      </c>
    </row>
    <row r="104" spans="6:6" s="2" customFormat="1" ht="15" x14ac:dyDescent="0.25">
      <c r="F104" s="22" t="str">
        <f>IF(sample_log!$C104="", "", IF(sample_log!$C104="Chapin", "chapin_mon", IF(sample_log!$C104="Oatka", "oatka_mon", IF(sample_log!$C104="Seneca", "seneca_mon", "one"))))</f>
        <v/>
      </c>
    </row>
    <row r="105" spans="6:6" s="2" customFormat="1" ht="15" x14ac:dyDescent="0.25">
      <c r="F105" s="22" t="str">
        <f>IF(sample_log!$C105="", "", IF(sample_log!$C105="Chapin", "chapin_mon", IF(sample_log!$C105="Oatka", "oatka_mon", IF(sample_log!$C105="Seneca", "seneca_mon", "one"))))</f>
        <v/>
      </c>
    </row>
    <row r="106" spans="6:6" s="2" customFormat="1" ht="15" x14ac:dyDescent="0.25">
      <c r="F106" s="22" t="str">
        <f>IF(sample_log!$C106="", "", IF(sample_log!$C106="Chapin", "chapin_mon", IF(sample_log!$C106="Oatka", "oatka_mon", IF(sample_log!$C106="Seneca", "seneca_mon", "one"))))</f>
        <v/>
      </c>
    </row>
    <row r="107" spans="6:6" s="2" customFormat="1" ht="15" x14ac:dyDescent="0.25">
      <c r="F107" s="22" t="str">
        <f>IF(sample_log!$C107="", "", IF(sample_log!$C107="Chapin", "chapin_mon", IF(sample_log!$C107="Oatka", "oatka_mon", IF(sample_log!$C107="Seneca", "seneca_mon", "one"))))</f>
        <v/>
      </c>
    </row>
    <row r="108" spans="6:6" s="2" customFormat="1" ht="15" x14ac:dyDescent="0.25">
      <c r="F108" s="22" t="str">
        <f>IF(sample_log!$C108="", "", IF(sample_log!$C108="Chapin", "chapin_mon", IF(sample_log!$C108="Oatka", "oatka_mon", IF(sample_log!$C108="Seneca", "seneca_mon", "one"))))</f>
        <v/>
      </c>
    </row>
    <row r="109" spans="6:6" s="2" customFormat="1" ht="15" x14ac:dyDescent="0.25">
      <c r="F109" s="22" t="str">
        <f>IF(sample_log!$C109="", "", IF(sample_log!$C109="Chapin", "chapin_mon", IF(sample_log!$C109="Oatka", "oatka_mon", IF(sample_log!$C109="Seneca", "seneca_mon", "one"))))</f>
        <v/>
      </c>
    </row>
    <row r="110" spans="6:6" s="2" customFormat="1" ht="15" x14ac:dyDescent="0.25">
      <c r="F110" s="22" t="str">
        <f>IF(sample_log!$C110="", "", IF(sample_log!$C110="Chapin", "chapin_mon", IF(sample_log!$C110="Oatka", "oatka_mon", IF(sample_log!$C110="Seneca", "seneca_mon", "one"))))</f>
        <v/>
      </c>
    </row>
    <row r="111" spans="6:6" s="2" customFormat="1" ht="15" x14ac:dyDescent="0.25">
      <c r="F111" s="22" t="str">
        <f>IF(sample_log!$C111="", "", IF(sample_log!$C111="Chapin", "chapin_mon", IF(sample_log!$C111="Oatka", "oatka_mon", IF(sample_log!$C111="Seneca", "seneca_mon", "one"))))</f>
        <v/>
      </c>
    </row>
    <row r="112" spans="6:6" s="2" customFormat="1" ht="15" x14ac:dyDescent="0.25">
      <c r="F112" s="22" t="str">
        <f>IF(sample_log!$C112="", "", IF(sample_log!$C112="Chapin", "chapin_mon", IF(sample_log!$C112="Oatka", "oatka_mon", IF(sample_log!$C112="Seneca", "seneca_mon", "one"))))</f>
        <v/>
      </c>
    </row>
    <row r="113" spans="6:6" s="2" customFormat="1" ht="15" x14ac:dyDescent="0.25">
      <c r="F113" s="22" t="str">
        <f>IF(sample_log!$C113="", "", IF(sample_log!$C113="Chapin", "chapin_mon", IF(sample_log!$C113="Oatka", "oatka_mon", IF(sample_log!$C113="Seneca", "seneca_mon", "one"))))</f>
        <v/>
      </c>
    </row>
    <row r="114" spans="6:6" s="2" customFormat="1" ht="15" x14ac:dyDescent="0.25">
      <c r="F114" s="22" t="str">
        <f>IF(sample_log!$C114="", "", IF(sample_log!$C114="Chapin", "chapin_mon", IF(sample_log!$C114="Oatka", "oatka_mon", IF(sample_log!$C114="Seneca", "seneca_mon", "one"))))</f>
        <v/>
      </c>
    </row>
    <row r="115" spans="6:6" s="2" customFormat="1" ht="15" x14ac:dyDescent="0.25">
      <c r="F115" s="22" t="str">
        <f>IF(sample_log!$C115="", "", IF(sample_log!$C115="Chapin", "chapin_mon", IF(sample_log!$C115="Oatka", "oatka_mon", IF(sample_log!$C115="Seneca", "seneca_mon", "one"))))</f>
        <v/>
      </c>
    </row>
    <row r="116" spans="6:6" s="2" customFormat="1" ht="15" x14ac:dyDescent="0.25">
      <c r="F116" s="22" t="str">
        <f>IF(sample_log!$C116="", "", IF(sample_log!$C116="Chapin", "chapin_mon", IF(sample_log!$C116="Oatka", "oatka_mon", IF(sample_log!$C116="Seneca", "seneca_mon", "one"))))</f>
        <v/>
      </c>
    </row>
    <row r="117" spans="6:6" s="2" customFormat="1" ht="15" x14ac:dyDescent="0.25">
      <c r="F117" s="22" t="str">
        <f>IF(sample_log!$C117="", "", IF(sample_log!$C117="Chapin", "chapin_mon", IF(sample_log!$C117="Oatka", "oatka_mon", IF(sample_log!$C117="Seneca", "seneca_mon", "one"))))</f>
        <v/>
      </c>
    </row>
    <row r="118" spans="6:6" s="2" customFormat="1" ht="15" x14ac:dyDescent="0.25">
      <c r="F118" s="22" t="str">
        <f>IF(sample_log!$C118="", "", IF(sample_log!$C118="Chapin", "chapin_mon", IF(sample_log!$C118="Oatka", "oatka_mon", IF(sample_log!$C118="Seneca", "seneca_mon", "one"))))</f>
        <v/>
      </c>
    </row>
    <row r="119" spans="6:6" s="2" customFormat="1" ht="15" x14ac:dyDescent="0.25">
      <c r="F119" s="22" t="str">
        <f>IF(sample_log!$C119="", "", IF(sample_log!$C119="Chapin", "chapin_mon", IF(sample_log!$C119="Oatka", "oatka_mon", IF(sample_log!$C119="Seneca", "seneca_mon", "one"))))</f>
        <v/>
      </c>
    </row>
    <row r="120" spans="6:6" s="2" customFormat="1" ht="15" x14ac:dyDescent="0.25">
      <c r="F120" s="22" t="str">
        <f>IF(sample_log!$C120="", "", IF(sample_log!$C120="Chapin", "chapin_mon", IF(sample_log!$C120="Oatka", "oatka_mon", IF(sample_log!$C120="Seneca", "seneca_mon", "one"))))</f>
        <v/>
      </c>
    </row>
    <row r="121" spans="6:6" s="2" customFormat="1" ht="15" x14ac:dyDescent="0.25">
      <c r="F121" s="22" t="str">
        <f>IF(sample_log!$C121="", "", IF(sample_log!$C121="Chapin", "chapin_mon", IF(sample_log!$C121="Oatka", "oatka_mon", IF(sample_log!$C121="Seneca", "seneca_mon", "one"))))</f>
        <v/>
      </c>
    </row>
    <row r="122" spans="6:6" s="2" customFormat="1" ht="15" x14ac:dyDescent="0.25">
      <c r="F122" s="22" t="str">
        <f>IF(sample_log!$C122="", "", IF(sample_log!$C122="Chapin", "chapin_mon", IF(sample_log!$C122="Oatka", "oatka_mon", IF(sample_log!$C122="Seneca", "seneca_mon", "one"))))</f>
        <v/>
      </c>
    </row>
    <row r="123" spans="6:6" s="2" customFormat="1" ht="15" x14ac:dyDescent="0.25">
      <c r="F123" s="22" t="str">
        <f>IF(sample_log!$C123="", "", IF(sample_log!$C123="Chapin", "chapin_mon", IF(sample_log!$C123="Oatka", "oatka_mon", IF(sample_log!$C123="Seneca", "seneca_mon", "one"))))</f>
        <v/>
      </c>
    </row>
    <row r="124" spans="6:6" s="2" customFormat="1" ht="15" x14ac:dyDescent="0.25">
      <c r="F124" s="22" t="str">
        <f>IF(sample_log!$C124="", "", IF(sample_log!$C124="Chapin", "chapin_mon", IF(sample_log!$C124="Oatka", "oatka_mon", IF(sample_log!$C124="Seneca", "seneca_mon", "one"))))</f>
        <v/>
      </c>
    </row>
    <row r="125" spans="6:6" s="2" customFormat="1" ht="15" x14ac:dyDescent="0.25">
      <c r="F125" s="22" t="str">
        <f>IF(sample_log!$C125="", "", IF(sample_log!$C125="Chapin", "chapin_mon", IF(sample_log!$C125="Oatka", "oatka_mon", IF(sample_log!$C125="Seneca", "seneca_mon", "one"))))</f>
        <v/>
      </c>
    </row>
    <row r="126" spans="6:6" s="2" customFormat="1" ht="15" x14ac:dyDescent="0.25">
      <c r="F126" s="22" t="str">
        <f>IF(sample_log!$C126="", "", IF(sample_log!$C126="Chapin", "chapin_mon", IF(sample_log!$C126="Oatka", "oatka_mon", IF(sample_log!$C126="Seneca", "seneca_mon", "one"))))</f>
        <v/>
      </c>
    </row>
    <row r="127" spans="6:6" s="2" customFormat="1" ht="15" x14ac:dyDescent="0.25">
      <c r="F127" s="22" t="str">
        <f>IF(sample_log!$C127="", "", IF(sample_log!$C127="Chapin", "chapin_mon", IF(sample_log!$C127="Oatka", "oatka_mon", IF(sample_log!$C127="Seneca", "seneca_mon", "one"))))</f>
        <v/>
      </c>
    </row>
    <row r="128" spans="6:6" s="2" customFormat="1" ht="15" x14ac:dyDescent="0.25">
      <c r="F128" s="22" t="str">
        <f>IF(sample_log!$C128="", "", IF(sample_log!$C128="Chapin", "chapin_mon", IF(sample_log!$C128="Oatka", "oatka_mon", IF(sample_log!$C128="Seneca", "seneca_mon", "one"))))</f>
        <v/>
      </c>
    </row>
    <row r="129" spans="6:6" s="2" customFormat="1" ht="15" x14ac:dyDescent="0.25">
      <c r="F129" s="22" t="str">
        <f>IF(sample_log!$C129="", "", IF(sample_log!$C129="Chapin", "chapin_mon", IF(sample_log!$C129="Oatka", "oatka_mon", IF(sample_log!$C129="Seneca", "seneca_mon", "one"))))</f>
        <v/>
      </c>
    </row>
    <row r="130" spans="6:6" s="2" customFormat="1" ht="15" x14ac:dyDescent="0.25">
      <c r="F130" s="22" t="str">
        <f>IF(sample_log!$C130="", "", IF(sample_log!$C130="Chapin", "chapin_mon", IF(sample_log!$C130="Oatka", "oatka_mon", IF(sample_log!$C130="Seneca", "seneca_mon", "one"))))</f>
        <v/>
      </c>
    </row>
    <row r="131" spans="6:6" s="2" customFormat="1" ht="15" x14ac:dyDescent="0.25">
      <c r="F131" s="22" t="str">
        <f>IF(sample_log!$C131="", "", IF(sample_log!$C131="Chapin", "chapin_mon", IF(sample_log!$C131="Oatka", "oatka_mon", IF(sample_log!$C131="Seneca", "seneca_mon", "one"))))</f>
        <v/>
      </c>
    </row>
    <row r="132" spans="6:6" s="2" customFormat="1" ht="15" x14ac:dyDescent="0.25">
      <c r="F132" s="22" t="str">
        <f>IF(sample_log!$C132="", "", IF(sample_log!$C132="Chapin", "chapin_mon", IF(sample_log!$C132="Oatka", "oatka_mon", IF(sample_log!$C132="Seneca", "seneca_mon", "one"))))</f>
        <v/>
      </c>
    </row>
    <row r="133" spans="6:6" s="2" customFormat="1" ht="15" x14ac:dyDescent="0.25">
      <c r="F133" s="22" t="str">
        <f>IF(sample_log!$C133="", "", IF(sample_log!$C133="Chapin", "chapin_mon", IF(sample_log!$C133="Oatka", "oatka_mon", IF(sample_log!$C133="Seneca", "seneca_mon", "one"))))</f>
        <v/>
      </c>
    </row>
    <row r="134" spans="6:6" s="2" customFormat="1" ht="15" x14ac:dyDescent="0.25">
      <c r="F134" s="22" t="str">
        <f>IF(sample_log!$C134="", "", IF(sample_log!$C134="Chapin", "chapin_mon", IF(sample_log!$C134="Oatka", "oatka_mon", IF(sample_log!$C134="Seneca", "seneca_mon", "one"))))</f>
        <v/>
      </c>
    </row>
    <row r="135" spans="6:6" s="2" customFormat="1" ht="15" x14ac:dyDescent="0.25">
      <c r="F135" s="22" t="str">
        <f>IF(sample_log!$C135="", "", IF(sample_log!$C135="Chapin", "chapin_mon", IF(sample_log!$C135="Oatka", "oatka_mon", IF(sample_log!$C135="Seneca", "seneca_mon", "one"))))</f>
        <v/>
      </c>
    </row>
    <row r="136" spans="6:6" s="2" customFormat="1" ht="15" x14ac:dyDescent="0.25">
      <c r="F136" s="22" t="str">
        <f>IF(sample_log!$C136="", "", IF(sample_log!$C136="Chapin", "chapin_mon", IF(sample_log!$C136="Oatka", "oatka_mon", IF(sample_log!$C136="Seneca", "seneca_mon", "one"))))</f>
        <v/>
      </c>
    </row>
    <row r="137" spans="6:6" s="2" customFormat="1" ht="15" x14ac:dyDescent="0.25">
      <c r="F137" s="22" t="str">
        <f>IF(sample_log!$C137="", "", IF(sample_log!$C137="Chapin", "chapin_mon", IF(sample_log!$C137="Oatka", "oatka_mon", IF(sample_log!$C137="Seneca", "seneca_mon", "one"))))</f>
        <v/>
      </c>
    </row>
    <row r="138" spans="6:6" s="2" customFormat="1" ht="15" x14ac:dyDescent="0.25">
      <c r="F138" s="22" t="str">
        <f>IF(sample_log!$C138="", "", IF(sample_log!$C138="Chapin", "chapin_mon", IF(sample_log!$C138="Oatka", "oatka_mon", IF(sample_log!$C138="Seneca", "seneca_mon", "one"))))</f>
        <v/>
      </c>
    </row>
    <row r="139" spans="6:6" s="2" customFormat="1" ht="15" x14ac:dyDescent="0.25">
      <c r="F139" s="22" t="str">
        <f>IF(sample_log!$C139="", "", IF(sample_log!$C139="Chapin", "chapin_mon", IF(sample_log!$C139="Oatka", "oatka_mon", IF(sample_log!$C139="Seneca", "seneca_mon", "one"))))</f>
        <v/>
      </c>
    </row>
    <row r="140" spans="6:6" s="2" customFormat="1" ht="15" x14ac:dyDescent="0.25">
      <c r="F140" s="22" t="str">
        <f>IF(sample_log!$C140="", "", IF(sample_log!$C140="Chapin", "chapin_mon", IF(sample_log!$C140="Oatka", "oatka_mon", IF(sample_log!$C140="Seneca", "seneca_mon", "one"))))</f>
        <v/>
      </c>
    </row>
    <row r="141" spans="6:6" s="2" customFormat="1" ht="15" x14ac:dyDescent="0.25">
      <c r="F141" s="22" t="str">
        <f>IF(sample_log!$C141="", "", IF(sample_log!$C141="Chapin", "chapin_mon", IF(sample_log!$C141="Oatka", "oatka_mon", IF(sample_log!$C141="Seneca", "seneca_mon", "one"))))</f>
        <v/>
      </c>
    </row>
    <row r="142" spans="6:6" s="2" customFormat="1" ht="15" x14ac:dyDescent="0.25">
      <c r="F142" s="22" t="str">
        <f>IF(sample_log!$C142="", "", IF(sample_log!$C142="Chapin", "chapin_mon", IF(sample_log!$C142="Oatka", "oatka_mon", IF(sample_log!$C142="Seneca", "seneca_mon", "one"))))</f>
        <v/>
      </c>
    </row>
    <row r="143" spans="6:6" s="2" customFormat="1" ht="15" x14ac:dyDescent="0.25">
      <c r="F143" s="22" t="str">
        <f>IF(sample_log!$C143="", "", IF(sample_log!$C143="Chapin", "chapin_mon", IF(sample_log!$C143="Oatka", "oatka_mon", IF(sample_log!$C143="Seneca", "seneca_mon", "one"))))</f>
        <v/>
      </c>
    </row>
    <row r="144" spans="6:6" s="2" customFormat="1" ht="15" x14ac:dyDescent="0.25">
      <c r="F144" s="22" t="str">
        <f>IF(sample_log!$C144="", "", IF(sample_log!$C144="Chapin", "chapin_mon", IF(sample_log!$C144="Oatka", "oatka_mon", IF(sample_log!$C144="Seneca", "seneca_mon", "one"))))</f>
        <v/>
      </c>
    </row>
    <row r="145" spans="6:6" s="2" customFormat="1" ht="15" x14ac:dyDescent="0.25">
      <c r="F145" s="22" t="str">
        <f>IF(sample_log!$C145="", "", IF(sample_log!$C145="Chapin", "chapin_mon", IF(sample_log!$C145="Oatka", "oatka_mon", IF(sample_log!$C145="Seneca", "seneca_mon", "one"))))</f>
        <v/>
      </c>
    </row>
    <row r="146" spans="6:6" s="2" customFormat="1" ht="15" x14ac:dyDescent="0.25">
      <c r="F146" s="22" t="str">
        <f>IF(sample_log!$C146="", "", IF(sample_log!$C146="Chapin", "chapin_mon", IF(sample_log!$C146="Oatka", "oatka_mon", IF(sample_log!$C146="Seneca", "seneca_mon", "one"))))</f>
        <v/>
      </c>
    </row>
    <row r="147" spans="6:6" s="2" customFormat="1" ht="15" x14ac:dyDescent="0.25">
      <c r="F147" s="22" t="str">
        <f>IF(sample_log!$C147="", "", IF(sample_log!$C147="Chapin", "chapin_mon", IF(sample_log!$C147="Oatka", "oatka_mon", IF(sample_log!$C147="Seneca", "seneca_mon", "one"))))</f>
        <v/>
      </c>
    </row>
    <row r="148" spans="6:6" s="2" customFormat="1" ht="15" x14ac:dyDescent="0.25">
      <c r="F148" s="22" t="str">
        <f>IF(sample_log!$C148="", "", IF(sample_log!$C148="Chapin", "chapin_mon", IF(sample_log!$C148="Oatka", "oatka_mon", IF(sample_log!$C148="Seneca", "seneca_mon", "one"))))</f>
        <v/>
      </c>
    </row>
    <row r="149" spans="6:6" s="2" customFormat="1" ht="15" x14ac:dyDescent="0.25">
      <c r="F149" s="22" t="str">
        <f>IF(sample_log!$C149="", "", IF(sample_log!$C149="Chapin", "chapin_mon", IF(sample_log!$C149="Oatka", "oatka_mon", IF(sample_log!$C149="Seneca", "seneca_mon", "one"))))</f>
        <v/>
      </c>
    </row>
    <row r="150" spans="6:6" s="2" customFormat="1" ht="15" x14ac:dyDescent="0.25">
      <c r="F150" s="22" t="str">
        <f>IF(sample_log!$C150="", "", IF(sample_log!$C150="Chapin", "chapin_mon", IF(sample_log!$C150="Oatka", "oatka_mon", IF(sample_log!$C150="Seneca", "seneca_mon", "one"))))</f>
        <v/>
      </c>
    </row>
    <row r="151" spans="6:6" s="2" customFormat="1" ht="15" x14ac:dyDescent="0.25">
      <c r="F151" s="22" t="str">
        <f>IF(sample_log!$C151="", "", IF(sample_log!$C151="Chapin", "chapin_mon", IF(sample_log!$C151="Oatka", "oatka_mon", IF(sample_log!$C151="Seneca", "seneca_mon", "one"))))</f>
        <v/>
      </c>
    </row>
    <row r="152" spans="6:6" s="2" customFormat="1" ht="15" x14ac:dyDescent="0.25">
      <c r="F152" s="22" t="str">
        <f>IF(sample_log!$C152="", "", IF(sample_log!$C152="Chapin", "chapin_mon", IF(sample_log!$C152="Oatka", "oatka_mon", IF(sample_log!$C152="Seneca", "seneca_mon", "one"))))</f>
        <v/>
      </c>
    </row>
    <row r="153" spans="6:6" s="2" customFormat="1" ht="15" x14ac:dyDescent="0.25">
      <c r="F153" s="22" t="str">
        <f>IF(sample_log!$C153="", "", IF(sample_log!$C153="Chapin", "chapin_mon", IF(sample_log!$C153="Oatka", "oatka_mon", IF(sample_log!$C153="Seneca", "seneca_mon", "one"))))</f>
        <v/>
      </c>
    </row>
    <row r="154" spans="6:6" s="2" customFormat="1" ht="15" x14ac:dyDescent="0.25">
      <c r="F154" s="22" t="str">
        <f>IF(sample_log!$C154="", "", IF(sample_log!$C154="Chapin", "chapin_mon", IF(sample_log!$C154="Oatka", "oatka_mon", IF(sample_log!$C154="Seneca", "seneca_mon", "one"))))</f>
        <v/>
      </c>
    </row>
    <row r="155" spans="6:6" s="2" customFormat="1" ht="15" x14ac:dyDescent="0.25">
      <c r="F155" s="22" t="str">
        <f>IF(sample_log!$C155="", "", IF(sample_log!$C155="Chapin", "chapin_mon", IF(sample_log!$C155="Oatka", "oatka_mon", IF(sample_log!$C155="Seneca", "seneca_mon", "one"))))</f>
        <v/>
      </c>
    </row>
    <row r="156" spans="6:6" s="2" customFormat="1" ht="15" x14ac:dyDescent="0.25">
      <c r="F156" s="22" t="str">
        <f>IF(sample_log!$C156="", "", IF(sample_log!$C156="Chapin", "chapin_mon", IF(sample_log!$C156="Oatka", "oatka_mon", IF(sample_log!$C156="Seneca", "seneca_mon", "one"))))</f>
        <v/>
      </c>
    </row>
    <row r="157" spans="6:6" s="2" customFormat="1" ht="15" x14ac:dyDescent="0.25">
      <c r="F157" s="22" t="str">
        <f>IF(sample_log!$C157="", "", IF(sample_log!$C157="Chapin", "chapin_mon", IF(sample_log!$C157="Oatka", "oatka_mon", IF(sample_log!$C157="Seneca", "seneca_mon", "one"))))</f>
        <v/>
      </c>
    </row>
    <row r="158" spans="6:6" s="2" customFormat="1" ht="15" x14ac:dyDescent="0.25">
      <c r="F158" s="22" t="str">
        <f>IF(sample_log!$C158="", "", IF(sample_log!$C158="Chapin", "chapin_mon", IF(sample_log!$C158="Oatka", "oatka_mon", IF(sample_log!$C158="Seneca", "seneca_mon", "one"))))</f>
        <v/>
      </c>
    </row>
    <row r="159" spans="6:6" s="2" customFormat="1" ht="15" x14ac:dyDescent="0.25">
      <c r="F159" s="22" t="str">
        <f>IF(sample_log!$C159="", "", IF(sample_log!$C159="Chapin", "chapin_mon", IF(sample_log!$C159="Oatka", "oatka_mon", IF(sample_log!$C159="Seneca", "seneca_mon", "one"))))</f>
        <v/>
      </c>
    </row>
    <row r="160" spans="6:6" s="2" customFormat="1" ht="15" x14ac:dyDescent="0.25">
      <c r="F160" s="22" t="str">
        <f>IF(sample_log!$C160="", "", IF(sample_log!$C160="Chapin", "chapin_mon", IF(sample_log!$C160="Oatka", "oatka_mon", IF(sample_log!$C160="Seneca", "seneca_mon", "one"))))</f>
        <v/>
      </c>
    </row>
    <row r="161" spans="6:6" s="2" customFormat="1" ht="15" x14ac:dyDescent="0.25">
      <c r="F161" s="22" t="str">
        <f>IF(sample_log!$C161="", "", IF(sample_log!$C161="Chapin", "chapin_mon", IF(sample_log!$C161="Oatka", "oatka_mon", IF(sample_log!$C161="Seneca", "seneca_mon", "one"))))</f>
        <v/>
      </c>
    </row>
    <row r="162" spans="6:6" s="2" customFormat="1" ht="15" x14ac:dyDescent="0.25">
      <c r="F162" s="22" t="str">
        <f>IF(sample_log!$C162="", "", IF(sample_log!$C162="Chapin", "chapin_mon", IF(sample_log!$C162="Oatka", "oatka_mon", IF(sample_log!$C162="Seneca", "seneca_mon", "one"))))</f>
        <v/>
      </c>
    </row>
    <row r="163" spans="6:6" s="2" customFormat="1" ht="15" x14ac:dyDescent="0.25">
      <c r="F163" s="22" t="str">
        <f>IF(sample_log!$C163="", "", IF(sample_log!$C163="Chapin", "chapin_mon", IF(sample_log!$C163="Oatka", "oatka_mon", IF(sample_log!$C163="Seneca", "seneca_mon", "one"))))</f>
        <v/>
      </c>
    </row>
    <row r="164" spans="6:6" s="2" customFormat="1" ht="15" x14ac:dyDescent="0.25">
      <c r="F164" s="22" t="str">
        <f>IF(sample_log!$C164="", "", IF(sample_log!$C164="Chapin", "chapin_mon", IF(sample_log!$C164="Oatka", "oatka_mon", IF(sample_log!$C164="Seneca", "seneca_mon", "one"))))</f>
        <v/>
      </c>
    </row>
    <row r="165" spans="6:6" s="2" customFormat="1" ht="15" x14ac:dyDescent="0.25">
      <c r="F165" s="22" t="str">
        <f>IF(sample_log!$C165="", "", IF(sample_log!$C165="Chapin", "chapin_mon", IF(sample_log!$C165="Oatka", "oatka_mon", IF(sample_log!$C165="Seneca", "seneca_mon", "one"))))</f>
        <v/>
      </c>
    </row>
    <row r="166" spans="6:6" s="2" customFormat="1" ht="15" x14ac:dyDescent="0.25">
      <c r="F166" s="22" t="str">
        <f>IF(sample_log!$C166="", "", IF(sample_log!$C166="Chapin", "chapin_mon", IF(sample_log!$C166="Oatka", "oatka_mon", IF(sample_log!$C166="Seneca", "seneca_mon", "one"))))</f>
        <v/>
      </c>
    </row>
    <row r="167" spans="6:6" s="2" customFormat="1" ht="15" x14ac:dyDescent="0.25">
      <c r="F167" s="22" t="str">
        <f>IF(sample_log!$C167="", "", IF(sample_log!$C167="Chapin", "chapin_mon", IF(sample_log!$C167="Oatka", "oatka_mon", IF(sample_log!$C167="Seneca", "seneca_mon", "one"))))</f>
        <v/>
      </c>
    </row>
    <row r="168" spans="6:6" s="2" customFormat="1" ht="15" x14ac:dyDescent="0.25">
      <c r="F168" s="22" t="str">
        <f>IF(sample_log!$C168="", "", IF(sample_log!$C168="Chapin", "chapin_mon", IF(sample_log!$C168="Oatka", "oatka_mon", IF(sample_log!$C168="Seneca", "seneca_mon", "one"))))</f>
        <v/>
      </c>
    </row>
    <row r="169" spans="6:6" s="2" customFormat="1" ht="15" x14ac:dyDescent="0.25">
      <c r="F169" s="22" t="str">
        <f>IF(sample_log!$C169="", "", IF(sample_log!$C169="Chapin", "chapin_mon", IF(sample_log!$C169="Oatka", "oatka_mon", IF(sample_log!$C169="Seneca", "seneca_mon", "one"))))</f>
        <v/>
      </c>
    </row>
    <row r="170" spans="6:6" s="2" customFormat="1" ht="15" x14ac:dyDescent="0.25">
      <c r="F170" s="22" t="str">
        <f>IF(sample_log!$C170="", "", IF(sample_log!$C170="Chapin", "chapin_mon", IF(sample_log!$C170="Oatka", "oatka_mon", IF(sample_log!$C170="Seneca", "seneca_mon", "one"))))</f>
        <v/>
      </c>
    </row>
    <row r="171" spans="6:6" s="2" customFormat="1" ht="15" x14ac:dyDescent="0.25">
      <c r="F171" s="22" t="str">
        <f>IF(sample_log!$C171="", "", IF(sample_log!$C171="Chapin", "chapin_mon", IF(sample_log!$C171="Oatka", "oatka_mon", IF(sample_log!$C171="Seneca", "seneca_mon", "one"))))</f>
        <v/>
      </c>
    </row>
    <row r="172" spans="6:6" s="2" customFormat="1" ht="15" x14ac:dyDescent="0.25">
      <c r="F172" s="22" t="str">
        <f>IF(sample_log!$C172="", "", IF(sample_log!$C172="Chapin", "chapin_mon", IF(sample_log!$C172="Oatka", "oatka_mon", IF(sample_log!$C172="Seneca", "seneca_mon", "one"))))</f>
        <v/>
      </c>
    </row>
    <row r="173" spans="6:6" s="2" customFormat="1" ht="15" x14ac:dyDescent="0.25">
      <c r="F173" s="22" t="str">
        <f>IF(sample_log!$C173="", "", IF(sample_log!$C173="Chapin", "chapin_mon", IF(sample_log!$C173="Oatka", "oatka_mon", IF(sample_log!$C173="Seneca", "seneca_mon", "one"))))</f>
        <v/>
      </c>
    </row>
    <row r="174" spans="6:6" s="2" customFormat="1" ht="15" x14ac:dyDescent="0.25">
      <c r="F174" s="22" t="str">
        <f>IF(sample_log!$C174="", "", IF(sample_log!$C174="Chapin", "chapin_mon", IF(sample_log!$C174="Oatka", "oatka_mon", IF(sample_log!$C174="Seneca", "seneca_mon", "one"))))</f>
        <v/>
      </c>
    </row>
    <row r="175" spans="6:6" s="2" customFormat="1" ht="15" x14ac:dyDescent="0.25">
      <c r="F175" s="22" t="str">
        <f>IF(sample_log!$C175="", "", IF(sample_log!$C175="Chapin", "chapin_mon", IF(sample_log!$C175="Oatka", "oatka_mon", IF(sample_log!$C175="Seneca", "seneca_mon", "one"))))</f>
        <v/>
      </c>
    </row>
    <row r="176" spans="6:6" s="2" customFormat="1" ht="15" x14ac:dyDescent="0.25">
      <c r="F176" s="22" t="str">
        <f>IF(sample_log!$C176="", "", IF(sample_log!$C176="Chapin", "chapin_mon", IF(sample_log!$C176="Oatka", "oatka_mon", IF(sample_log!$C176="Seneca", "seneca_mon", "one"))))</f>
        <v/>
      </c>
    </row>
    <row r="177" spans="6:6" s="2" customFormat="1" ht="15" x14ac:dyDescent="0.25">
      <c r="F177" s="22" t="str">
        <f>IF(sample_log!$C177="", "", IF(sample_log!$C177="Chapin", "chapin_mon", IF(sample_log!$C177="Oatka", "oatka_mon", IF(sample_log!$C177="Seneca", "seneca_mon", "one"))))</f>
        <v/>
      </c>
    </row>
    <row r="178" spans="6:6" s="2" customFormat="1" ht="15" x14ac:dyDescent="0.25">
      <c r="F178" s="22" t="str">
        <f>IF(sample_log!$C178="", "", IF(sample_log!$C178="Chapin", "chapin_mon", IF(sample_log!$C178="Oatka", "oatka_mon", IF(sample_log!$C178="Seneca", "seneca_mon", "one"))))</f>
        <v/>
      </c>
    </row>
    <row r="179" spans="6:6" s="2" customFormat="1" ht="15" x14ac:dyDescent="0.25">
      <c r="F179" s="22" t="str">
        <f>IF(sample_log!$C179="", "", IF(sample_log!$C179="Chapin", "chapin_mon", IF(sample_log!$C179="Oatka", "oatka_mon", IF(sample_log!$C179="Seneca", "seneca_mon", "one"))))</f>
        <v/>
      </c>
    </row>
    <row r="180" spans="6:6" s="2" customFormat="1" ht="15" x14ac:dyDescent="0.25">
      <c r="F180" s="22" t="str">
        <f>IF(sample_log!$C180="", "", IF(sample_log!$C180="Chapin", "chapin_mon", IF(sample_log!$C180="Oatka", "oatka_mon", IF(sample_log!$C180="Seneca", "seneca_mon", "one"))))</f>
        <v/>
      </c>
    </row>
    <row r="181" spans="6:6" s="2" customFormat="1" ht="15" x14ac:dyDescent="0.25">
      <c r="F181" s="22" t="str">
        <f>IF(sample_log!$C181="", "", IF(sample_log!$C181="Chapin", "chapin_mon", IF(sample_log!$C181="Oatka", "oatka_mon", IF(sample_log!$C181="Seneca", "seneca_mon", "one"))))</f>
        <v/>
      </c>
    </row>
    <row r="182" spans="6:6" s="2" customFormat="1" ht="15" x14ac:dyDescent="0.25">
      <c r="F182" s="22" t="str">
        <f>IF(sample_log!$C182="", "", IF(sample_log!$C182="Chapin", "chapin_mon", IF(sample_log!$C182="Oatka", "oatka_mon", IF(sample_log!$C182="Seneca", "seneca_mon", "one"))))</f>
        <v/>
      </c>
    </row>
    <row r="183" spans="6:6" s="2" customFormat="1" ht="15" x14ac:dyDescent="0.25">
      <c r="F183" s="22" t="str">
        <f>IF(sample_log!$C183="", "", IF(sample_log!$C183="Chapin", "chapin_mon", IF(sample_log!$C183="Oatka", "oatka_mon", IF(sample_log!$C183="Seneca", "seneca_mon", "one"))))</f>
        <v/>
      </c>
    </row>
    <row r="184" spans="6:6" s="2" customFormat="1" ht="15" x14ac:dyDescent="0.25">
      <c r="F184" s="22" t="str">
        <f>IF(sample_log!$C184="", "", IF(sample_log!$C184="Chapin", "chapin_mon", IF(sample_log!$C184="Oatka", "oatka_mon", IF(sample_log!$C184="Seneca", "seneca_mon", "one"))))</f>
        <v/>
      </c>
    </row>
    <row r="185" spans="6:6" s="2" customFormat="1" ht="15" x14ac:dyDescent="0.25">
      <c r="F185" s="22" t="str">
        <f>IF(sample_log!$C185="", "", IF(sample_log!$C185="Chapin", "chapin_mon", IF(sample_log!$C185="Oatka", "oatka_mon", IF(sample_log!$C185="Seneca", "seneca_mon", "one"))))</f>
        <v/>
      </c>
    </row>
    <row r="186" spans="6:6" s="2" customFormat="1" ht="15" x14ac:dyDescent="0.25">
      <c r="F186" s="22" t="str">
        <f>IF(sample_log!$C186="", "", IF(sample_log!$C186="Chapin", "chapin_mon", IF(sample_log!$C186="Oatka", "oatka_mon", IF(sample_log!$C186="Seneca", "seneca_mon", "one"))))</f>
        <v/>
      </c>
    </row>
    <row r="187" spans="6:6" s="2" customFormat="1" ht="15" x14ac:dyDescent="0.25">
      <c r="F187" s="22" t="str">
        <f>IF(sample_log!$C187="", "", IF(sample_log!$C187="Chapin", "chapin_mon", IF(sample_log!$C187="Oatka", "oatka_mon", IF(sample_log!$C187="Seneca", "seneca_mon", "one"))))</f>
        <v/>
      </c>
    </row>
    <row r="188" spans="6:6" s="2" customFormat="1" ht="15" x14ac:dyDescent="0.25">
      <c r="F188" s="22" t="str">
        <f>IF(sample_log!$C188="", "", IF(sample_log!$C188="Chapin", "chapin_mon", IF(sample_log!$C188="Oatka", "oatka_mon", IF(sample_log!$C188="Seneca", "seneca_mon", "one"))))</f>
        <v/>
      </c>
    </row>
    <row r="189" spans="6:6" s="2" customFormat="1" ht="15" x14ac:dyDescent="0.25">
      <c r="F189" s="22" t="str">
        <f>IF(sample_log!$C189="", "", IF(sample_log!$C189="Chapin", "chapin_mon", IF(sample_log!$C189="Oatka", "oatka_mon", IF(sample_log!$C189="Seneca", "seneca_mon", "one"))))</f>
        <v/>
      </c>
    </row>
    <row r="190" spans="6:6" s="2" customFormat="1" ht="15" x14ac:dyDescent="0.25">
      <c r="F190" s="22" t="str">
        <f>IF(sample_log!$C190="", "", IF(sample_log!$C190="Chapin", "chapin_mon", IF(sample_log!$C190="Oatka", "oatka_mon", IF(sample_log!$C190="Seneca", "seneca_mon", "one"))))</f>
        <v/>
      </c>
    </row>
    <row r="191" spans="6:6" s="2" customFormat="1" ht="15" x14ac:dyDescent="0.25">
      <c r="F191" s="22" t="str">
        <f>IF(sample_log!$C191="", "", IF(sample_log!$C191="Chapin", "chapin_mon", IF(sample_log!$C191="Oatka", "oatka_mon", IF(sample_log!$C191="Seneca", "seneca_mon", "one"))))</f>
        <v/>
      </c>
    </row>
    <row r="192" spans="6:6" s="2" customFormat="1" ht="15" x14ac:dyDescent="0.25">
      <c r="F192" s="22" t="str">
        <f>IF(sample_log!$C192="", "", IF(sample_log!$C192="Chapin", "chapin_mon", IF(sample_log!$C192="Oatka", "oatka_mon", IF(sample_log!$C192="Seneca", "seneca_mon", "one"))))</f>
        <v/>
      </c>
    </row>
    <row r="193" spans="6:6" s="2" customFormat="1" ht="15" x14ac:dyDescent="0.25">
      <c r="F193" s="22" t="str">
        <f>IF(sample_log!$C193="", "", IF(sample_log!$C193="Chapin", "chapin_mon", IF(sample_log!$C193="Oatka", "oatka_mon", IF(sample_log!$C193="Seneca", "seneca_mon", "one"))))</f>
        <v/>
      </c>
    </row>
    <row r="194" spans="6:6" s="2" customFormat="1" ht="15" x14ac:dyDescent="0.25">
      <c r="F194" s="22" t="str">
        <f>IF(sample_log!$C194="", "", IF(sample_log!$C194="Chapin", "chapin_mon", IF(sample_log!$C194="Oatka", "oatka_mon", IF(sample_log!$C194="Seneca", "seneca_mon", "one"))))</f>
        <v/>
      </c>
    </row>
    <row r="195" spans="6:6" s="2" customFormat="1" ht="15" x14ac:dyDescent="0.25">
      <c r="F195" s="22" t="str">
        <f>IF(sample_log!$C195="", "", IF(sample_log!$C195="Chapin", "chapin_mon", IF(sample_log!$C195="Oatka", "oatka_mon", IF(sample_log!$C195="Seneca", "seneca_mon", "one"))))</f>
        <v/>
      </c>
    </row>
    <row r="196" spans="6:6" s="2" customFormat="1" ht="15" x14ac:dyDescent="0.25">
      <c r="F196" s="22" t="str">
        <f>IF(sample_log!$C196="", "", IF(sample_log!$C196="Chapin", "chapin_mon", IF(sample_log!$C196="Oatka", "oatka_mon", IF(sample_log!$C196="Seneca", "seneca_mon", "one"))))</f>
        <v/>
      </c>
    </row>
    <row r="197" spans="6:6" s="2" customFormat="1" ht="15" x14ac:dyDescent="0.25">
      <c r="F197" s="22" t="str">
        <f>IF(sample_log!$C197="", "", IF(sample_log!$C197="Chapin", "chapin_mon", IF(sample_log!$C197="Oatka", "oatka_mon", IF(sample_log!$C197="Seneca", "seneca_mon", "one"))))</f>
        <v/>
      </c>
    </row>
    <row r="198" spans="6:6" s="2" customFormat="1" ht="15" x14ac:dyDescent="0.25">
      <c r="F198" s="22" t="str">
        <f>IF(sample_log!$C198="", "", IF(sample_log!$C198="Chapin", "chapin_mon", IF(sample_log!$C198="Oatka", "oatka_mon", IF(sample_log!$C198="Seneca", "seneca_mon", "one"))))</f>
        <v/>
      </c>
    </row>
    <row r="199" spans="6:6" s="2" customFormat="1" ht="15" x14ac:dyDescent="0.25">
      <c r="F199" s="22" t="str">
        <f>IF(sample_log!$C199="", "", IF(sample_log!$C199="Chapin", "chapin_mon", IF(sample_log!$C199="Oatka", "oatka_mon", IF(sample_log!$C199="Seneca", "seneca_mon", "one"))))</f>
        <v/>
      </c>
    </row>
    <row r="200" spans="6:6" s="2" customFormat="1" ht="15" x14ac:dyDescent="0.25">
      <c r="F200" s="22" t="str">
        <f>IF(sample_log!$C200="", "", IF(sample_log!$C200="Chapin", "chapin_mon", IF(sample_log!$C200="Oatka", "oatka_mon", IF(sample_log!$C200="Seneca", "seneca_mon", "one"))))</f>
        <v/>
      </c>
    </row>
    <row r="201" spans="6:6" s="2" customFormat="1" ht="15" x14ac:dyDescent="0.25">
      <c r="F201" s="22" t="str">
        <f>IF(sample_log!$C201="", "", IF(sample_log!$C201="Chapin", "chapin_mon", IF(sample_log!$C201="Oatka", "oatka_mon", IF(sample_log!$C201="Seneca", "seneca_mon", "one"))))</f>
        <v/>
      </c>
    </row>
    <row r="202" spans="6:6" s="2" customFormat="1" ht="15" x14ac:dyDescent="0.25">
      <c r="F202" s="22" t="str">
        <f>IF(sample_log!$C202="", "", IF(sample_log!$C202="Chapin", "chapin_mon", IF(sample_log!$C202="Oatka", "oatka_mon", IF(sample_log!$C202="Seneca", "seneca_mon", "one"))))</f>
        <v/>
      </c>
    </row>
    <row r="203" spans="6:6" s="2" customFormat="1" ht="15" x14ac:dyDescent="0.25">
      <c r="F203" s="22" t="str">
        <f>IF(sample_log!$C203="", "", IF(sample_log!$C203="Chapin", "chapin_mon", IF(sample_log!$C203="Oatka", "oatka_mon", IF(sample_log!$C203="Seneca", "seneca_mon", "one"))))</f>
        <v/>
      </c>
    </row>
    <row r="204" spans="6:6" s="2" customFormat="1" ht="15" x14ac:dyDescent="0.25">
      <c r="F204" s="22" t="str">
        <f>IF(sample_log!$C204="", "", IF(sample_log!$C204="Chapin", "chapin_mon", IF(sample_log!$C204="Oatka", "oatka_mon", IF(sample_log!$C204="Seneca", "seneca_mon", "one"))))</f>
        <v/>
      </c>
    </row>
    <row r="205" spans="6:6" s="2" customFormat="1" ht="15" x14ac:dyDescent="0.25">
      <c r="F205" s="22" t="str">
        <f>IF(sample_log!$C205="", "", IF(sample_log!$C205="Chapin", "chapin_mon", IF(sample_log!$C205="Oatka", "oatka_mon", IF(sample_log!$C205="Seneca", "seneca_mon", "one"))))</f>
        <v/>
      </c>
    </row>
    <row r="206" spans="6:6" s="2" customFormat="1" ht="15" x14ac:dyDescent="0.25">
      <c r="F206" s="22" t="str">
        <f>IF(sample_log!$C206="", "", IF(sample_log!$C206="Chapin", "chapin_mon", IF(sample_log!$C206="Oatka", "oatka_mon", IF(sample_log!$C206="Seneca", "seneca_mon", "one"))))</f>
        <v/>
      </c>
    </row>
    <row r="207" spans="6:6" s="2" customFormat="1" ht="15" x14ac:dyDescent="0.25">
      <c r="F207" s="22" t="str">
        <f>IF(sample_log!$C207="", "", IF(sample_log!$C207="Chapin", "chapin_mon", IF(sample_log!$C207="Oatka", "oatka_mon", IF(sample_log!$C207="Seneca", "seneca_mon", "one"))))</f>
        <v/>
      </c>
    </row>
    <row r="208" spans="6:6" s="2" customFormat="1" ht="15" x14ac:dyDescent="0.25">
      <c r="F208" s="22" t="str">
        <f>IF(sample_log!$C208="", "", IF(sample_log!$C208="Chapin", "chapin_mon", IF(sample_log!$C208="Oatka", "oatka_mon", IF(sample_log!$C208="Seneca", "seneca_mon", "one"))))</f>
        <v/>
      </c>
    </row>
    <row r="209" spans="6:6" s="2" customFormat="1" ht="15" x14ac:dyDescent="0.25">
      <c r="F209" s="22" t="str">
        <f>IF(sample_log!$C209="", "", IF(sample_log!$C209="Chapin", "chapin_mon", IF(sample_log!$C209="Oatka", "oatka_mon", IF(sample_log!$C209="Seneca", "seneca_mon", "one"))))</f>
        <v/>
      </c>
    </row>
    <row r="210" spans="6:6" s="2" customFormat="1" ht="15" x14ac:dyDescent="0.25">
      <c r="F210" s="22" t="str">
        <f>IF(sample_log!$C210="", "", IF(sample_log!$C210="Chapin", "chapin_mon", IF(sample_log!$C210="Oatka", "oatka_mon", IF(sample_log!$C210="Seneca", "seneca_mon", "one"))))</f>
        <v/>
      </c>
    </row>
    <row r="211" spans="6:6" s="2" customFormat="1" ht="15" x14ac:dyDescent="0.25">
      <c r="F211" s="22" t="str">
        <f>IF(sample_log!$C211="", "", IF(sample_log!$C211="Chapin", "chapin_mon", IF(sample_log!$C211="Oatka", "oatka_mon", IF(sample_log!$C211="Seneca", "seneca_mon", "one"))))</f>
        <v/>
      </c>
    </row>
    <row r="212" spans="6:6" s="2" customFormat="1" ht="15" x14ac:dyDescent="0.25">
      <c r="F212" s="22" t="str">
        <f>IF(sample_log!$C212="", "", IF(sample_log!$C212="Chapin", "chapin_mon", IF(sample_log!$C212="Oatka", "oatka_mon", IF(sample_log!$C212="Seneca", "seneca_mon", "one"))))</f>
        <v/>
      </c>
    </row>
    <row r="213" spans="6:6" s="2" customFormat="1" ht="15" x14ac:dyDescent="0.25">
      <c r="F213" s="22" t="str">
        <f>IF(sample_log!$C213="", "", IF(sample_log!$C213="Chapin", "chapin_mon", IF(sample_log!$C213="Oatka", "oatka_mon", IF(sample_log!$C213="Seneca", "seneca_mon", "one"))))</f>
        <v/>
      </c>
    </row>
    <row r="214" spans="6:6" s="2" customFormat="1" ht="15" x14ac:dyDescent="0.25">
      <c r="F214" s="22" t="str">
        <f>IF(sample_log!$C214="", "", IF(sample_log!$C214="Chapin", "chapin_mon", IF(sample_log!$C214="Oatka", "oatka_mon", IF(sample_log!$C214="Seneca", "seneca_mon", "one"))))</f>
        <v/>
      </c>
    </row>
    <row r="215" spans="6:6" s="2" customFormat="1" ht="15" x14ac:dyDescent="0.25">
      <c r="F215" s="22" t="str">
        <f>IF(sample_log!$C215="", "", IF(sample_log!$C215="Chapin", "chapin_mon", IF(sample_log!$C215="Oatka", "oatka_mon", IF(sample_log!$C215="Seneca", "seneca_mon", "one"))))</f>
        <v/>
      </c>
    </row>
    <row r="216" spans="6:6" s="2" customFormat="1" ht="15" x14ac:dyDescent="0.25">
      <c r="F216" s="22" t="str">
        <f>IF(sample_log!$C216="", "", IF(sample_log!$C216="Chapin", "chapin_mon", IF(sample_log!$C216="Oatka", "oatka_mon", IF(sample_log!$C216="Seneca", "seneca_mon", "one"))))</f>
        <v/>
      </c>
    </row>
    <row r="217" spans="6:6" s="2" customFormat="1" ht="15" x14ac:dyDescent="0.25">
      <c r="F217" s="22" t="str">
        <f>IF(sample_log!$C217="", "", IF(sample_log!$C217="Chapin", "chapin_mon", IF(sample_log!$C217="Oatka", "oatka_mon", IF(sample_log!$C217="Seneca", "seneca_mon", "one"))))</f>
        <v/>
      </c>
    </row>
    <row r="218" spans="6:6" s="2" customFormat="1" ht="15" x14ac:dyDescent="0.25">
      <c r="F218" s="22" t="str">
        <f>IF(sample_log!$C218="", "", IF(sample_log!$C218="Chapin", "chapin_mon", IF(sample_log!$C218="Oatka", "oatka_mon", IF(sample_log!$C218="Seneca", "seneca_mon", "one"))))</f>
        <v/>
      </c>
    </row>
    <row r="219" spans="6:6" s="2" customFormat="1" ht="15" x14ac:dyDescent="0.25">
      <c r="F219" s="22" t="str">
        <f>IF(sample_log!$C219="", "", IF(sample_log!$C219="Chapin", "chapin_mon", IF(sample_log!$C219="Oatka", "oatka_mon", IF(sample_log!$C219="Seneca", "seneca_mon", "one"))))</f>
        <v/>
      </c>
    </row>
    <row r="220" spans="6:6" s="2" customFormat="1" ht="15" x14ac:dyDescent="0.25">
      <c r="F220" s="22" t="str">
        <f>IF(sample_log!$C220="", "", IF(sample_log!$C220="Chapin", "chapin_mon", IF(sample_log!$C220="Oatka", "oatka_mon", IF(sample_log!$C220="Seneca", "seneca_mon", "one"))))</f>
        <v/>
      </c>
    </row>
    <row r="221" spans="6:6" s="2" customFormat="1" ht="15" x14ac:dyDescent="0.25">
      <c r="F221" s="22" t="str">
        <f>IF(sample_log!$C221="", "", IF(sample_log!$C221="Chapin", "chapin_mon", IF(sample_log!$C221="Oatka", "oatka_mon", IF(sample_log!$C221="Seneca", "seneca_mon", "one"))))</f>
        <v/>
      </c>
    </row>
    <row r="222" spans="6:6" s="2" customFormat="1" ht="15" x14ac:dyDescent="0.25">
      <c r="F222" s="22" t="str">
        <f>IF(sample_log!$C222="", "", IF(sample_log!$C222="Chapin", "chapin_mon", IF(sample_log!$C222="Oatka", "oatka_mon", IF(sample_log!$C222="Seneca", "seneca_mon", "one"))))</f>
        <v/>
      </c>
    </row>
    <row r="223" spans="6:6" s="2" customFormat="1" ht="15" x14ac:dyDescent="0.25">
      <c r="F223" s="22" t="str">
        <f>IF(sample_log!$C223="", "", IF(sample_log!$C223="Chapin", "chapin_mon", IF(sample_log!$C223="Oatka", "oatka_mon", IF(sample_log!$C223="Seneca", "seneca_mon", "one"))))</f>
        <v/>
      </c>
    </row>
    <row r="224" spans="6:6" s="2" customFormat="1" ht="15" x14ac:dyDescent="0.25">
      <c r="F224" s="22" t="str">
        <f>IF(sample_log!$C224="", "", IF(sample_log!$C224="Chapin", "chapin_mon", IF(sample_log!$C224="Oatka", "oatka_mon", IF(sample_log!$C224="Seneca", "seneca_mon", "one"))))</f>
        <v/>
      </c>
    </row>
    <row r="225" spans="6:6" s="2" customFormat="1" ht="15" x14ac:dyDescent="0.25">
      <c r="F225" s="22" t="str">
        <f>IF(sample_log!$C225="", "", IF(sample_log!$C225="Chapin", "chapin_mon", IF(sample_log!$C225="Oatka", "oatka_mon", IF(sample_log!$C225="Seneca", "seneca_mon", "one"))))</f>
        <v/>
      </c>
    </row>
    <row r="226" spans="6:6" s="2" customFormat="1" ht="15" x14ac:dyDescent="0.25">
      <c r="F226" s="22" t="str">
        <f>IF(sample_log!$C226="", "", IF(sample_log!$C226="Chapin", "chapin_mon", IF(sample_log!$C226="Oatka", "oatka_mon", IF(sample_log!$C226="Seneca", "seneca_mon", "one"))))</f>
        <v/>
      </c>
    </row>
    <row r="227" spans="6:6" s="2" customFormat="1" ht="15" x14ac:dyDescent="0.25">
      <c r="F227" s="22" t="str">
        <f>IF(sample_log!$C227="", "", IF(sample_log!$C227="Chapin", "chapin_mon", IF(sample_log!$C227="Oatka", "oatka_mon", IF(sample_log!$C227="Seneca", "seneca_mon", "one"))))</f>
        <v/>
      </c>
    </row>
    <row r="228" spans="6:6" s="2" customFormat="1" ht="15" x14ac:dyDescent="0.25">
      <c r="F228" s="22" t="str">
        <f>IF(sample_log!$C228="", "", IF(sample_log!$C228="Chapin", "chapin_mon", IF(sample_log!$C228="Oatka", "oatka_mon", IF(sample_log!$C228="Seneca", "seneca_mon", "one"))))</f>
        <v/>
      </c>
    </row>
    <row r="229" spans="6:6" s="2" customFormat="1" ht="15" x14ac:dyDescent="0.25">
      <c r="F229" s="22" t="str">
        <f>IF(sample_log!$C229="", "", IF(sample_log!$C229="Chapin", "chapin_mon", IF(sample_log!$C229="Oatka", "oatka_mon", IF(sample_log!$C229="Seneca", "seneca_mon", "one"))))</f>
        <v/>
      </c>
    </row>
    <row r="230" spans="6:6" s="2" customFormat="1" ht="15" x14ac:dyDescent="0.25">
      <c r="F230" s="22" t="str">
        <f>IF(sample_log!$C230="", "", IF(sample_log!$C230="Chapin", "chapin_mon", IF(sample_log!$C230="Oatka", "oatka_mon", IF(sample_log!$C230="Seneca", "seneca_mon", "one"))))</f>
        <v/>
      </c>
    </row>
    <row r="231" spans="6:6" s="2" customFormat="1" ht="15" x14ac:dyDescent="0.25">
      <c r="F231" s="22" t="str">
        <f>IF(sample_log!$C231="", "", IF(sample_log!$C231="Chapin", "chapin_mon", IF(sample_log!$C231="Oatka", "oatka_mon", IF(sample_log!$C231="Seneca", "seneca_mon", "one"))))</f>
        <v/>
      </c>
    </row>
    <row r="232" spans="6:6" s="2" customFormat="1" ht="15" x14ac:dyDescent="0.25">
      <c r="F232" s="22" t="str">
        <f>IF(sample_log!$C232="", "", IF(sample_log!$C232="Chapin", "chapin_mon", IF(sample_log!$C232="Oatka", "oatka_mon", IF(sample_log!$C232="Seneca", "seneca_mon", "one"))))</f>
        <v/>
      </c>
    </row>
    <row r="233" spans="6:6" s="2" customFormat="1" ht="15" x14ac:dyDescent="0.25">
      <c r="F233" s="22" t="str">
        <f>IF(sample_log!$C233="", "", IF(sample_log!$C233="Chapin", "chapin_mon", IF(sample_log!$C233="Oatka", "oatka_mon", IF(sample_log!$C233="Seneca", "seneca_mon", "one"))))</f>
        <v/>
      </c>
    </row>
    <row r="234" spans="6:6" s="2" customFormat="1" ht="15" x14ac:dyDescent="0.25">
      <c r="F234" s="22" t="str">
        <f>IF(sample_log!$C234="", "", IF(sample_log!$C234="Chapin", "chapin_mon", IF(sample_log!$C234="Oatka", "oatka_mon", IF(sample_log!$C234="Seneca", "seneca_mon", "one"))))</f>
        <v/>
      </c>
    </row>
    <row r="235" spans="6:6" s="2" customFormat="1" ht="15" x14ac:dyDescent="0.25">
      <c r="F235" s="22" t="str">
        <f>IF(sample_log!$C235="", "", IF(sample_log!$C235="Chapin", "chapin_mon", IF(sample_log!$C235="Oatka", "oatka_mon", IF(sample_log!$C235="Seneca", "seneca_mon", "one"))))</f>
        <v/>
      </c>
    </row>
    <row r="236" spans="6:6" s="2" customFormat="1" ht="15" x14ac:dyDescent="0.25">
      <c r="F236" s="22" t="str">
        <f>IF(sample_log!$C236="", "", IF(sample_log!$C236="Chapin", "chapin_mon", IF(sample_log!$C236="Oatka", "oatka_mon", IF(sample_log!$C236="Seneca", "seneca_mon", "one"))))</f>
        <v/>
      </c>
    </row>
    <row r="237" spans="6:6" s="2" customFormat="1" ht="15" x14ac:dyDescent="0.25">
      <c r="F237" s="22" t="str">
        <f>IF(sample_log!$C237="", "", IF(sample_log!$C237="Chapin", "chapin_mon", IF(sample_log!$C237="Oatka", "oatka_mon", IF(sample_log!$C237="Seneca", "seneca_mon", "one"))))</f>
        <v/>
      </c>
    </row>
    <row r="238" spans="6:6" s="2" customFormat="1" ht="15" x14ac:dyDescent="0.25">
      <c r="F238" s="22" t="str">
        <f>IF(sample_log!$C238="", "", IF(sample_log!$C238="Chapin", "chapin_mon", IF(sample_log!$C238="Oatka", "oatka_mon", IF(sample_log!$C238="Seneca", "seneca_mon", "one"))))</f>
        <v/>
      </c>
    </row>
    <row r="239" spans="6:6" s="2" customFormat="1" ht="15" x14ac:dyDescent="0.25">
      <c r="F239" s="22" t="str">
        <f>IF(sample_log!$C239="", "", IF(sample_log!$C239="Chapin", "chapin_mon", IF(sample_log!$C239="Oatka", "oatka_mon", IF(sample_log!$C239="Seneca", "seneca_mon", "one"))))</f>
        <v/>
      </c>
    </row>
    <row r="240" spans="6:6" s="2" customFormat="1" ht="15" x14ac:dyDescent="0.25">
      <c r="F240" s="22" t="str">
        <f>IF(sample_log!$C240="", "", IF(sample_log!$C240="Chapin", "chapin_mon", IF(sample_log!$C240="Oatka", "oatka_mon", IF(sample_log!$C240="Seneca", "seneca_mon", "one"))))</f>
        <v/>
      </c>
    </row>
    <row r="241" spans="6:6" s="2" customFormat="1" ht="15" x14ac:dyDescent="0.25">
      <c r="F241" s="22" t="str">
        <f>IF(sample_log!$C241="", "", IF(sample_log!$C241="Chapin", "chapin_mon", IF(sample_log!$C241="Oatka", "oatka_mon", IF(sample_log!$C241="Seneca", "seneca_mon", "one"))))</f>
        <v/>
      </c>
    </row>
    <row r="242" spans="6:6" s="2" customFormat="1" ht="15" x14ac:dyDescent="0.25">
      <c r="F242" s="22" t="str">
        <f>IF(sample_log!$C242="", "", IF(sample_log!$C242="Chapin", "chapin_mon", IF(sample_log!$C242="Oatka", "oatka_mon", IF(sample_log!$C242="Seneca", "seneca_mon", "one"))))</f>
        <v/>
      </c>
    </row>
    <row r="243" spans="6:6" s="2" customFormat="1" ht="15" x14ac:dyDescent="0.25">
      <c r="F243" s="22" t="str">
        <f>IF(sample_log!$C243="", "", IF(sample_log!$C243="Chapin", "chapin_mon", IF(sample_log!$C243="Oatka", "oatka_mon", IF(sample_log!$C243="Seneca", "seneca_mon", "one"))))</f>
        <v/>
      </c>
    </row>
    <row r="244" spans="6:6" s="2" customFormat="1" ht="15" x14ac:dyDescent="0.25">
      <c r="F244" s="22" t="str">
        <f>IF(sample_log!$C244="", "", IF(sample_log!$C244="Chapin", "chapin_mon", IF(sample_log!$C244="Oatka", "oatka_mon", IF(sample_log!$C244="Seneca", "seneca_mon", "one"))))</f>
        <v/>
      </c>
    </row>
    <row r="245" spans="6:6" s="2" customFormat="1" ht="15" x14ac:dyDescent="0.25">
      <c r="F245" s="22" t="str">
        <f>IF(sample_log!$C245="", "", IF(sample_log!$C245="Chapin", "chapin_mon", IF(sample_log!$C245="Oatka", "oatka_mon", IF(sample_log!$C245="Seneca", "seneca_mon", "one"))))</f>
        <v/>
      </c>
    </row>
    <row r="246" spans="6:6" s="2" customFormat="1" ht="15" x14ac:dyDescent="0.25">
      <c r="F246" s="22" t="str">
        <f>IF(sample_log!$C246="", "", IF(sample_log!$C246="Chapin", "chapin_mon", IF(sample_log!$C246="Oatka", "oatka_mon", IF(sample_log!$C246="Seneca", "seneca_mon", "one"))))</f>
        <v/>
      </c>
    </row>
    <row r="247" spans="6:6" s="2" customFormat="1" ht="15" x14ac:dyDescent="0.25">
      <c r="F247" s="22" t="str">
        <f>IF(sample_log!$C247="", "", IF(sample_log!$C247="Chapin", "chapin_mon", IF(sample_log!$C247="Oatka", "oatka_mon", IF(sample_log!$C247="Seneca", "seneca_mon", "one"))))</f>
        <v/>
      </c>
    </row>
    <row r="248" spans="6:6" s="2" customFormat="1" ht="15" x14ac:dyDescent="0.25">
      <c r="F248" s="22" t="str">
        <f>IF(sample_log!$C248="", "", IF(sample_log!$C248="Chapin", "chapin_mon", IF(sample_log!$C248="Oatka", "oatka_mon", IF(sample_log!$C248="Seneca", "seneca_mon", "one"))))</f>
        <v/>
      </c>
    </row>
    <row r="249" spans="6:6" s="2" customFormat="1" ht="15" x14ac:dyDescent="0.25">
      <c r="F249" s="22" t="str">
        <f>IF(sample_log!$C249="", "", IF(sample_log!$C249="Chapin", "chapin_mon", IF(sample_log!$C249="Oatka", "oatka_mon", IF(sample_log!$C249="Seneca", "seneca_mon", "one"))))</f>
        <v/>
      </c>
    </row>
    <row r="250" spans="6:6" s="2" customFormat="1" ht="15" x14ac:dyDescent="0.25">
      <c r="F250" s="22" t="str">
        <f>IF(sample_log!$C250="", "", IF(sample_log!$C250="Chapin", "chapin_mon", IF(sample_log!$C250="Oatka", "oatka_mon", IF(sample_log!$C250="Seneca", "seneca_mon", "one"))))</f>
        <v/>
      </c>
    </row>
    <row r="251" spans="6:6" s="2" customFormat="1" ht="15" x14ac:dyDescent="0.25">
      <c r="F251" s="22" t="str">
        <f>IF(sample_log!$C251="", "", IF(sample_log!$C251="Chapin", "chapin_mon", IF(sample_log!$C251="Oatka", "oatka_mon", IF(sample_log!$C251="Seneca", "seneca_mon", "one"))))</f>
        <v/>
      </c>
    </row>
    <row r="252" spans="6:6" s="2" customFormat="1" ht="15" x14ac:dyDescent="0.25">
      <c r="F252" s="22" t="str">
        <f>IF(sample_log!$C252="", "", IF(sample_log!$C252="Chapin", "chapin_mon", IF(sample_log!$C252="Oatka", "oatka_mon", IF(sample_log!$C252="Seneca", "seneca_mon", "one"))))</f>
        <v/>
      </c>
    </row>
    <row r="253" spans="6:6" s="2" customFormat="1" ht="15" x14ac:dyDescent="0.25">
      <c r="F253" s="22" t="str">
        <f>IF(sample_log!$C253="", "", IF(sample_log!$C253="Chapin", "chapin_mon", IF(sample_log!$C253="Oatka", "oatka_mon", IF(sample_log!$C253="Seneca", "seneca_mon", "one"))))</f>
        <v/>
      </c>
    </row>
    <row r="254" spans="6:6" s="2" customFormat="1" ht="15" x14ac:dyDescent="0.25">
      <c r="F254" s="22" t="str">
        <f>IF(sample_log!$C254="", "", IF(sample_log!$C254="Chapin", "chapin_mon", IF(sample_log!$C254="Oatka", "oatka_mon", IF(sample_log!$C254="Seneca", "seneca_mon", "one"))))</f>
        <v/>
      </c>
    </row>
    <row r="255" spans="6:6" s="2" customFormat="1" ht="15" x14ac:dyDescent="0.25">
      <c r="F255" s="22" t="str">
        <f>IF(sample_log!$C255="", "", IF(sample_log!$C255="Chapin", "chapin_mon", IF(sample_log!$C255="Oatka", "oatka_mon", IF(sample_log!$C255="Seneca", "seneca_mon", "one"))))</f>
        <v/>
      </c>
    </row>
    <row r="256" spans="6:6" s="2" customFormat="1" ht="15" x14ac:dyDescent="0.25">
      <c r="F256" s="22" t="str">
        <f>IF(sample_log!$C256="", "", IF(sample_log!$C256="Chapin", "chapin_mon", IF(sample_log!$C256="Oatka", "oatka_mon", IF(sample_log!$C256="Seneca", "seneca_mon", "one"))))</f>
        <v/>
      </c>
    </row>
    <row r="257" spans="6:6" s="2" customFormat="1" ht="15" x14ac:dyDescent="0.25">
      <c r="F257" s="22" t="str">
        <f>IF(sample_log!$C257="", "", IF(sample_log!$C257="Chapin", "chapin_mon", IF(sample_log!$C257="Oatka", "oatka_mon", IF(sample_log!$C257="Seneca", "seneca_mon", "one"))))</f>
        <v/>
      </c>
    </row>
    <row r="258" spans="6:6" s="2" customFormat="1" ht="15" x14ac:dyDescent="0.25">
      <c r="F258" s="22" t="str">
        <f>IF(sample_log!$C258="", "", IF(sample_log!$C258="Chapin", "chapin_mon", IF(sample_log!$C258="Oatka", "oatka_mon", IF(sample_log!$C258="Seneca", "seneca_mon", "one"))))</f>
        <v/>
      </c>
    </row>
    <row r="259" spans="6:6" s="2" customFormat="1" ht="15" x14ac:dyDescent="0.25">
      <c r="F259" s="22" t="str">
        <f>IF(sample_log!$C259="", "", IF(sample_log!$C259="Chapin", "chapin_mon", IF(sample_log!$C259="Oatka", "oatka_mon", IF(sample_log!$C259="Seneca", "seneca_mon", "one"))))</f>
        <v/>
      </c>
    </row>
    <row r="260" spans="6:6" s="2" customFormat="1" ht="15" x14ac:dyDescent="0.25">
      <c r="F260" s="22" t="str">
        <f>IF(sample_log!$C260="", "", IF(sample_log!$C260="Chapin", "chapin_mon", IF(sample_log!$C260="Oatka", "oatka_mon", IF(sample_log!$C260="Seneca", "seneca_mon", "one"))))</f>
        <v/>
      </c>
    </row>
    <row r="261" spans="6:6" s="2" customFormat="1" ht="15" x14ac:dyDescent="0.25">
      <c r="F261" s="22" t="str">
        <f>IF(sample_log!$C261="", "", IF(sample_log!$C261="Chapin", "chapin_mon", IF(sample_log!$C261="Oatka", "oatka_mon", IF(sample_log!$C261="Seneca", "seneca_mon", "one"))))</f>
        <v/>
      </c>
    </row>
    <row r="262" spans="6:6" s="2" customFormat="1" ht="15" x14ac:dyDescent="0.25">
      <c r="F262" s="22" t="str">
        <f>IF(sample_log!$C262="", "", IF(sample_log!$C262="Chapin", "chapin_mon", IF(sample_log!$C262="Oatka", "oatka_mon", IF(sample_log!$C262="Seneca", "seneca_mon", "one"))))</f>
        <v/>
      </c>
    </row>
    <row r="263" spans="6:6" s="2" customFormat="1" ht="15" x14ac:dyDescent="0.25">
      <c r="F263" s="22" t="str">
        <f>IF(sample_log!$C263="", "", IF(sample_log!$C263="Chapin", "chapin_mon", IF(sample_log!$C263="Oatka", "oatka_mon", IF(sample_log!$C263="Seneca", "seneca_mon", "one"))))</f>
        <v/>
      </c>
    </row>
    <row r="264" spans="6:6" s="2" customFormat="1" ht="15" x14ac:dyDescent="0.25">
      <c r="F264" s="22" t="str">
        <f>IF(sample_log!$C264="", "", IF(sample_log!$C264="Chapin", "chapin_mon", IF(sample_log!$C264="Oatka", "oatka_mon", IF(sample_log!$C264="Seneca", "seneca_mon", "one"))))</f>
        <v/>
      </c>
    </row>
    <row r="265" spans="6:6" s="2" customFormat="1" ht="15" x14ac:dyDescent="0.25">
      <c r="F265" s="22" t="str">
        <f>IF(sample_log!$C265="", "", IF(sample_log!$C265="Chapin", "chapin_mon", IF(sample_log!$C265="Oatka", "oatka_mon", IF(sample_log!$C265="Seneca", "seneca_mon", "one"))))</f>
        <v/>
      </c>
    </row>
    <row r="266" spans="6:6" s="2" customFormat="1" ht="15" x14ac:dyDescent="0.25">
      <c r="F266" s="22" t="str">
        <f>IF(sample_log!$C266="", "", IF(sample_log!$C266="Chapin", "chapin_mon", IF(sample_log!$C266="Oatka", "oatka_mon", IF(sample_log!$C266="Seneca", "seneca_mon", "one"))))</f>
        <v/>
      </c>
    </row>
    <row r="267" spans="6:6" s="2" customFormat="1" ht="15" x14ac:dyDescent="0.25">
      <c r="F267" s="22" t="str">
        <f>IF(sample_log!$C267="", "", IF(sample_log!$C267="Chapin", "chapin_mon", IF(sample_log!$C267="Oatka", "oatka_mon", IF(sample_log!$C267="Seneca", "seneca_mon", "one"))))</f>
        <v/>
      </c>
    </row>
    <row r="268" spans="6:6" s="2" customFormat="1" ht="15" x14ac:dyDescent="0.25">
      <c r="F268" s="22" t="str">
        <f>IF(sample_log!$C268="", "", IF(sample_log!$C268="Chapin", "chapin_mon", IF(sample_log!$C268="Oatka", "oatka_mon", IF(sample_log!$C268="Seneca", "seneca_mon", "one"))))</f>
        <v/>
      </c>
    </row>
    <row r="269" spans="6:6" s="2" customFormat="1" ht="15" x14ac:dyDescent="0.25">
      <c r="F269" s="22" t="str">
        <f>IF(sample_log!$C269="", "", IF(sample_log!$C269="Chapin", "chapin_mon", IF(sample_log!$C269="Oatka", "oatka_mon", IF(sample_log!$C269="Seneca", "seneca_mon", "one"))))</f>
        <v/>
      </c>
    </row>
    <row r="270" spans="6:6" s="2" customFormat="1" ht="15" x14ac:dyDescent="0.25">
      <c r="F270" s="22" t="str">
        <f>IF(sample_log!$C270="", "", IF(sample_log!$C270="Chapin", "chapin_mon", IF(sample_log!$C270="Oatka", "oatka_mon", IF(sample_log!$C270="Seneca", "seneca_mon", "one"))))</f>
        <v/>
      </c>
    </row>
    <row r="271" spans="6:6" s="2" customFormat="1" ht="15" x14ac:dyDescent="0.25">
      <c r="F271" s="22" t="str">
        <f>IF(sample_log!$C271="", "", IF(sample_log!$C271="Chapin", "chapin_mon", IF(sample_log!$C271="Oatka", "oatka_mon", IF(sample_log!$C271="Seneca", "seneca_mon", "one"))))</f>
        <v/>
      </c>
    </row>
    <row r="272" spans="6:6" s="2" customFormat="1" ht="15" x14ac:dyDescent="0.25">
      <c r="F272" s="22" t="str">
        <f>IF(sample_log!$C272="", "", IF(sample_log!$C272="Chapin", "chapin_mon", IF(sample_log!$C272="Oatka", "oatka_mon", IF(sample_log!$C272="Seneca", "seneca_mon", "one"))))</f>
        <v/>
      </c>
    </row>
    <row r="273" spans="6:6" s="2" customFormat="1" ht="15" x14ac:dyDescent="0.25">
      <c r="F273" s="22" t="str">
        <f>IF(sample_log!$C273="", "", IF(sample_log!$C273="Chapin", "chapin_mon", IF(sample_log!$C273="Oatka", "oatka_mon", IF(sample_log!$C273="Seneca", "seneca_mon", "one"))))</f>
        <v/>
      </c>
    </row>
    <row r="274" spans="6:6" s="2" customFormat="1" ht="15" x14ac:dyDescent="0.25">
      <c r="F274" s="22" t="str">
        <f>IF(sample_log!$C274="", "", IF(sample_log!$C274="Chapin", "chapin_mon", IF(sample_log!$C274="Oatka", "oatka_mon", IF(sample_log!$C274="Seneca", "seneca_mon", "one"))))</f>
        <v/>
      </c>
    </row>
    <row r="275" spans="6:6" s="2" customFormat="1" ht="15" x14ac:dyDescent="0.25">
      <c r="F275" s="22" t="str">
        <f>IF(sample_log!$C275="", "", IF(sample_log!$C275="Chapin", "chapin_mon", IF(sample_log!$C275="Oatka", "oatka_mon", IF(sample_log!$C275="Seneca", "seneca_mon", "one"))))</f>
        <v/>
      </c>
    </row>
    <row r="276" spans="6:6" s="2" customFormat="1" ht="15" x14ac:dyDescent="0.25">
      <c r="F276" s="22" t="str">
        <f>IF(sample_log!$C276="", "", IF(sample_log!$C276="Chapin", "chapin_mon", IF(sample_log!$C276="Oatka", "oatka_mon", IF(sample_log!$C276="Seneca", "seneca_mon", "one"))))</f>
        <v/>
      </c>
    </row>
    <row r="277" spans="6:6" s="2" customFormat="1" ht="15" x14ac:dyDescent="0.25">
      <c r="F277" s="22" t="str">
        <f>IF(sample_log!$C277="", "", IF(sample_log!$C277="Chapin", "chapin_mon", IF(sample_log!$C277="Oatka", "oatka_mon", IF(sample_log!$C277="Seneca", "seneca_mon", "one"))))</f>
        <v/>
      </c>
    </row>
    <row r="278" spans="6:6" s="2" customFormat="1" ht="15" x14ac:dyDescent="0.25">
      <c r="F278" s="22" t="str">
        <f>IF(sample_log!$C278="", "", IF(sample_log!$C278="Chapin", "chapin_mon", IF(sample_log!$C278="Oatka", "oatka_mon", IF(sample_log!$C278="Seneca", "seneca_mon", "one"))))</f>
        <v/>
      </c>
    </row>
    <row r="279" spans="6:6" s="2" customFormat="1" ht="15" x14ac:dyDescent="0.25">
      <c r="F279" s="22" t="str">
        <f>IF(sample_log!$C279="", "", IF(sample_log!$C279="Chapin", "chapin_mon", IF(sample_log!$C279="Oatka", "oatka_mon", IF(sample_log!$C279="Seneca", "seneca_mon", "one"))))</f>
        <v/>
      </c>
    </row>
    <row r="280" spans="6:6" s="2" customFormat="1" ht="15" x14ac:dyDescent="0.25">
      <c r="F280" s="22" t="str">
        <f>IF(sample_log!$C280="", "", IF(sample_log!$C280="Chapin", "chapin_mon", IF(sample_log!$C280="Oatka", "oatka_mon", IF(sample_log!$C280="Seneca", "seneca_mon", "one"))))</f>
        <v/>
      </c>
    </row>
    <row r="281" spans="6:6" s="2" customFormat="1" ht="15" x14ac:dyDescent="0.25">
      <c r="F281" s="22" t="str">
        <f>IF(sample_log!$C281="", "", IF(sample_log!$C281="Chapin", "chapin_mon", IF(sample_log!$C281="Oatka", "oatka_mon", IF(sample_log!$C281="Seneca", "seneca_mon", "one"))))</f>
        <v/>
      </c>
    </row>
    <row r="282" spans="6:6" s="2" customFormat="1" ht="15" x14ac:dyDescent="0.25">
      <c r="F282" s="22" t="str">
        <f>IF(sample_log!$C282="", "", IF(sample_log!$C282="Chapin", "chapin_mon", IF(sample_log!$C282="Oatka", "oatka_mon", IF(sample_log!$C282="Seneca", "seneca_mon", "one"))))</f>
        <v/>
      </c>
    </row>
    <row r="283" spans="6:6" s="2" customFormat="1" ht="15" x14ac:dyDescent="0.25">
      <c r="F283" s="22" t="str">
        <f>IF(sample_log!$C283="", "", IF(sample_log!$C283="Chapin", "chapin_mon", IF(sample_log!$C283="Oatka", "oatka_mon", IF(sample_log!$C283="Seneca", "seneca_mon", "one"))))</f>
        <v/>
      </c>
    </row>
    <row r="284" spans="6:6" s="2" customFormat="1" ht="15" x14ac:dyDescent="0.25">
      <c r="F284" s="22" t="str">
        <f>IF(sample_log!$C284="", "", IF(sample_log!$C284="Chapin", "chapin_mon", IF(sample_log!$C284="Oatka", "oatka_mon", IF(sample_log!$C284="Seneca", "seneca_mon", "one"))))</f>
        <v/>
      </c>
    </row>
    <row r="285" spans="6:6" s="2" customFormat="1" ht="15" x14ac:dyDescent="0.25">
      <c r="F285" s="22" t="str">
        <f>IF(sample_log!$C285="", "", IF(sample_log!$C285="Chapin", "chapin_mon", IF(sample_log!$C285="Oatka", "oatka_mon", IF(sample_log!$C285="Seneca", "seneca_mon", "one"))))</f>
        <v/>
      </c>
    </row>
    <row r="286" spans="6:6" s="2" customFormat="1" ht="15" x14ac:dyDescent="0.25">
      <c r="F286" s="22" t="str">
        <f>IF(sample_log!$C286="", "", IF(sample_log!$C286="Chapin", "chapin_mon", IF(sample_log!$C286="Oatka", "oatka_mon", IF(sample_log!$C286="Seneca", "seneca_mon", "one"))))</f>
        <v/>
      </c>
    </row>
    <row r="287" spans="6:6" s="2" customFormat="1" ht="15" x14ac:dyDescent="0.25">
      <c r="F287" s="22" t="str">
        <f>IF(sample_log!$C287="", "", IF(sample_log!$C287="Chapin", "chapin_mon", IF(sample_log!$C287="Oatka", "oatka_mon", IF(sample_log!$C287="Seneca", "seneca_mon", "one"))))</f>
        <v/>
      </c>
    </row>
    <row r="288" spans="6:6" s="2" customFormat="1" ht="15" x14ac:dyDescent="0.25">
      <c r="F288" s="22" t="str">
        <f>IF(sample_log!$C288="", "", IF(sample_log!$C288="Chapin", "chapin_mon", IF(sample_log!$C288="Oatka", "oatka_mon", IF(sample_log!$C288="Seneca", "seneca_mon", "one"))))</f>
        <v/>
      </c>
    </row>
    <row r="289" spans="6:6" s="2" customFormat="1" ht="15" x14ac:dyDescent="0.25">
      <c r="F289" s="22" t="str">
        <f>IF(sample_log!$C289="", "", IF(sample_log!$C289="Chapin", "chapin_mon", IF(sample_log!$C289="Oatka", "oatka_mon", IF(sample_log!$C289="Seneca", "seneca_mon", "one"))))</f>
        <v/>
      </c>
    </row>
    <row r="290" spans="6:6" s="2" customFormat="1" ht="15" x14ac:dyDescent="0.25">
      <c r="F290" s="22" t="str">
        <f>IF(sample_log!$C290="", "", IF(sample_log!$C290="Chapin", "chapin_mon", IF(sample_log!$C290="Oatka", "oatka_mon", IF(sample_log!$C290="Seneca", "seneca_mon", "one"))))</f>
        <v/>
      </c>
    </row>
    <row r="291" spans="6:6" s="2" customFormat="1" ht="15" x14ac:dyDescent="0.25">
      <c r="F291" s="22" t="str">
        <f>IF(sample_log!$C291="", "", IF(sample_log!$C291="Chapin", "chapin_mon", IF(sample_log!$C291="Oatka", "oatka_mon", IF(sample_log!$C291="Seneca", "seneca_mon", "one"))))</f>
        <v/>
      </c>
    </row>
    <row r="292" spans="6:6" s="2" customFormat="1" ht="15" x14ac:dyDescent="0.25">
      <c r="F292" s="22" t="str">
        <f>IF(sample_log!$C292="", "", IF(sample_log!$C292="Chapin", "chapin_mon", IF(sample_log!$C292="Oatka", "oatka_mon", IF(sample_log!$C292="Seneca", "seneca_mon", "one"))))</f>
        <v/>
      </c>
    </row>
    <row r="293" spans="6:6" s="2" customFormat="1" ht="15" x14ac:dyDescent="0.25">
      <c r="F293" s="22" t="str">
        <f>IF(sample_log!$C293="", "", IF(sample_log!$C293="Chapin", "chapin_mon", IF(sample_log!$C293="Oatka", "oatka_mon", IF(sample_log!$C293="Seneca", "seneca_mon", "one"))))</f>
        <v/>
      </c>
    </row>
    <row r="294" spans="6:6" s="2" customFormat="1" ht="15" x14ac:dyDescent="0.25">
      <c r="F294" s="22" t="str">
        <f>IF(sample_log!$C294="", "", IF(sample_log!$C294="Chapin", "chapin_mon", IF(sample_log!$C294="Oatka", "oatka_mon", IF(sample_log!$C294="Seneca", "seneca_mon", "one"))))</f>
        <v/>
      </c>
    </row>
    <row r="295" spans="6:6" s="2" customFormat="1" ht="15" x14ac:dyDescent="0.25">
      <c r="F295" s="22" t="str">
        <f>IF(sample_log!$C295="", "", IF(sample_log!$C295="Chapin", "chapin_mon", IF(sample_log!$C295="Oatka", "oatka_mon", IF(sample_log!$C295="Seneca", "seneca_mon", "one"))))</f>
        <v/>
      </c>
    </row>
    <row r="296" spans="6:6" s="2" customFormat="1" ht="15" x14ac:dyDescent="0.25">
      <c r="F296" s="22" t="str">
        <f>IF(sample_log!$C296="", "", IF(sample_log!$C296="Chapin", "chapin_mon", IF(sample_log!$C296="Oatka", "oatka_mon", IF(sample_log!$C296="Seneca", "seneca_mon", "one"))))</f>
        <v/>
      </c>
    </row>
    <row r="297" spans="6:6" s="2" customFormat="1" ht="15" x14ac:dyDescent="0.25">
      <c r="F297" s="22" t="str">
        <f>IF(sample_log!$C297="", "", IF(sample_log!$C297="Chapin", "chapin_mon", IF(sample_log!$C297="Oatka", "oatka_mon", IF(sample_log!$C297="Seneca", "seneca_mon", "one"))))</f>
        <v/>
      </c>
    </row>
    <row r="298" spans="6:6" s="2" customFormat="1" ht="15" x14ac:dyDescent="0.25">
      <c r="F298" s="22" t="str">
        <f>IF(sample_log!$C298="", "", IF(sample_log!$C298="Chapin", "chapin_mon", IF(sample_log!$C298="Oatka", "oatka_mon", IF(sample_log!$C298="Seneca", "seneca_mon", "one"))))</f>
        <v/>
      </c>
    </row>
    <row r="299" spans="6:6" s="2" customFormat="1" ht="15" x14ac:dyDescent="0.25">
      <c r="F299" s="22" t="str">
        <f>IF(sample_log!$C299="", "", IF(sample_log!$C299="Chapin", "chapin_mon", IF(sample_log!$C299="Oatka", "oatka_mon", IF(sample_log!$C299="Seneca", "seneca_mon", "one"))))</f>
        <v/>
      </c>
    </row>
    <row r="300" spans="6:6" s="2" customFormat="1" ht="15" x14ac:dyDescent="0.25">
      <c r="F300" s="22" t="str">
        <f>IF(sample_log!$C300="", "", IF(sample_log!$C300="Chapin", "chapin_mon", IF(sample_log!$C300="Oatka", "oatka_mon", IF(sample_log!$C300="Seneca", "seneca_mon", "one"))))</f>
        <v/>
      </c>
    </row>
    <row r="301" spans="6:6" s="2" customFormat="1" ht="15" x14ac:dyDescent="0.25">
      <c r="F301" s="22" t="str">
        <f>IF(sample_log!$C301="", "", IF(sample_log!$C301="Chapin", "chapin_mon", IF(sample_log!$C301="Oatka", "oatka_mon", IF(sample_log!$C301="Seneca", "seneca_mon", "one"))))</f>
        <v/>
      </c>
    </row>
    <row r="302" spans="6:6" s="2" customFormat="1" ht="15" x14ac:dyDescent="0.25">
      <c r="F302" s="22" t="str">
        <f>IF(sample_log!$C302="", "", IF(sample_log!$C302="Chapin", "chapin_mon", IF(sample_log!$C302="Oatka", "oatka_mon", IF(sample_log!$C302="Seneca", "seneca_mon", "one"))))</f>
        <v/>
      </c>
    </row>
    <row r="303" spans="6:6" s="2" customFormat="1" ht="15" x14ac:dyDescent="0.25">
      <c r="F303" s="22" t="str">
        <f>IF(sample_log!$C303="", "", IF(sample_log!$C303="Chapin", "chapin_mon", IF(sample_log!$C303="Oatka", "oatka_mon", IF(sample_log!$C303="Seneca", "seneca_mon", "one"))))</f>
        <v/>
      </c>
    </row>
    <row r="304" spans="6:6" s="2" customFormat="1" ht="15" x14ac:dyDescent="0.25">
      <c r="F304" s="22" t="str">
        <f>IF(sample_log!$C304="", "", IF(sample_log!$C304="Chapin", "chapin_mon", IF(sample_log!$C304="Oatka", "oatka_mon", IF(sample_log!$C304="Seneca", "seneca_mon", "one"))))</f>
        <v/>
      </c>
    </row>
    <row r="305" spans="6:6" s="2" customFormat="1" ht="15" x14ac:dyDescent="0.25">
      <c r="F305" s="22" t="str">
        <f>IF(sample_log!$C305="", "", IF(sample_log!$C305="Chapin", "chapin_mon", IF(sample_log!$C305="Oatka", "oatka_mon", IF(sample_log!$C305="Seneca", "seneca_mon", "one"))))</f>
        <v/>
      </c>
    </row>
    <row r="306" spans="6:6" s="2" customFormat="1" ht="15" x14ac:dyDescent="0.25">
      <c r="F306" s="22" t="str">
        <f>IF(sample_log!$C306="", "", IF(sample_log!$C306="Chapin", "chapin_mon", IF(sample_log!$C306="Oatka", "oatka_mon", IF(sample_log!$C306="Seneca", "seneca_mon", "one"))))</f>
        <v/>
      </c>
    </row>
    <row r="307" spans="6:6" s="2" customFormat="1" ht="15" x14ac:dyDescent="0.25">
      <c r="F307" s="22" t="str">
        <f>IF(sample_log!$C307="", "", IF(sample_log!$C307="Chapin", "chapin_mon", IF(sample_log!$C307="Oatka", "oatka_mon", IF(sample_log!$C307="Seneca", "seneca_mon", "one"))))</f>
        <v/>
      </c>
    </row>
    <row r="308" spans="6:6" s="2" customFormat="1" ht="15" x14ac:dyDescent="0.25">
      <c r="F308" s="22" t="str">
        <f>IF(sample_log!$C308="", "", IF(sample_log!$C308="Chapin", "chapin_mon", IF(sample_log!$C308="Oatka", "oatka_mon", IF(sample_log!$C308="Seneca", "seneca_mon", "one"))))</f>
        <v/>
      </c>
    </row>
    <row r="309" spans="6:6" s="2" customFormat="1" ht="15" x14ac:dyDescent="0.25">
      <c r="F309" s="22" t="str">
        <f>IF(sample_log!$C309="", "", IF(sample_log!$C309="Chapin", "chapin_mon", IF(sample_log!$C309="Oatka", "oatka_mon", IF(sample_log!$C309="Seneca", "seneca_mon", "one"))))</f>
        <v/>
      </c>
    </row>
    <row r="310" spans="6:6" s="2" customFormat="1" ht="15" x14ac:dyDescent="0.25">
      <c r="F310" s="22" t="str">
        <f>IF(sample_log!$C310="", "", IF(sample_log!$C310="Chapin", "chapin_mon", IF(sample_log!$C310="Oatka", "oatka_mon", IF(sample_log!$C310="Seneca", "seneca_mon", "one"))))</f>
        <v/>
      </c>
    </row>
    <row r="311" spans="6:6" s="2" customFormat="1" ht="15" x14ac:dyDescent="0.25">
      <c r="F311" s="22" t="str">
        <f>IF(sample_log!$C311="", "", IF(sample_log!$C311="Chapin", "chapin_mon", IF(sample_log!$C311="Oatka", "oatka_mon", IF(sample_log!$C311="Seneca", "seneca_mon", "one"))))</f>
        <v/>
      </c>
    </row>
    <row r="312" spans="6:6" s="2" customFormat="1" ht="15" x14ac:dyDescent="0.25">
      <c r="F312" s="22" t="str">
        <f>IF(sample_log!$C312="", "", IF(sample_log!$C312="Chapin", "chapin_mon", IF(sample_log!$C312="Oatka", "oatka_mon", IF(sample_log!$C312="Seneca", "seneca_mon", "one"))))</f>
        <v/>
      </c>
    </row>
    <row r="313" spans="6:6" s="2" customFormat="1" ht="15" x14ac:dyDescent="0.25">
      <c r="F313" s="22" t="str">
        <f>IF(sample_log!$C313="", "", IF(sample_log!$C313="Chapin", "chapin_mon", IF(sample_log!$C313="Oatka", "oatka_mon", IF(sample_log!$C313="Seneca", "seneca_mon", "one"))))</f>
        <v/>
      </c>
    </row>
    <row r="314" spans="6:6" s="2" customFormat="1" ht="15" x14ac:dyDescent="0.25">
      <c r="F314" s="22" t="str">
        <f>IF(sample_log!$C314="", "", IF(sample_log!$C314="Chapin", "chapin_mon", IF(sample_log!$C314="Oatka", "oatka_mon", IF(sample_log!$C314="Seneca", "seneca_mon", "one"))))</f>
        <v/>
      </c>
    </row>
    <row r="315" spans="6:6" s="2" customFormat="1" ht="15" x14ac:dyDescent="0.25">
      <c r="F315" s="22" t="str">
        <f>IF(sample_log!$C315="", "", IF(sample_log!$C315="Chapin", "chapin_mon", IF(sample_log!$C315="Oatka", "oatka_mon", IF(sample_log!$C315="Seneca", "seneca_mon", "one"))))</f>
        <v/>
      </c>
    </row>
    <row r="316" spans="6:6" s="2" customFormat="1" ht="15" x14ac:dyDescent="0.25">
      <c r="F316" s="22" t="str">
        <f>IF(sample_log!$C316="", "", IF(sample_log!$C316="Chapin", "chapin_mon", IF(sample_log!$C316="Oatka", "oatka_mon", IF(sample_log!$C316="Seneca", "seneca_mon", "one"))))</f>
        <v/>
      </c>
    </row>
    <row r="317" spans="6:6" s="2" customFormat="1" ht="15" x14ac:dyDescent="0.25">
      <c r="F317" s="22" t="str">
        <f>IF(sample_log!$C317="", "", IF(sample_log!$C317="Chapin", "chapin_mon", IF(sample_log!$C317="Oatka", "oatka_mon", IF(sample_log!$C317="Seneca", "seneca_mon", "one"))))</f>
        <v/>
      </c>
    </row>
    <row r="318" spans="6:6" s="2" customFormat="1" ht="15" x14ac:dyDescent="0.25">
      <c r="F318" s="22" t="str">
        <f>IF(sample_log!$C318="", "", IF(sample_log!$C318="Chapin", "chapin_mon", IF(sample_log!$C318="Oatka", "oatka_mon", IF(sample_log!$C318="Seneca", "seneca_mon", "one"))))</f>
        <v/>
      </c>
    </row>
    <row r="319" spans="6:6" s="2" customFormat="1" ht="15" x14ac:dyDescent="0.25">
      <c r="F319" s="22" t="str">
        <f>IF(sample_log!$C319="", "", IF(sample_log!$C319="Chapin", "chapin_mon", IF(sample_log!$C319="Oatka", "oatka_mon", IF(sample_log!$C319="Seneca", "seneca_mon", "one"))))</f>
        <v/>
      </c>
    </row>
    <row r="320" spans="6:6" s="2" customFormat="1" ht="15" x14ac:dyDescent="0.25">
      <c r="F320" s="22" t="str">
        <f>IF(sample_log!$C320="", "", IF(sample_log!$C320="Chapin", "chapin_mon", IF(sample_log!$C320="Oatka", "oatka_mon", IF(sample_log!$C320="Seneca", "seneca_mon", "one"))))</f>
        <v/>
      </c>
    </row>
    <row r="321" spans="6:6" s="2" customFormat="1" ht="15" x14ac:dyDescent="0.25">
      <c r="F321" s="22" t="str">
        <f>IF(sample_log!$C321="", "", IF(sample_log!$C321="Chapin", "chapin_mon", IF(sample_log!$C321="Oatka", "oatka_mon", IF(sample_log!$C321="Seneca", "seneca_mon", "one"))))</f>
        <v/>
      </c>
    </row>
    <row r="322" spans="6:6" s="2" customFormat="1" ht="15" x14ac:dyDescent="0.25">
      <c r="F322" s="22" t="str">
        <f>IF(sample_log!$C322="", "", IF(sample_log!$C322="Chapin", "chapin_mon", IF(sample_log!$C322="Oatka", "oatka_mon", IF(sample_log!$C322="Seneca", "seneca_mon", "one"))))</f>
        <v/>
      </c>
    </row>
    <row r="323" spans="6:6" s="2" customFormat="1" ht="15" x14ac:dyDescent="0.25">
      <c r="F323" s="22" t="str">
        <f>IF(sample_log!$C323="", "", IF(sample_log!$C323="Chapin", "chapin_mon", IF(sample_log!$C323="Oatka", "oatka_mon", IF(sample_log!$C323="Seneca", "seneca_mon", "one"))))</f>
        <v/>
      </c>
    </row>
    <row r="324" spans="6:6" s="2" customFormat="1" ht="15" x14ac:dyDescent="0.25">
      <c r="F324" s="22" t="str">
        <f>IF(sample_log!$C324="", "", IF(sample_log!$C324="Chapin", "chapin_mon", IF(sample_log!$C324="Oatka", "oatka_mon", IF(sample_log!$C324="Seneca", "seneca_mon", "one"))))</f>
        <v/>
      </c>
    </row>
    <row r="325" spans="6:6" s="2" customFormat="1" ht="15" x14ac:dyDescent="0.25">
      <c r="F325" s="22" t="str">
        <f>IF(sample_log!$C325="", "", IF(sample_log!$C325="Chapin", "chapin_mon", IF(sample_log!$C325="Oatka", "oatka_mon", IF(sample_log!$C325="Seneca", "seneca_mon", "one"))))</f>
        <v/>
      </c>
    </row>
    <row r="326" spans="6:6" s="2" customFormat="1" ht="15" x14ac:dyDescent="0.25">
      <c r="F326" s="22" t="str">
        <f>IF(sample_log!$C326="", "", IF(sample_log!$C326="Chapin", "chapin_mon", IF(sample_log!$C326="Oatka", "oatka_mon", IF(sample_log!$C326="Seneca", "seneca_mon", "one"))))</f>
        <v/>
      </c>
    </row>
    <row r="327" spans="6:6" s="2" customFormat="1" ht="15" x14ac:dyDescent="0.25">
      <c r="F327" s="22" t="str">
        <f>IF(sample_log!$C327="", "", IF(sample_log!$C327="Chapin", "chapin_mon", IF(sample_log!$C327="Oatka", "oatka_mon", IF(sample_log!$C327="Seneca", "seneca_mon", "one"))))</f>
        <v/>
      </c>
    </row>
    <row r="328" spans="6:6" s="2" customFormat="1" ht="15" x14ac:dyDescent="0.25">
      <c r="F328" s="22" t="str">
        <f>IF(sample_log!$C328="", "", IF(sample_log!$C328="Chapin", "chapin_mon", IF(sample_log!$C328="Oatka", "oatka_mon", IF(sample_log!$C328="Seneca", "seneca_mon", "one"))))</f>
        <v/>
      </c>
    </row>
    <row r="329" spans="6:6" s="2" customFormat="1" ht="15" x14ac:dyDescent="0.25">
      <c r="F329" s="22" t="str">
        <f>IF(sample_log!$C329="", "", IF(sample_log!$C329="Chapin", "chapin_mon", IF(sample_log!$C329="Oatka", "oatka_mon", IF(sample_log!$C329="Seneca", "seneca_mon", "one"))))</f>
        <v/>
      </c>
    </row>
    <row r="330" spans="6:6" s="2" customFormat="1" ht="15" x14ac:dyDescent="0.25">
      <c r="F330" s="22" t="str">
        <f>IF(sample_log!$C330="", "", IF(sample_log!$C330="Chapin", "chapin_mon", IF(sample_log!$C330="Oatka", "oatka_mon", IF(sample_log!$C330="Seneca", "seneca_mon", "one"))))</f>
        <v/>
      </c>
    </row>
    <row r="331" spans="6:6" s="2" customFormat="1" ht="15" x14ac:dyDescent="0.25">
      <c r="F331" s="22" t="str">
        <f>IF(sample_log!$C331="", "", IF(sample_log!$C331="Chapin", "chapin_mon", IF(sample_log!$C331="Oatka", "oatka_mon", IF(sample_log!$C331="Seneca", "seneca_mon", "one"))))</f>
        <v/>
      </c>
    </row>
    <row r="332" spans="6:6" s="2" customFormat="1" ht="15" x14ac:dyDescent="0.25">
      <c r="F332" s="22" t="str">
        <f>IF(sample_log!$C332="", "", IF(sample_log!$C332="Chapin", "chapin_mon", IF(sample_log!$C332="Oatka", "oatka_mon", IF(sample_log!$C332="Seneca", "seneca_mon", "one"))))</f>
        <v/>
      </c>
    </row>
    <row r="333" spans="6:6" s="2" customFormat="1" ht="15" x14ac:dyDescent="0.25">
      <c r="F333" s="22" t="str">
        <f>IF(sample_log!$C333="", "", IF(sample_log!$C333="Chapin", "chapin_mon", IF(sample_log!$C333="Oatka", "oatka_mon", IF(sample_log!$C333="Seneca", "seneca_mon", "one"))))</f>
        <v/>
      </c>
    </row>
    <row r="334" spans="6:6" s="2" customFormat="1" ht="15" x14ac:dyDescent="0.25">
      <c r="F334" s="22" t="str">
        <f>IF(sample_log!$C334="", "", IF(sample_log!$C334="Chapin", "chapin_mon", IF(sample_log!$C334="Oatka", "oatka_mon", IF(sample_log!$C334="Seneca", "seneca_mon", "one"))))</f>
        <v/>
      </c>
    </row>
    <row r="335" spans="6:6" s="2" customFormat="1" ht="15" x14ac:dyDescent="0.25">
      <c r="F335" s="22" t="str">
        <f>IF(sample_log!$C335="", "", IF(sample_log!$C335="Chapin", "chapin_mon", IF(sample_log!$C335="Oatka", "oatka_mon", IF(sample_log!$C335="Seneca", "seneca_mon", "one"))))</f>
        <v/>
      </c>
    </row>
    <row r="336" spans="6:6" s="2" customFormat="1" ht="15" x14ac:dyDescent="0.25">
      <c r="F336" s="22" t="str">
        <f>IF(sample_log!$C336="", "", IF(sample_log!$C336="Chapin", "chapin_mon", IF(sample_log!$C336="Oatka", "oatka_mon", IF(sample_log!$C336="Seneca", "seneca_mon", "one"))))</f>
        <v/>
      </c>
    </row>
    <row r="337" spans="6:6" s="2" customFormat="1" ht="15" x14ac:dyDescent="0.25">
      <c r="F337" s="22" t="str">
        <f>IF(sample_log!$C337="", "", IF(sample_log!$C337="Chapin", "chapin_mon", IF(sample_log!$C337="Oatka", "oatka_mon", IF(sample_log!$C337="Seneca", "seneca_mon", "one"))))</f>
        <v/>
      </c>
    </row>
    <row r="338" spans="6:6" s="2" customFormat="1" ht="15" x14ac:dyDescent="0.25">
      <c r="F338" s="22" t="str">
        <f>IF(sample_log!$C338="", "", IF(sample_log!$C338="Chapin", "chapin_mon", IF(sample_log!$C338="Oatka", "oatka_mon", IF(sample_log!$C338="Seneca", "seneca_mon", "one"))))</f>
        <v/>
      </c>
    </row>
    <row r="339" spans="6:6" s="2" customFormat="1" ht="15" x14ac:dyDescent="0.25">
      <c r="F339" s="22" t="str">
        <f>IF(sample_log!$C339="", "", IF(sample_log!$C339="Chapin", "chapin_mon", IF(sample_log!$C339="Oatka", "oatka_mon", IF(sample_log!$C339="Seneca", "seneca_mon", "one"))))</f>
        <v/>
      </c>
    </row>
    <row r="340" spans="6:6" s="2" customFormat="1" ht="15" x14ac:dyDescent="0.25">
      <c r="F340" s="22" t="str">
        <f>IF(sample_log!$C340="", "", IF(sample_log!$C340="Chapin", "chapin_mon", IF(sample_log!$C340="Oatka", "oatka_mon", IF(sample_log!$C340="Seneca", "seneca_mon", "one"))))</f>
        <v/>
      </c>
    </row>
    <row r="341" spans="6:6" s="2" customFormat="1" ht="15" x14ac:dyDescent="0.25">
      <c r="F341" s="22" t="str">
        <f>IF(sample_log!$C341="", "", IF(sample_log!$C341="Chapin", "chapin_mon", IF(sample_log!$C341="Oatka", "oatka_mon", IF(sample_log!$C341="Seneca", "seneca_mon", "one"))))</f>
        <v/>
      </c>
    </row>
    <row r="342" spans="6:6" s="2" customFormat="1" ht="15" x14ac:dyDescent="0.25">
      <c r="F342" s="22" t="str">
        <f>IF(sample_log!$C342="", "", IF(sample_log!$C342="Chapin", "chapin_mon", IF(sample_log!$C342="Oatka", "oatka_mon", IF(sample_log!$C342="Seneca", "seneca_mon", "one"))))</f>
        <v/>
      </c>
    </row>
    <row r="343" spans="6:6" s="2" customFormat="1" ht="15" x14ac:dyDescent="0.25">
      <c r="F343" s="22" t="str">
        <f>IF(sample_log!$C343="", "", IF(sample_log!$C343="Chapin", "chapin_mon", IF(sample_log!$C343="Oatka", "oatka_mon", IF(sample_log!$C343="Seneca", "seneca_mon", "one"))))</f>
        <v/>
      </c>
    </row>
    <row r="344" spans="6:6" s="2" customFormat="1" ht="15" x14ac:dyDescent="0.25">
      <c r="F344" s="22" t="str">
        <f>IF(sample_log!$C344="", "", IF(sample_log!$C344="Chapin", "chapin_mon", IF(sample_log!$C344="Oatka", "oatka_mon", IF(sample_log!$C344="Seneca", "seneca_mon", "one"))))</f>
        <v/>
      </c>
    </row>
    <row r="345" spans="6:6" s="2" customFormat="1" ht="15" x14ac:dyDescent="0.25">
      <c r="F345" s="22" t="str">
        <f>IF(sample_log!$C345="", "", IF(sample_log!$C345="Chapin", "chapin_mon", IF(sample_log!$C345="Oatka", "oatka_mon", IF(sample_log!$C345="Seneca", "seneca_mon", "one"))))</f>
        <v/>
      </c>
    </row>
    <row r="346" spans="6:6" s="2" customFormat="1" ht="15" x14ac:dyDescent="0.25">
      <c r="F346" s="22" t="str">
        <f>IF(sample_log!$C346="", "", IF(sample_log!$C346="Chapin", "chapin_mon", IF(sample_log!$C346="Oatka", "oatka_mon", IF(sample_log!$C346="Seneca", "seneca_mon", "one"))))</f>
        <v/>
      </c>
    </row>
    <row r="347" spans="6:6" s="2" customFormat="1" ht="15" x14ac:dyDescent="0.25">
      <c r="F347" s="22" t="str">
        <f>IF(sample_log!$C347="", "", IF(sample_log!$C347="Chapin", "chapin_mon", IF(sample_log!$C347="Oatka", "oatka_mon", IF(sample_log!$C347="Seneca", "seneca_mon", "one"))))</f>
        <v/>
      </c>
    </row>
    <row r="348" spans="6:6" s="2" customFormat="1" ht="15" x14ac:dyDescent="0.25">
      <c r="F348" s="22" t="str">
        <f>IF(sample_log!$C348="", "", IF(sample_log!$C348="Chapin", "chapin_mon", IF(sample_log!$C348="Oatka", "oatka_mon", IF(sample_log!$C348="Seneca", "seneca_mon", "one"))))</f>
        <v/>
      </c>
    </row>
    <row r="349" spans="6:6" s="2" customFormat="1" ht="15" x14ac:dyDescent="0.25">
      <c r="F349" s="22" t="str">
        <f>IF(sample_log!$C349="", "", IF(sample_log!$C349="Chapin", "chapin_mon", IF(sample_log!$C349="Oatka", "oatka_mon", IF(sample_log!$C349="Seneca", "seneca_mon", "one"))))</f>
        <v/>
      </c>
    </row>
    <row r="350" spans="6:6" s="2" customFormat="1" ht="15" x14ac:dyDescent="0.25">
      <c r="F350" s="22" t="str">
        <f>IF(sample_log!$C350="", "", IF(sample_log!$C350="Chapin", "chapin_mon", IF(sample_log!$C350="Oatka", "oatka_mon", IF(sample_log!$C350="Seneca", "seneca_mon", "one"))))</f>
        <v/>
      </c>
    </row>
    <row r="351" spans="6:6" s="2" customFormat="1" ht="15" x14ac:dyDescent="0.25">
      <c r="F351" s="22" t="str">
        <f>IF(sample_log!$C351="", "", IF(sample_log!$C351="Chapin", "chapin_mon", IF(sample_log!$C351="Oatka", "oatka_mon", IF(sample_log!$C351="Seneca", "seneca_mon", "one"))))</f>
        <v/>
      </c>
    </row>
    <row r="352" spans="6:6" s="2" customFormat="1" ht="15" x14ac:dyDescent="0.25">
      <c r="F352" s="22" t="str">
        <f>IF(sample_log!$C352="", "", IF(sample_log!$C352="Chapin", "chapin_mon", IF(sample_log!$C352="Oatka", "oatka_mon", IF(sample_log!$C352="Seneca", "seneca_mon", "one"))))</f>
        <v/>
      </c>
    </row>
    <row r="353" spans="6:6" s="2" customFormat="1" ht="15" x14ac:dyDescent="0.25">
      <c r="F353" s="22" t="str">
        <f>IF(sample_log!$C353="", "", IF(sample_log!$C353="Chapin", "chapin_mon", IF(sample_log!$C353="Oatka", "oatka_mon", IF(sample_log!$C353="Seneca", "seneca_mon", "one"))))</f>
        <v/>
      </c>
    </row>
    <row r="354" spans="6:6" s="2" customFormat="1" ht="15" x14ac:dyDescent="0.25">
      <c r="F354" s="22" t="str">
        <f>IF(sample_log!$C354="", "", IF(sample_log!$C354="Chapin", "chapin_mon", IF(sample_log!$C354="Oatka", "oatka_mon", IF(sample_log!$C354="Seneca", "seneca_mon", "one"))))</f>
        <v/>
      </c>
    </row>
    <row r="355" spans="6:6" s="2" customFormat="1" ht="15" x14ac:dyDescent="0.25">
      <c r="F355" s="22" t="str">
        <f>IF(sample_log!$C355="", "", IF(sample_log!$C355="Chapin", "chapin_mon", IF(sample_log!$C355="Oatka", "oatka_mon", IF(sample_log!$C355="Seneca", "seneca_mon", "one"))))</f>
        <v/>
      </c>
    </row>
    <row r="356" spans="6:6" s="2" customFormat="1" ht="15" x14ac:dyDescent="0.25">
      <c r="F356" s="22" t="str">
        <f>IF(sample_log!$C356="", "", IF(sample_log!$C356="Chapin", "chapin_mon", IF(sample_log!$C356="Oatka", "oatka_mon", IF(sample_log!$C356="Seneca", "seneca_mon", "one"))))</f>
        <v/>
      </c>
    </row>
    <row r="357" spans="6:6" s="2" customFormat="1" ht="15" x14ac:dyDescent="0.25">
      <c r="F357" s="22" t="str">
        <f>IF(sample_log!$C357="", "", IF(sample_log!$C357="Chapin", "chapin_mon", IF(sample_log!$C357="Oatka", "oatka_mon", IF(sample_log!$C357="Seneca", "seneca_mon", "one"))))</f>
        <v/>
      </c>
    </row>
    <row r="358" spans="6:6" s="2" customFormat="1" ht="15" x14ac:dyDescent="0.25">
      <c r="F358" s="22" t="str">
        <f>IF(sample_log!$C358="", "", IF(sample_log!$C358="Chapin", "chapin_mon", IF(sample_log!$C358="Oatka", "oatka_mon", IF(sample_log!$C358="Seneca", "seneca_mon", "one"))))</f>
        <v/>
      </c>
    </row>
    <row r="359" spans="6:6" s="2" customFormat="1" ht="15" x14ac:dyDescent="0.25">
      <c r="F359" s="22" t="str">
        <f>IF(sample_log!$C359="", "", IF(sample_log!$C359="Chapin", "chapin_mon", IF(sample_log!$C359="Oatka", "oatka_mon", IF(sample_log!$C359="Seneca", "seneca_mon", "one"))))</f>
        <v/>
      </c>
    </row>
    <row r="360" spans="6:6" s="2" customFormat="1" ht="15" x14ac:dyDescent="0.25">
      <c r="F360" s="22" t="str">
        <f>IF(sample_log!$C360="", "", IF(sample_log!$C360="Chapin", "chapin_mon", IF(sample_log!$C360="Oatka", "oatka_mon", IF(sample_log!$C360="Seneca", "seneca_mon", "one"))))</f>
        <v/>
      </c>
    </row>
    <row r="361" spans="6:6" s="2" customFormat="1" ht="15" x14ac:dyDescent="0.25">
      <c r="F361" s="22" t="str">
        <f>IF(sample_log!$C361="", "", IF(sample_log!$C361="Chapin", "chapin_mon", IF(sample_log!$C361="Oatka", "oatka_mon", IF(sample_log!$C361="Seneca", "seneca_mon", "one"))))</f>
        <v/>
      </c>
    </row>
    <row r="362" spans="6:6" s="2" customFormat="1" ht="15" x14ac:dyDescent="0.25">
      <c r="F362" s="22" t="str">
        <f>IF(sample_log!$C362="", "", IF(sample_log!$C362="Chapin", "chapin_mon", IF(sample_log!$C362="Oatka", "oatka_mon", IF(sample_log!$C362="Seneca", "seneca_mon", "one"))))</f>
        <v/>
      </c>
    </row>
    <row r="363" spans="6:6" s="2" customFormat="1" ht="15" x14ac:dyDescent="0.25">
      <c r="F363" s="22" t="str">
        <f>IF(sample_log!$C363="", "", IF(sample_log!$C363="Chapin", "chapin_mon", IF(sample_log!$C363="Oatka", "oatka_mon", IF(sample_log!$C363="Seneca", "seneca_mon", "one"))))</f>
        <v/>
      </c>
    </row>
    <row r="364" spans="6:6" s="2" customFormat="1" ht="15" x14ac:dyDescent="0.25">
      <c r="F364" s="22" t="str">
        <f>IF(sample_log!$C364="", "", IF(sample_log!$C364="Chapin", "chapin_mon", IF(sample_log!$C364="Oatka", "oatka_mon", IF(sample_log!$C364="Seneca", "seneca_mon", "one"))))</f>
        <v/>
      </c>
    </row>
    <row r="365" spans="6:6" s="2" customFormat="1" ht="15" x14ac:dyDescent="0.25">
      <c r="F365" s="22" t="str">
        <f>IF(sample_log!$C365="", "", IF(sample_log!$C365="Chapin", "chapin_mon", IF(sample_log!$C365="Oatka", "oatka_mon", IF(sample_log!$C365="Seneca", "seneca_mon", "one"))))</f>
        <v/>
      </c>
    </row>
    <row r="366" spans="6:6" s="2" customFormat="1" ht="15" x14ac:dyDescent="0.25">
      <c r="F366" s="22" t="str">
        <f>IF(sample_log!$C366="", "", IF(sample_log!$C366="Chapin", "chapin_mon", IF(sample_log!$C366="Oatka", "oatka_mon", IF(sample_log!$C366="Seneca", "seneca_mon", "one"))))</f>
        <v/>
      </c>
    </row>
    <row r="367" spans="6:6" s="2" customFormat="1" ht="15" x14ac:dyDescent="0.25">
      <c r="F367" s="22" t="str">
        <f>IF(sample_log!$C367="", "", IF(sample_log!$C367="Chapin", "chapin_mon", IF(sample_log!$C367="Oatka", "oatka_mon", IF(sample_log!$C367="Seneca", "seneca_mon", "one"))))</f>
        <v/>
      </c>
    </row>
    <row r="368" spans="6:6" s="2" customFormat="1" ht="15" x14ac:dyDescent="0.25">
      <c r="F368" s="22" t="str">
        <f>IF(sample_log!$C368="", "", IF(sample_log!$C368="Chapin", "chapin_mon", IF(sample_log!$C368="Oatka", "oatka_mon", IF(sample_log!$C368="Seneca", "seneca_mon", "one"))))</f>
        <v/>
      </c>
    </row>
    <row r="369" spans="6:6" s="2" customFormat="1" ht="15" x14ac:dyDescent="0.25">
      <c r="F369" s="22" t="str">
        <f>IF(sample_log!$C369="", "", IF(sample_log!$C369="Chapin", "chapin_mon", IF(sample_log!$C369="Oatka", "oatka_mon", IF(sample_log!$C369="Seneca", "seneca_mon", "one"))))</f>
        <v/>
      </c>
    </row>
    <row r="370" spans="6:6" s="2" customFormat="1" ht="15" x14ac:dyDescent="0.25">
      <c r="F370" s="22" t="str">
        <f>IF(sample_log!$C370="", "", IF(sample_log!$C370="Chapin", "chapin_mon", IF(sample_log!$C370="Oatka", "oatka_mon", IF(sample_log!$C370="Seneca", "seneca_mon", "one"))))</f>
        <v/>
      </c>
    </row>
    <row r="371" spans="6:6" s="2" customFormat="1" ht="15" x14ac:dyDescent="0.25">
      <c r="F371" s="22" t="str">
        <f>IF(sample_log!$C371="", "", IF(sample_log!$C371="Chapin", "chapin_mon", IF(sample_log!$C371="Oatka", "oatka_mon", IF(sample_log!$C371="Seneca", "seneca_mon", "one"))))</f>
        <v/>
      </c>
    </row>
    <row r="372" spans="6:6" s="2" customFormat="1" ht="15" x14ac:dyDescent="0.25">
      <c r="F372" s="22" t="str">
        <f>IF(sample_log!$C372="", "", IF(sample_log!$C372="Chapin", "chapin_mon", IF(sample_log!$C372="Oatka", "oatka_mon", IF(sample_log!$C372="Seneca", "seneca_mon", "one"))))</f>
        <v/>
      </c>
    </row>
    <row r="373" spans="6:6" s="2" customFormat="1" ht="15" x14ac:dyDescent="0.25">
      <c r="F373" s="22" t="str">
        <f>IF(sample_log!$C373="", "", IF(sample_log!$C373="Chapin", "chapin_mon", IF(sample_log!$C373="Oatka", "oatka_mon", IF(sample_log!$C373="Seneca", "seneca_mon", "one"))))</f>
        <v/>
      </c>
    </row>
    <row r="374" spans="6:6" s="2" customFormat="1" ht="15" x14ac:dyDescent="0.25">
      <c r="F374" s="22" t="str">
        <f>IF(sample_log!$C374="", "", IF(sample_log!$C374="Chapin", "chapin_mon", IF(sample_log!$C374="Oatka", "oatka_mon", IF(sample_log!$C374="Seneca", "seneca_mon", "one"))))</f>
        <v/>
      </c>
    </row>
    <row r="375" spans="6:6" s="2" customFormat="1" ht="15" x14ac:dyDescent="0.25">
      <c r="F375" s="22" t="str">
        <f>IF(sample_log!$C375="", "", IF(sample_log!$C375="Chapin", "chapin_mon", IF(sample_log!$C375="Oatka", "oatka_mon", IF(sample_log!$C375="Seneca", "seneca_mon", "one"))))</f>
        <v/>
      </c>
    </row>
    <row r="376" spans="6:6" s="2" customFormat="1" ht="15" x14ac:dyDescent="0.25">
      <c r="F376" s="22" t="str">
        <f>IF(sample_log!$C376="", "", IF(sample_log!$C376="Chapin", "chapin_mon", IF(sample_log!$C376="Oatka", "oatka_mon", IF(sample_log!$C376="Seneca", "seneca_mon", "one"))))</f>
        <v/>
      </c>
    </row>
    <row r="377" spans="6:6" s="2" customFormat="1" ht="15" x14ac:dyDescent="0.25">
      <c r="F377" s="22" t="str">
        <f>IF(sample_log!$C377="", "", IF(sample_log!$C377="Chapin", "chapin_mon", IF(sample_log!$C377="Oatka", "oatka_mon", IF(sample_log!$C377="Seneca", "seneca_mon", "one"))))</f>
        <v/>
      </c>
    </row>
    <row r="378" spans="6:6" s="2" customFormat="1" ht="15" x14ac:dyDescent="0.25">
      <c r="F378" s="22" t="str">
        <f>IF(sample_log!$C378="", "", IF(sample_log!$C378="Chapin", "chapin_mon", IF(sample_log!$C378="Oatka", "oatka_mon", IF(sample_log!$C378="Seneca", "seneca_mon", "one"))))</f>
        <v/>
      </c>
    </row>
    <row r="379" spans="6:6" s="2" customFormat="1" ht="15" x14ac:dyDescent="0.25">
      <c r="F379" s="22" t="str">
        <f>IF(sample_log!$C379="", "", IF(sample_log!$C379="Chapin", "chapin_mon", IF(sample_log!$C379="Oatka", "oatka_mon", IF(sample_log!$C379="Seneca", "seneca_mon", "one"))))</f>
        <v/>
      </c>
    </row>
    <row r="380" spans="6:6" s="2" customFormat="1" ht="15" x14ac:dyDescent="0.25">
      <c r="F380" s="22" t="str">
        <f>IF(sample_log!$C380="", "", IF(sample_log!$C380="Chapin", "chapin_mon", IF(sample_log!$C380="Oatka", "oatka_mon", IF(sample_log!$C380="Seneca", "seneca_mon", "one"))))</f>
        <v/>
      </c>
    </row>
    <row r="381" spans="6:6" s="2" customFormat="1" ht="15" x14ac:dyDescent="0.25">
      <c r="F381" s="22" t="str">
        <f>IF(sample_log!$C381="", "", IF(sample_log!$C381="Chapin", "chapin_mon", IF(sample_log!$C381="Oatka", "oatka_mon", IF(sample_log!$C381="Seneca", "seneca_mon", "one"))))</f>
        <v/>
      </c>
    </row>
    <row r="382" spans="6:6" s="2" customFormat="1" ht="15" x14ac:dyDescent="0.25">
      <c r="F382" s="22" t="str">
        <f>IF(sample_log!$C382="", "", IF(sample_log!$C382="Chapin", "chapin_mon", IF(sample_log!$C382="Oatka", "oatka_mon", IF(sample_log!$C382="Seneca", "seneca_mon", "one"))))</f>
        <v/>
      </c>
    </row>
    <row r="383" spans="6:6" s="2" customFormat="1" ht="15" x14ac:dyDescent="0.25">
      <c r="F383" s="22" t="str">
        <f>IF(sample_log!$C383="", "", IF(sample_log!$C383="Chapin", "chapin_mon", IF(sample_log!$C383="Oatka", "oatka_mon", IF(sample_log!$C383="Seneca", "seneca_mon", "one"))))</f>
        <v/>
      </c>
    </row>
    <row r="384" spans="6:6" s="2" customFormat="1" ht="15" x14ac:dyDescent="0.25">
      <c r="F384" s="22" t="str">
        <f>IF(sample_log!$C384="", "", IF(sample_log!$C384="Chapin", "chapin_mon", IF(sample_log!$C384="Oatka", "oatka_mon", IF(sample_log!$C384="Seneca", "seneca_mon", "one"))))</f>
        <v/>
      </c>
    </row>
    <row r="385" spans="6:6" s="2" customFormat="1" ht="15" x14ac:dyDescent="0.25">
      <c r="F385" s="22" t="str">
        <f>IF(sample_log!$C385="", "", IF(sample_log!$C385="Chapin", "chapin_mon", IF(sample_log!$C385="Oatka", "oatka_mon", IF(sample_log!$C385="Seneca", "seneca_mon", "one"))))</f>
        <v/>
      </c>
    </row>
    <row r="386" spans="6:6" s="2" customFormat="1" ht="15" x14ac:dyDescent="0.25">
      <c r="F386" s="22" t="str">
        <f>IF(sample_log!$C386="", "", IF(sample_log!$C386="Chapin", "chapin_mon", IF(sample_log!$C386="Oatka", "oatka_mon", IF(sample_log!$C386="Seneca", "seneca_mon", "one"))))</f>
        <v/>
      </c>
    </row>
    <row r="387" spans="6:6" s="2" customFormat="1" ht="15" x14ac:dyDescent="0.25">
      <c r="F387" s="22" t="str">
        <f>IF(sample_log!$C387="", "", IF(sample_log!$C387="Chapin", "chapin_mon", IF(sample_log!$C387="Oatka", "oatka_mon", IF(sample_log!$C387="Seneca", "seneca_mon", "one"))))</f>
        <v/>
      </c>
    </row>
    <row r="388" spans="6:6" s="2" customFormat="1" ht="15" x14ac:dyDescent="0.25">
      <c r="F388" s="22" t="str">
        <f>IF(sample_log!$C388="", "", IF(sample_log!$C388="Chapin", "chapin_mon", IF(sample_log!$C388="Oatka", "oatka_mon", IF(sample_log!$C388="Seneca", "seneca_mon", "one"))))</f>
        <v/>
      </c>
    </row>
    <row r="389" spans="6:6" s="2" customFormat="1" ht="15" x14ac:dyDescent="0.25">
      <c r="F389" s="22" t="str">
        <f>IF(sample_log!$C389="", "", IF(sample_log!$C389="Chapin", "chapin_mon", IF(sample_log!$C389="Oatka", "oatka_mon", IF(sample_log!$C389="Seneca", "seneca_mon", "one"))))</f>
        <v/>
      </c>
    </row>
    <row r="390" spans="6:6" s="2" customFormat="1" ht="15" x14ac:dyDescent="0.25">
      <c r="F390" s="22" t="str">
        <f>IF(sample_log!$C390="", "", IF(sample_log!$C390="Chapin", "chapin_mon", IF(sample_log!$C390="Oatka", "oatka_mon", IF(sample_log!$C390="Seneca", "seneca_mon", "one"))))</f>
        <v/>
      </c>
    </row>
    <row r="391" spans="6:6" s="2" customFormat="1" ht="15" x14ac:dyDescent="0.25">
      <c r="F391" s="22" t="str">
        <f>IF(sample_log!$C391="", "", IF(sample_log!$C391="Chapin", "chapin_mon", IF(sample_log!$C391="Oatka", "oatka_mon", IF(sample_log!$C391="Seneca", "seneca_mon", "one"))))</f>
        <v/>
      </c>
    </row>
    <row r="392" spans="6:6" s="2" customFormat="1" ht="15" x14ac:dyDescent="0.25">
      <c r="F392" s="22" t="str">
        <f>IF(sample_log!$C392="", "", IF(sample_log!$C392="Chapin", "chapin_mon", IF(sample_log!$C392="Oatka", "oatka_mon", IF(sample_log!$C392="Seneca", "seneca_mon", "one"))))</f>
        <v/>
      </c>
    </row>
    <row r="393" spans="6:6" s="2" customFormat="1" ht="15" x14ac:dyDescent="0.25">
      <c r="F393" s="22" t="str">
        <f>IF(sample_log!$C393="", "", IF(sample_log!$C393="Chapin", "chapin_mon", IF(sample_log!$C393="Oatka", "oatka_mon", IF(sample_log!$C393="Seneca", "seneca_mon", "one"))))</f>
        <v/>
      </c>
    </row>
    <row r="394" spans="6:6" s="2" customFormat="1" ht="15" x14ac:dyDescent="0.25">
      <c r="F394" s="22" t="str">
        <f>IF(sample_log!$C394="", "", IF(sample_log!$C394="Chapin", "chapin_mon", IF(sample_log!$C394="Oatka", "oatka_mon", IF(sample_log!$C394="Seneca", "seneca_mon", "one"))))</f>
        <v/>
      </c>
    </row>
    <row r="395" spans="6:6" s="2" customFormat="1" ht="15" x14ac:dyDescent="0.25">
      <c r="F395" s="22" t="str">
        <f>IF(sample_log!$C395="", "", IF(sample_log!$C395="Chapin", "chapin_mon", IF(sample_log!$C395="Oatka", "oatka_mon", IF(sample_log!$C395="Seneca", "seneca_mon", "one"))))</f>
        <v/>
      </c>
    </row>
    <row r="396" spans="6:6" s="2" customFormat="1" ht="15" x14ac:dyDescent="0.25">
      <c r="F396" s="22" t="str">
        <f>IF(sample_log!$C396="", "", IF(sample_log!$C396="Chapin", "chapin_mon", IF(sample_log!$C396="Oatka", "oatka_mon", IF(sample_log!$C396="Seneca", "seneca_mon", "one"))))</f>
        <v/>
      </c>
    </row>
    <row r="397" spans="6:6" s="2" customFormat="1" ht="15" x14ac:dyDescent="0.25">
      <c r="F397" s="22" t="str">
        <f>IF(sample_log!$C397="", "", IF(sample_log!$C397="Chapin", "chapin_mon", IF(sample_log!$C397="Oatka", "oatka_mon", IF(sample_log!$C397="Seneca", "seneca_mon", "one"))))</f>
        <v/>
      </c>
    </row>
    <row r="398" spans="6:6" s="2" customFormat="1" ht="15" x14ac:dyDescent="0.25">
      <c r="F398" s="22" t="str">
        <f>IF(sample_log!$C398="", "", IF(sample_log!$C398="Chapin", "chapin_mon", IF(sample_log!$C398="Oatka", "oatka_mon", IF(sample_log!$C398="Seneca", "seneca_mon", "one"))))</f>
        <v/>
      </c>
    </row>
    <row r="399" spans="6:6" s="2" customFormat="1" ht="15" x14ac:dyDescent="0.25">
      <c r="F399" s="22" t="str">
        <f>IF(sample_log!$C399="", "", IF(sample_log!$C399="Chapin", "chapin_mon", IF(sample_log!$C399="Oatka", "oatka_mon", IF(sample_log!$C399="Seneca", "seneca_mon", "one"))))</f>
        <v/>
      </c>
    </row>
    <row r="400" spans="6:6" s="2" customFormat="1" ht="15" x14ac:dyDescent="0.25">
      <c r="F400" s="22" t="str">
        <f>IF(sample_log!$C400="", "", IF(sample_log!$C400="Chapin", "chapin_mon", IF(sample_log!$C400="Oatka", "oatka_mon", IF(sample_log!$C400="Seneca", "seneca_mon", "one"))))</f>
        <v/>
      </c>
    </row>
    <row r="401" spans="6:6" s="2" customFormat="1" ht="15" x14ac:dyDescent="0.25">
      <c r="F401" s="22" t="str">
        <f>IF(sample_log!$C401="", "", IF(sample_log!$C401="Chapin", "chapin_mon", IF(sample_log!$C401="Oatka", "oatka_mon", IF(sample_log!$C401="Seneca", "seneca_mon", "one"))))</f>
        <v/>
      </c>
    </row>
    <row r="402" spans="6:6" s="2" customFormat="1" ht="15" x14ac:dyDescent="0.25">
      <c r="F402" s="22" t="str">
        <f>IF(sample_log!$C402="", "", IF(sample_log!$C402="Chapin", "chapin_mon", IF(sample_log!$C402="Oatka", "oatka_mon", IF(sample_log!$C402="Seneca", "seneca_mon", "one"))))</f>
        <v/>
      </c>
    </row>
    <row r="403" spans="6:6" s="2" customFormat="1" ht="15" x14ac:dyDescent="0.25">
      <c r="F403" s="22" t="str">
        <f>IF(sample_log!$C403="", "", IF(sample_log!$C403="Chapin", "chapin_mon", IF(sample_log!$C403="Oatka", "oatka_mon", IF(sample_log!$C403="Seneca", "seneca_mon", "one"))))</f>
        <v/>
      </c>
    </row>
    <row r="404" spans="6:6" s="2" customFormat="1" ht="15" x14ac:dyDescent="0.25">
      <c r="F404" s="22" t="str">
        <f>IF(sample_log!$C404="", "", IF(sample_log!$C404="Chapin", "chapin_mon", IF(sample_log!$C404="Oatka", "oatka_mon", IF(sample_log!$C404="Seneca", "seneca_mon", "one"))))</f>
        <v/>
      </c>
    </row>
    <row r="405" spans="6:6" s="2" customFormat="1" ht="15" x14ac:dyDescent="0.25">
      <c r="F405" s="22" t="str">
        <f>IF(sample_log!$C405="", "", IF(sample_log!$C405="Chapin", "chapin_mon", IF(sample_log!$C405="Oatka", "oatka_mon", IF(sample_log!$C405="Seneca", "seneca_mon", "one"))))</f>
        <v/>
      </c>
    </row>
    <row r="406" spans="6:6" s="2" customFormat="1" ht="15" x14ac:dyDescent="0.25">
      <c r="F406" s="22" t="str">
        <f>IF(sample_log!$C406="", "", IF(sample_log!$C406="Chapin", "chapin_mon", IF(sample_log!$C406="Oatka", "oatka_mon", IF(sample_log!$C406="Seneca", "seneca_mon", "one"))))</f>
        <v/>
      </c>
    </row>
    <row r="407" spans="6:6" s="2" customFormat="1" ht="15" x14ac:dyDescent="0.25">
      <c r="F407" s="22" t="str">
        <f>IF(sample_log!$C407="", "", IF(sample_log!$C407="Chapin", "chapin_mon", IF(sample_log!$C407="Oatka", "oatka_mon", IF(sample_log!$C407="Seneca", "seneca_mon", "one"))))</f>
        <v/>
      </c>
    </row>
    <row r="408" spans="6:6" s="2" customFormat="1" ht="15" x14ac:dyDescent="0.25">
      <c r="F408" s="22" t="str">
        <f>IF(sample_log!$C408="", "", IF(sample_log!$C408="Chapin", "chapin_mon", IF(sample_log!$C408="Oatka", "oatka_mon", IF(sample_log!$C408="Seneca", "seneca_mon", "one"))))</f>
        <v/>
      </c>
    </row>
    <row r="409" spans="6:6" s="2" customFormat="1" ht="15" x14ac:dyDescent="0.25">
      <c r="F409" s="22" t="str">
        <f>IF(sample_log!$C409="", "", IF(sample_log!$C409="Chapin", "chapin_mon", IF(sample_log!$C409="Oatka", "oatka_mon", IF(sample_log!$C409="Seneca", "seneca_mon", "one"))))</f>
        <v/>
      </c>
    </row>
    <row r="410" spans="6:6" s="2" customFormat="1" ht="15" x14ac:dyDescent="0.25">
      <c r="F410" s="22" t="str">
        <f>IF(sample_log!$C410="", "", IF(sample_log!$C410="Chapin", "chapin_mon", IF(sample_log!$C410="Oatka", "oatka_mon", IF(sample_log!$C410="Seneca", "seneca_mon", "one"))))</f>
        <v/>
      </c>
    </row>
    <row r="411" spans="6:6" s="2" customFormat="1" ht="15" x14ac:dyDescent="0.25">
      <c r="F411" s="22" t="str">
        <f>IF(sample_log!$C411="", "", IF(sample_log!$C411="Chapin", "chapin_mon", IF(sample_log!$C411="Oatka", "oatka_mon", IF(sample_log!$C411="Seneca", "seneca_mon", "one"))))</f>
        <v/>
      </c>
    </row>
    <row r="412" spans="6:6" s="2" customFormat="1" ht="15" x14ac:dyDescent="0.25">
      <c r="F412" s="22" t="str">
        <f>IF(sample_log!$C412="", "", IF(sample_log!$C412="Chapin", "chapin_mon", IF(sample_log!$C412="Oatka", "oatka_mon", IF(sample_log!$C412="Seneca", "seneca_mon", "one"))))</f>
        <v/>
      </c>
    </row>
    <row r="413" spans="6:6" s="2" customFormat="1" ht="15" x14ac:dyDescent="0.25">
      <c r="F413" s="22" t="str">
        <f>IF(sample_log!$C413="", "", IF(sample_log!$C413="Chapin", "chapin_mon", IF(sample_log!$C413="Oatka", "oatka_mon", IF(sample_log!$C413="Seneca", "seneca_mon", "one"))))</f>
        <v/>
      </c>
    </row>
    <row r="414" spans="6:6" s="2" customFormat="1" ht="15" x14ac:dyDescent="0.25">
      <c r="F414" s="22" t="str">
        <f>IF(sample_log!$C414="", "", IF(sample_log!$C414="Chapin", "chapin_mon", IF(sample_log!$C414="Oatka", "oatka_mon", IF(sample_log!$C414="Seneca", "seneca_mon", "one"))))</f>
        <v/>
      </c>
    </row>
    <row r="415" spans="6:6" s="2" customFormat="1" ht="15" x14ac:dyDescent="0.25">
      <c r="F415" s="22" t="str">
        <f>IF(sample_log!$C415="", "", IF(sample_log!$C415="Chapin", "chapin_mon", IF(sample_log!$C415="Oatka", "oatka_mon", IF(sample_log!$C415="Seneca", "seneca_mon", "one"))))</f>
        <v/>
      </c>
    </row>
    <row r="416" spans="6:6" s="2" customFormat="1" ht="15" x14ac:dyDescent="0.25">
      <c r="F416" s="22" t="str">
        <f>IF(sample_log!$C416="", "", IF(sample_log!$C416="Chapin", "chapin_mon", IF(sample_log!$C416="Oatka", "oatka_mon", IF(sample_log!$C416="Seneca", "seneca_mon", "one"))))</f>
        <v/>
      </c>
    </row>
    <row r="417" spans="6:6" s="2" customFormat="1" ht="15" x14ac:dyDescent="0.25">
      <c r="F417" s="22" t="str">
        <f>IF(sample_log!$C417="", "", IF(sample_log!$C417="Chapin", "chapin_mon", IF(sample_log!$C417="Oatka", "oatka_mon", IF(sample_log!$C417="Seneca", "seneca_mon", "one"))))</f>
        <v/>
      </c>
    </row>
    <row r="418" spans="6:6" s="2" customFormat="1" ht="15" x14ac:dyDescent="0.25">
      <c r="F418" s="22" t="str">
        <f>IF(sample_log!$C418="", "", IF(sample_log!$C418="Chapin", "chapin_mon", IF(sample_log!$C418="Oatka", "oatka_mon", IF(sample_log!$C418="Seneca", "seneca_mon", "one"))))</f>
        <v/>
      </c>
    </row>
    <row r="419" spans="6:6" s="2" customFormat="1" ht="15" x14ac:dyDescent="0.25">
      <c r="F419" s="22" t="str">
        <f>IF(sample_log!$C419="", "", IF(sample_log!$C419="Chapin", "chapin_mon", IF(sample_log!$C419="Oatka", "oatka_mon", IF(sample_log!$C419="Seneca", "seneca_mon", "one"))))</f>
        <v/>
      </c>
    </row>
    <row r="420" spans="6:6" s="2" customFormat="1" ht="15" x14ac:dyDescent="0.25">
      <c r="F420" s="22" t="str">
        <f>IF(sample_log!$C420="", "", IF(sample_log!$C420="Chapin", "chapin_mon", IF(sample_log!$C420="Oatka", "oatka_mon", IF(sample_log!$C420="Seneca", "seneca_mon", "one"))))</f>
        <v/>
      </c>
    </row>
    <row r="421" spans="6:6" s="2" customFormat="1" ht="15" x14ac:dyDescent="0.25">
      <c r="F421" s="22" t="str">
        <f>IF(sample_log!$C421="", "", IF(sample_log!$C421="Chapin", "chapin_mon", IF(sample_log!$C421="Oatka", "oatka_mon", IF(sample_log!$C421="Seneca", "seneca_mon", "one"))))</f>
        <v/>
      </c>
    </row>
    <row r="422" spans="6:6" s="2" customFormat="1" ht="15" x14ac:dyDescent="0.25">
      <c r="F422" s="22" t="str">
        <f>IF(sample_log!$C422="", "", IF(sample_log!$C422="Chapin", "chapin_mon", IF(sample_log!$C422="Oatka", "oatka_mon", IF(sample_log!$C422="Seneca", "seneca_mon", "one"))))</f>
        <v/>
      </c>
    </row>
    <row r="423" spans="6:6" s="2" customFormat="1" ht="15" x14ac:dyDescent="0.25">
      <c r="F423" s="22" t="str">
        <f>IF(sample_log!$C423="", "", IF(sample_log!$C423="Chapin", "chapin_mon", IF(sample_log!$C423="Oatka", "oatka_mon", IF(sample_log!$C423="Seneca", "seneca_mon", "one"))))</f>
        <v/>
      </c>
    </row>
    <row r="424" spans="6:6" s="2" customFormat="1" ht="15" x14ac:dyDescent="0.25">
      <c r="F424" s="22" t="str">
        <f>IF(sample_log!$C424="", "", IF(sample_log!$C424="Chapin", "chapin_mon", IF(sample_log!$C424="Oatka", "oatka_mon", IF(sample_log!$C424="Seneca", "seneca_mon", "one"))))</f>
        <v/>
      </c>
    </row>
    <row r="425" spans="6:6" s="2" customFormat="1" ht="15" x14ac:dyDescent="0.25">
      <c r="F425" s="22" t="str">
        <f>IF(sample_log!$C425="", "", IF(sample_log!$C425="Chapin", "chapin_mon", IF(sample_log!$C425="Oatka", "oatka_mon", IF(sample_log!$C425="Seneca", "seneca_mon", "one"))))</f>
        <v/>
      </c>
    </row>
    <row r="426" spans="6:6" s="2" customFormat="1" ht="15" x14ac:dyDescent="0.25">
      <c r="F426" s="22" t="str">
        <f>IF(sample_log!$C426="", "", IF(sample_log!$C426="Chapin", "chapin_mon", IF(sample_log!$C426="Oatka", "oatka_mon", IF(sample_log!$C426="Seneca", "seneca_mon", "one"))))</f>
        <v/>
      </c>
    </row>
    <row r="427" spans="6:6" s="2" customFormat="1" ht="15" x14ac:dyDescent="0.25">
      <c r="F427" s="22" t="str">
        <f>IF(sample_log!$C427="", "", IF(sample_log!$C427="Chapin", "chapin_mon", IF(sample_log!$C427="Oatka", "oatka_mon", IF(sample_log!$C427="Seneca", "seneca_mon", "one"))))</f>
        <v/>
      </c>
    </row>
    <row r="428" spans="6:6" s="2" customFormat="1" ht="15" x14ac:dyDescent="0.25">
      <c r="F428" s="22" t="str">
        <f>IF(sample_log!$C428="", "", IF(sample_log!$C428="Chapin", "chapin_mon", IF(sample_log!$C428="Oatka", "oatka_mon", IF(sample_log!$C428="Seneca", "seneca_mon", "one"))))</f>
        <v/>
      </c>
    </row>
    <row r="429" spans="6:6" s="2" customFormat="1" ht="15" x14ac:dyDescent="0.25">
      <c r="F429" s="22" t="str">
        <f>IF(sample_log!$C429="", "", IF(sample_log!$C429="Chapin", "chapin_mon", IF(sample_log!$C429="Oatka", "oatka_mon", IF(sample_log!$C429="Seneca", "seneca_mon", "one"))))</f>
        <v/>
      </c>
    </row>
    <row r="430" spans="6:6" s="2" customFormat="1" ht="15" x14ac:dyDescent="0.25">
      <c r="F430" s="22" t="str">
        <f>IF(sample_log!$C430="", "", IF(sample_log!$C430="Chapin", "chapin_mon", IF(sample_log!$C430="Oatka", "oatka_mon", IF(sample_log!$C430="Seneca", "seneca_mon", "one"))))</f>
        <v/>
      </c>
    </row>
    <row r="431" spans="6:6" s="2" customFormat="1" ht="15" x14ac:dyDescent="0.25">
      <c r="F431" s="22" t="str">
        <f>IF(sample_log!$C431="", "", IF(sample_log!$C431="Chapin", "chapin_mon", IF(sample_log!$C431="Oatka", "oatka_mon", IF(sample_log!$C431="Seneca", "seneca_mon", "one"))))</f>
        <v/>
      </c>
    </row>
    <row r="432" spans="6:6" s="2" customFormat="1" ht="15" x14ac:dyDescent="0.25">
      <c r="F432" s="22" t="str">
        <f>IF(sample_log!$C432="", "", IF(sample_log!$C432="Chapin", "chapin_mon", IF(sample_log!$C432="Oatka", "oatka_mon", IF(sample_log!$C432="Seneca", "seneca_mon", "one"))))</f>
        <v/>
      </c>
    </row>
    <row r="433" spans="6:6" s="2" customFormat="1" ht="15" x14ac:dyDescent="0.25">
      <c r="F433" s="22" t="str">
        <f>IF(sample_log!$C433="", "", IF(sample_log!$C433="Chapin", "chapin_mon", IF(sample_log!$C433="Oatka", "oatka_mon", IF(sample_log!$C433="Seneca", "seneca_mon", "one"))))</f>
        <v/>
      </c>
    </row>
    <row r="434" spans="6:6" s="2" customFormat="1" ht="15" x14ac:dyDescent="0.25">
      <c r="F434" s="22" t="str">
        <f>IF(sample_log!$C434="", "", IF(sample_log!$C434="Chapin", "chapin_mon", IF(sample_log!$C434="Oatka", "oatka_mon", IF(sample_log!$C434="Seneca", "seneca_mon", "one"))))</f>
        <v/>
      </c>
    </row>
    <row r="435" spans="6:6" s="2" customFormat="1" ht="15" x14ac:dyDescent="0.25">
      <c r="F435" s="22" t="str">
        <f>IF(sample_log!$C435="", "", IF(sample_log!$C435="Chapin", "chapin_mon", IF(sample_log!$C435="Oatka", "oatka_mon", IF(sample_log!$C435="Seneca", "seneca_mon", "one"))))</f>
        <v/>
      </c>
    </row>
    <row r="436" spans="6:6" s="2" customFormat="1" ht="15" x14ac:dyDescent="0.25">
      <c r="F436" s="22" t="str">
        <f>IF(sample_log!$C436="", "", IF(sample_log!$C436="Chapin", "chapin_mon", IF(sample_log!$C436="Oatka", "oatka_mon", IF(sample_log!$C436="Seneca", "seneca_mon", "one"))))</f>
        <v/>
      </c>
    </row>
    <row r="437" spans="6:6" s="2" customFormat="1" ht="15" x14ac:dyDescent="0.25">
      <c r="F437" s="22" t="str">
        <f>IF(sample_log!$C437="", "", IF(sample_log!$C437="Chapin", "chapin_mon", IF(sample_log!$C437="Oatka", "oatka_mon", IF(sample_log!$C437="Seneca", "seneca_mon", "one"))))</f>
        <v/>
      </c>
    </row>
    <row r="438" spans="6:6" s="2" customFormat="1" ht="15" x14ac:dyDescent="0.25">
      <c r="F438" s="22" t="str">
        <f>IF(sample_log!$C438="", "", IF(sample_log!$C438="Chapin", "chapin_mon", IF(sample_log!$C438="Oatka", "oatka_mon", IF(sample_log!$C438="Seneca", "seneca_mon", "one"))))</f>
        <v/>
      </c>
    </row>
    <row r="439" spans="6:6" s="2" customFormat="1" ht="15" x14ac:dyDescent="0.25">
      <c r="F439" s="22" t="str">
        <f>IF(sample_log!$C439="", "", IF(sample_log!$C439="Chapin", "chapin_mon", IF(sample_log!$C439="Oatka", "oatka_mon", IF(sample_log!$C439="Seneca", "seneca_mon", "one"))))</f>
        <v/>
      </c>
    </row>
    <row r="440" spans="6:6" s="2" customFormat="1" ht="15" x14ac:dyDescent="0.25">
      <c r="F440" s="22" t="str">
        <f>IF(sample_log!$C440="", "", IF(sample_log!$C440="Chapin", "chapin_mon", IF(sample_log!$C440="Oatka", "oatka_mon", IF(sample_log!$C440="Seneca", "seneca_mon", "one"))))</f>
        <v/>
      </c>
    </row>
    <row r="441" spans="6:6" s="2" customFormat="1" ht="15" x14ac:dyDescent="0.25">
      <c r="F441" s="22" t="str">
        <f>IF(sample_log!$C441="", "", IF(sample_log!$C441="Chapin", "chapin_mon", IF(sample_log!$C441="Oatka", "oatka_mon", IF(sample_log!$C441="Seneca", "seneca_mon", "one"))))</f>
        <v/>
      </c>
    </row>
    <row r="442" spans="6:6" s="2" customFormat="1" ht="15" x14ac:dyDescent="0.25">
      <c r="F442" s="22" t="str">
        <f>IF(sample_log!$C442="", "", IF(sample_log!$C442="Chapin", "chapin_mon", IF(sample_log!$C442="Oatka", "oatka_mon", IF(sample_log!$C442="Seneca", "seneca_mon", "one"))))</f>
        <v/>
      </c>
    </row>
    <row r="443" spans="6:6" s="2" customFormat="1" ht="15" x14ac:dyDescent="0.25">
      <c r="F443" s="22" t="str">
        <f>IF(sample_log!$C443="", "", IF(sample_log!$C443="Chapin", "chapin_mon", IF(sample_log!$C443="Oatka", "oatka_mon", IF(sample_log!$C443="Seneca", "seneca_mon", "one"))))</f>
        <v/>
      </c>
    </row>
    <row r="444" spans="6:6" s="2" customFormat="1" ht="15" x14ac:dyDescent="0.25">
      <c r="F444" s="22" t="str">
        <f>IF(sample_log!$C444="", "", IF(sample_log!$C444="Chapin", "chapin_mon", IF(sample_log!$C444="Oatka", "oatka_mon", IF(sample_log!$C444="Seneca", "seneca_mon", "one"))))</f>
        <v/>
      </c>
    </row>
    <row r="445" spans="6:6" s="2" customFormat="1" ht="15" x14ac:dyDescent="0.25">
      <c r="F445" s="22" t="str">
        <f>IF(sample_log!$C445="", "", IF(sample_log!$C445="Chapin", "chapin_mon", IF(sample_log!$C445="Oatka", "oatka_mon", IF(sample_log!$C445="Seneca", "seneca_mon", "one"))))</f>
        <v/>
      </c>
    </row>
    <row r="446" spans="6:6" s="2" customFormat="1" ht="15" x14ac:dyDescent="0.25">
      <c r="F446" s="22" t="str">
        <f>IF(sample_log!$C446="", "", IF(sample_log!$C446="Chapin", "chapin_mon", IF(sample_log!$C446="Oatka", "oatka_mon", IF(sample_log!$C446="Seneca", "seneca_mon", "one"))))</f>
        <v/>
      </c>
    </row>
    <row r="447" spans="6:6" s="2" customFormat="1" ht="15" x14ac:dyDescent="0.25">
      <c r="F447" s="22" t="str">
        <f>IF(sample_log!$C447="", "", IF(sample_log!$C447="Chapin", "chapin_mon", IF(sample_log!$C447="Oatka", "oatka_mon", IF(sample_log!$C447="Seneca", "seneca_mon", "one"))))</f>
        <v/>
      </c>
    </row>
    <row r="448" spans="6:6" s="2" customFormat="1" ht="15" x14ac:dyDescent="0.25">
      <c r="F448" s="22" t="str">
        <f>IF(sample_log!$C448="", "", IF(sample_log!$C448="Chapin", "chapin_mon", IF(sample_log!$C448="Oatka", "oatka_mon", IF(sample_log!$C448="Seneca", "seneca_mon", "one"))))</f>
        <v/>
      </c>
    </row>
    <row r="449" spans="6:6" s="2" customFormat="1" ht="15" x14ac:dyDescent="0.25">
      <c r="F449" s="22" t="str">
        <f>IF(sample_log!$C449="", "", IF(sample_log!$C449="Chapin", "chapin_mon", IF(sample_log!$C449="Oatka", "oatka_mon", IF(sample_log!$C449="Seneca", "seneca_mon", "one"))))</f>
        <v/>
      </c>
    </row>
    <row r="450" spans="6:6" s="2" customFormat="1" ht="15" x14ac:dyDescent="0.25">
      <c r="F450" s="22" t="str">
        <f>IF(sample_log!$C450="", "", IF(sample_log!$C450="Chapin", "chapin_mon", IF(sample_log!$C450="Oatka", "oatka_mon", IF(sample_log!$C450="Seneca", "seneca_mon", "one"))))</f>
        <v/>
      </c>
    </row>
    <row r="451" spans="6:6" s="2" customFormat="1" ht="15" x14ac:dyDescent="0.25">
      <c r="F451" s="22" t="str">
        <f>IF(sample_log!$C451="", "", IF(sample_log!$C451="Chapin", "chapin_mon", IF(sample_log!$C451="Oatka", "oatka_mon", IF(sample_log!$C451="Seneca", "seneca_mon", "one"))))</f>
        <v/>
      </c>
    </row>
    <row r="452" spans="6:6" s="2" customFormat="1" ht="15" x14ac:dyDescent="0.25">
      <c r="F452" s="22" t="str">
        <f>IF(sample_log!$C452="", "", IF(sample_log!$C452="Chapin", "chapin_mon", IF(sample_log!$C452="Oatka", "oatka_mon", IF(sample_log!$C452="Seneca", "seneca_mon", "one"))))</f>
        <v/>
      </c>
    </row>
    <row r="453" spans="6:6" s="2" customFormat="1" ht="15" x14ac:dyDescent="0.25">
      <c r="F453" s="22" t="str">
        <f>IF(sample_log!$C453="", "", IF(sample_log!$C453="Chapin", "chapin_mon", IF(sample_log!$C453="Oatka", "oatka_mon", IF(sample_log!$C453="Seneca", "seneca_mon", "one"))))</f>
        <v/>
      </c>
    </row>
    <row r="454" spans="6:6" s="2" customFormat="1" ht="15" x14ac:dyDescent="0.25">
      <c r="F454" s="22" t="str">
        <f>IF(sample_log!$C454="", "", IF(sample_log!$C454="Chapin", "chapin_mon", IF(sample_log!$C454="Oatka", "oatka_mon", IF(sample_log!$C454="Seneca", "seneca_mon", "one"))))</f>
        <v/>
      </c>
    </row>
    <row r="455" spans="6:6" s="2" customFormat="1" ht="15" x14ac:dyDescent="0.25">
      <c r="F455" s="22" t="str">
        <f>IF(sample_log!$C455="", "", IF(sample_log!$C455="Chapin", "chapin_mon", IF(sample_log!$C455="Oatka", "oatka_mon", IF(sample_log!$C455="Seneca", "seneca_mon", "one"))))</f>
        <v/>
      </c>
    </row>
    <row r="456" spans="6:6" s="2" customFormat="1" ht="15" x14ac:dyDescent="0.25">
      <c r="F456" s="22" t="str">
        <f>IF(sample_log!$C456="", "", IF(sample_log!$C456="Chapin", "chapin_mon", IF(sample_log!$C456="Oatka", "oatka_mon", IF(sample_log!$C456="Seneca", "seneca_mon", "one"))))</f>
        <v/>
      </c>
    </row>
    <row r="457" spans="6:6" s="2" customFormat="1" ht="15" x14ac:dyDescent="0.25">
      <c r="F457" s="22" t="str">
        <f>IF(sample_log!$C457="", "", IF(sample_log!$C457="Chapin", "chapin_mon", IF(sample_log!$C457="Oatka", "oatka_mon", IF(sample_log!$C457="Seneca", "seneca_mon", "one"))))</f>
        <v/>
      </c>
    </row>
    <row r="458" spans="6:6" s="2" customFormat="1" ht="15" x14ac:dyDescent="0.25">
      <c r="F458" s="22" t="str">
        <f>IF(sample_log!$C458="", "", IF(sample_log!$C458="Chapin", "chapin_mon", IF(sample_log!$C458="Oatka", "oatka_mon", IF(sample_log!$C458="Seneca", "seneca_mon", "one"))))</f>
        <v/>
      </c>
    </row>
    <row r="459" spans="6:6" s="2" customFormat="1" ht="15" x14ac:dyDescent="0.25">
      <c r="F459" s="22" t="str">
        <f>IF(sample_log!$C459="", "", IF(sample_log!$C459="Chapin", "chapin_mon", IF(sample_log!$C459="Oatka", "oatka_mon", IF(sample_log!$C459="Seneca", "seneca_mon", "one"))))</f>
        <v/>
      </c>
    </row>
    <row r="460" spans="6:6" s="2" customFormat="1" ht="15" x14ac:dyDescent="0.25">
      <c r="F460" s="22" t="str">
        <f>IF(sample_log!$C460="", "", IF(sample_log!$C460="Chapin", "chapin_mon", IF(sample_log!$C460="Oatka", "oatka_mon", IF(sample_log!$C460="Seneca", "seneca_mon", "one"))))</f>
        <v/>
      </c>
    </row>
    <row r="461" spans="6:6" s="2" customFormat="1" ht="15" x14ac:dyDescent="0.25">
      <c r="F461" s="22" t="str">
        <f>IF(sample_log!$C461="", "", IF(sample_log!$C461="Chapin", "chapin_mon", IF(sample_log!$C461="Oatka", "oatka_mon", IF(sample_log!$C461="Seneca", "seneca_mon", "one"))))</f>
        <v/>
      </c>
    </row>
    <row r="462" spans="6:6" s="2" customFormat="1" ht="15" x14ac:dyDescent="0.25">
      <c r="F462" s="22" t="str">
        <f>IF(sample_log!$C462="", "", IF(sample_log!$C462="Chapin", "chapin_mon", IF(sample_log!$C462="Oatka", "oatka_mon", IF(sample_log!$C462="Seneca", "seneca_mon", "one"))))</f>
        <v/>
      </c>
    </row>
    <row r="463" spans="6:6" s="2" customFormat="1" ht="15" x14ac:dyDescent="0.25">
      <c r="F463" s="22" t="str">
        <f>IF(sample_log!$C463="", "", IF(sample_log!$C463="Chapin", "chapin_mon", IF(sample_log!$C463="Oatka", "oatka_mon", IF(sample_log!$C463="Seneca", "seneca_mon", "one"))))</f>
        <v/>
      </c>
    </row>
    <row r="464" spans="6:6" s="2" customFormat="1" ht="15" x14ac:dyDescent="0.25">
      <c r="F464" s="22" t="str">
        <f>IF(sample_log!$C464="", "", IF(sample_log!$C464="Chapin", "chapin_mon", IF(sample_log!$C464="Oatka", "oatka_mon", IF(sample_log!$C464="Seneca", "seneca_mon", "one"))))</f>
        <v/>
      </c>
    </row>
    <row r="465" spans="6:6" s="2" customFormat="1" ht="15" x14ac:dyDescent="0.25">
      <c r="F465" s="22" t="str">
        <f>IF(sample_log!$C465="", "", IF(sample_log!$C465="Chapin", "chapin_mon", IF(sample_log!$C465="Oatka", "oatka_mon", IF(sample_log!$C465="Seneca", "seneca_mon", "one"))))</f>
        <v/>
      </c>
    </row>
    <row r="466" spans="6:6" s="2" customFormat="1" ht="15" x14ac:dyDescent="0.25">
      <c r="F466" s="22" t="str">
        <f>IF(sample_log!$C466="", "", IF(sample_log!$C466="Chapin", "chapin_mon", IF(sample_log!$C466="Oatka", "oatka_mon", IF(sample_log!$C466="Seneca", "seneca_mon", "one"))))</f>
        <v/>
      </c>
    </row>
    <row r="467" spans="6:6" s="2" customFormat="1" ht="15" x14ac:dyDescent="0.25">
      <c r="F467" s="22" t="str">
        <f>IF(sample_log!$C467="", "", IF(sample_log!$C467="Chapin", "chapin_mon", IF(sample_log!$C467="Oatka", "oatka_mon", IF(sample_log!$C467="Seneca", "seneca_mon", "one"))))</f>
        <v/>
      </c>
    </row>
    <row r="468" spans="6:6" s="2" customFormat="1" ht="15" x14ac:dyDescent="0.25">
      <c r="F468" s="22" t="str">
        <f>IF(sample_log!$C468="", "", IF(sample_log!$C468="Chapin", "chapin_mon", IF(sample_log!$C468="Oatka", "oatka_mon", IF(sample_log!$C468="Seneca", "seneca_mon", "one"))))</f>
        <v/>
      </c>
    </row>
    <row r="469" spans="6:6" s="2" customFormat="1" ht="15" x14ac:dyDescent="0.25">
      <c r="F469" s="22" t="str">
        <f>IF(sample_log!$C469="", "", IF(sample_log!$C469="Chapin", "chapin_mon", IF(sample_log!$C469="Oatka", "oatka_mon", IF(sample_log!$C469="Seneca", "seneca_mon", "one"))))</f>
        <v/>
      </c>
    </row>
    <row r="470" spans="6:6" s="2" customFormat="1" ht="15" x14ac:dyDescent="0.25">
      <c r="F470" s="22" t="str">
        <f>IF(sample_log!$C470="", "", IF(sample_log!$C470="Chapin", "chapin_mon", IF(sample_log!$C470="Oatka", "oatka_mon", IF(sample_log!$C470="Seneca", "seneca_mon", "one"))))</f>
        <v/>
      </c>
    </row>
    <row r="471" spans="6:6" s="2" customFormat="1" ht="15" x14ac:dyDescent="0.25">
      <c r="F471" s="22" t="str">
        <f>IF(sample_log!$C471="", "", IF(sample_log!$C471="Chapin", "chapin_mon", IF(sample_log!$C471="Oatka", "oatka_mon", IF(sample_log!$C471="Seneca", "seneca_mon", "one"))))</f>
        <v/>
      </c>
    </row>
    <row r="472" spans="6:6" s="2" customFormat="1" ht="15" x14ac:dyDescent="0.25">
      <c r="F472" s="22" t="str">
        <f>IF(sample_log!$C472="", "", IF(sample_log!$C472="Chapin", "chapin_mon", IF(sample_log!$C472="Oatka", "oatka_mon", IF(sample_log!$C472="Seneca", "seneca_mon", "one"))))</f>
        <v/>
      </c>
    </row>
    <row r="473" spans="6:6" s="2" customFormat="1" ht="15" x14ac:dyDescent="0.25">
      <c r="F473" s="22" t="str">
        <f>IF(sample_log!$C473="", "", IF(sample_log!$C473="Chapin", "chapin_mon", IF(sample_log!$C473="Oatka", "oatka_mon", IF(sample_log!$C473="Seneca", "seneca_mon", "one"))))</f>
        <v/>
      </c>
    </row>
    <row r="474" spans="6:6" s="2" customFormat="1" ht="15" x14ac:dyDescent="0.25">
      <c r="F474" s="22" t="str">
        <f>IF(sample_log!$C474="", "", IF(sample_log!$C474="Chapin", "chapin_mon", IF(sample_log!$C474="Oatka", "oatka_mon", IF(sample_log!$C474="Seneca", "seneca_mon", "one"))))</f>
        <v/>
      </c>
    </row>
    <row r="475" spans="6:6" s="2" customFormat="1" ht="15" x14ac:dyDescent="0.25">
      <c r="F475" s="22" t="str">
        <f>IF(sample_log!$C475="", "", IF(sample_log!$C475="Chapin", "chapin_mon", IF(sample_log!$C475="Oatka", "oatka_mon", IF(sample_log!$C475="Seneca", "seneca_mon", "one"))))</f>
        <v/>
      </c>
    </row>
    <row r="476" spans="6:6" s="2" customFormat="1" ht="15" x14ac:dyDescent="0.25">
      <c r="F476" s="22" t="str">
        <f>IF(sample_log!$C476="", "", IF(sample_log!$C476="Chapin", "chapin_mon", IF(sample_log!$C476="Oatka", "oatka_mon", IF(sample_log!$C476="Seneca", "seneca_mon", "one"))))</f>
        <v/>
      </c>
    </row>
    <row r="477" spans="6:6" s="2" customFormat="1" ht="15" x14ac:dyDescent="0.25">
      <c r="F477" s="22" t="str">
        <f>IF(sample_log!$C477="", "", IF(sample_log!$C477="Chapin", "chapin_mon", IF(sample_log!$C477="Oatka", "oatka_mon", IF(sample_log!$C477="Seneca", "seneca_mon", "one"))))</f>
        <v/>
      </c>
    </row>
    <row r="478" spans="6:6" s="2" customFormat="1" ht="15" x14ac:dyDescent="0.25">
      <c r="F478" s="22" t="str">
        <f>IF(sample_log!$C478="", "", IF(sample_log!$C478="Chapin", "chapin_mon", IF(sample_log!$C478="Oatka", "oatka_mon", IF(sample_log!$C478="Seneca", "seneca_mon", "one"))))</f>
        <v/>
      </c>
    </row>
    <row r="479" spans="6:6" s="2" customFormat="1" ht="15" x14ac:dyDescent="0.25">
      <c r="F479" s="22" t="str">
        <f>IF(sample_log!$C479="", "", IF(sample_log!$C479="Chapin", "chapin_mon", IF(sample_log!$C479="Oatka", "oatka_mon", IF(sample_log!$C479="Seneca", "seneca_mon", "one"))))</f>
        <v/>
      </c>
    </row>
    <row r="480" spans="6:6" s="2" customFormat="1" ht="15" x14ac:dyDescent="0.25">
      <c r="F480" s="22" t="str">
        <f>IF(sample_log!$C480="", "", IF(sample_log!$C480="Chapin", "chapin_mon", IF(sample_log!$C480="Oatka", "oatka_mon", IF(sample_log!$C480="Seneca", "seneca_mon", "one"))))</f>
        <v/>
      </c>
    </row>
    <row r="481" spans="6:6" s="2" customFormat="1" ht="15" x14ac:dyDescent="0.25">
      <c r="F481" s="22" t="str">
        <f>IF(sample_log!$C481="", "", IF(sample_log!$C481="Chapin", "chapin_mon", IF(sample_log!$C481="Oatka", "oatka_mon", IF(sample_log!$C481="Seneca", "seneca_mon", "one"))))</f>
        <v/>
      </c>
    </row>
    <row r="482" spans="6:6" s="2" customFormat="1" ht="15" x14ac:dyDescent="0.25">
      <c r="F482" s="22" t="str">
        <f>IF(sample_log!$C482="", "", IF(sample_log!$C482="Chapin", "chapin_mon", IF(sample_log!$C482="Oatka", "oatka_mon", IF(sample_log!$C482="Seneca", "seneca_mon", "one"))))</f>
        <v/>
      </c>
    </row>
    <row r="483" spans="6:6" s="2" customFormat="1" ht="15" x14ac:dyDescent="0.25">
      <c r="F483" s="22" t="str">
        <f>IF(sample_log!$C483="", "", IF(sample_log!$C483="Chapin", "chapin_mon", IF(sample_log!$C483="Oatka", "oatka_mon", IF(sample_log!$C483="Seneca", "seneca_mon", "one"))))</f>
        <v/>
      </c>
    </row>
    <row r="484" spans="6:6" s="2" customFormat="1" ht="15" x14ac:dyDescent="0.25">
      <c r="F484" s="22" t="str">
        <f>IF(sample_log!$C484="", "", IF(sample_log!$C484="Chapin", "chapin_mon", IF(sample_log!$C484="Oatka", "oatka_mon", IF(sample_log!$C484="Seneca", "seneca_mon", "one"))))</f>
        <v/>
      </c>
    </row>
    <row r="485" spans="6:6" s="2" customFormat="1" ht="15" x14ac:dyDescent="0.25">
      <c r="F485" s="22" t="str">
        <f>IF(sample_log!$C485="", "", IF(sample_log!$C485="Chapin", "chapin_mon", IF(sample_log!$C485="Oatka", "oatka_mon", IF(sample_log!$C485="Seneca", "seneca_mon", "one"))))</f>
        <v/>
      </c>
    </row>
    <row r="486" spans="6:6" s="2" customFormat="1" ht="15" x14ac:dyDescent="0.25">
      <c r="F486" s="22" t="str">
        <f>IF(sample_log!$C486="", "", IF(sample_log!$C486="Chapin", "chapin_mon", IF(sample_log!$C486="Oatka", "oatka_mon", IF(sample_log!$C486="Seneca", "seneca_mon", "one"))))</f>
        <v/>
      </c>
    </row>
    <row r="487" spans="6:6" s="2" customFormat="1" ht="15" x14ac:dyDescent="0.25">
      <c r="F487" s="22" t="str">
        <f>IF(sample_log!$C487="", "", IF(sample_log!$C487="Chapin", "chapin_mon", IF(sample_log!$C487="Oatka", "oatka_mon", IF(sample_log!$C487="Seneca", "seneca_mon", "one"))))</f>
        <v/>
      </c>
    </row>
    <row r="488" spans="6:6" s="2" customFormat="1" ht="15" x14ac:dyDescent="0.25">
      <c r="F488" s="22" t="str">
        <f>IF(sample_log!$C488="", "", IF(sample_log!$C488="Chapin", "chapin_mon", IF(sample_log!$C488="Oatka", "oatka_mon", IF(sample_log!$C488="Seneca", "seneca_mon", "one"))))</f>
        <v/>
      </c>
    </row>
    <row r="489" spans="6:6" s="2" customFormat="1" ht="15" x14ac:dyDescent="0.25">
      <c r="F489" s="22" t="str">
        <f>IF(sample_log!$C489="", "", IF(sample_log!$C489="Chapin", "chapin_mon", IF(sample_log!$C489="Oatka", "oatka_mon", IF(sample_log!$C489="Seneca", "seneca_mon", "one"))))</f>
        <v/>
      </c>
    </row>
    <row r="490" spans="6:6" s="2" customFormat="1" ht="15" x14ac:dyDescent="0.25">
      <c r="F490" s="22" t="str">
        <f>IF(sample_log!$C490="", "", IF(sample_log!$C490="Chapin", "chapin_mon", IF(sample_log!$C490="Oatka", "oatka_mon", IF(sample_log!$C490="Seneca", "seneca_mon", "one"))))</f>
        <v/>
      </c>
    </row>
    <row r="491" spans="6:6" s="2" customFormat="1" ht="15" x14ac:dyDescent="0.25">
      <c r="F491" s="22" t="str">
        <f>IF(sample_log!$C491="", "", IF(sample_log!$C491="Chapin", "chapin_mon", IF(sample_log!$C491="Oatka", "oatka_mon", IF(sample_log!$C491="Seneca", "seneca_mon", "one"))))</f>
        <v/>
      </c>
    </row>
    <row r="492" spans="6:6" s="2" customFormat="1" ht="15" x14ac:dyDescent="0.25">
      <c r="F492" s="22" t="str">
        <f>IF(sample_log!$C492="", "", IF(sample_log!$C492="Chapin", "chapin_mon", IF(sample_log!$C492="Oatka", "oatka_mon", IF(sample_log!$C492="Seneca", "seneca_mon", "one"))))</f>
        <v/>
      </c>
    </row>
    <row r="493" spans="6:6" s="2" customFormat="1" ht="15" x14ac:dyDescent="0.25">
      <c r="F493" s="22" t="str">
        <f>IF(sample_log!$C493="", "", IF(sample_log!$C493="Chapin", "chapin_mon", IF(sample_log!$C493="Oatka", "oatka_mon", IF(sample_log!$C493="Seneca", "seneca_mon", "one"))))</f>
        <v/>
      </c>
    </row>
    <row r="494" spans="6:6" s="2" customFormat="1" ht="15" x14ac:dyDescent="0.25">
      <c r="F494" s="22" t="str">
        <f>IF(sample_log!$C494="", "", IF(sample_log!$C494="Chapin", "chapin_mon", IF(sample_log!$C494="Oatka", "oatka_mon", IF(sample_log!$C494="Seneca", "seneca_mon", "one"))))</f>
        <v/>
      </c>
    </row>
    <row r="495" spans="6:6" s="2" customFormat="1" ht="15" x14ac:dyDescent="0.25">
      <c r="F495" s="22" t="str">
        <f>IF(sample_log!$C495="", "", IF(sample_log!$C495="Chapin", "chapin_mon", IF(sample_log!$C495="Oatka", "oatka_mon", IF(sample_log!$C495="Seneca", "seneca_mon", "one"))))</f>
        <v/>
      </c>
    </row>
    <row r="496" spans="6:6" s="2" customFormat="1" ht="15" x14ac:dyDescent="0.25">
      <c r="F496" s="22" t="str">
        <f>IF(sample_log!$C496="", "", IF(sample_log!$C496="Chapin", "chapin_mon", IF(sample_log!$C496="Oatka", "oatka_mon", IF(sample_log!$C496="Seneca", "seneca_mon", "one"))))</f>
        <v/>
      </c>
    </row>
    <row r="497" spans="6:6" s="2" customFormat="1" ht="15" x14ac:dyDescent="0.25">
      <c r="F497" s="22" t="str">
        <f>IF(sample_log!$C497="", "", IF(sample_log!$C497="Chapin", "chapin_mon", IF(sample_log!$C497="Oatka", "oatka_mon", IF(sample_log!$C497="Seneca", "seneca_mon", "one"))))</f>
        <v/>
      </c>
    </row>
    <row r="498" spans="6:6" s="2" customFormat="1" ht="15" x14ac:dyDescent="0.25">
      <c r="F498" s="22" t="str">
        <f>IF(sample_log!$C498="", "", IF(sample_log!$C498="Chapin", "chapin_mon", IF(sample_log!$C498="Oatka", "oatka_mon", IF(sample_log!$C498="Seneca", "seneca_mon", "one"))))</f>
        <v/>
      </c>
    </row>
    <row r="499" spans="6:6" s="2" customFormat="1" ht="15" x14ac:dyDescent="0.25">
      <c r="F499" s="22" t="str">
        <f>IF(sample_log!$C499="", "", IF(sample_log!$C499="Chapin", "chapin_mon", IF(sample_log!$C499="Oatka", "oatka_mon", IF(sample_log!$C499="Seneca", "seneca_mon", "one"))))</f>
        <v/>
      </c>
    </row>
    <row r="500" spans="6:6" s="2" customFormat="1" ht="15" x14ac:dyDescent="0.25">
      <c r="F500" s="22" t="str">
        <f>IF(sample_log!$C500="", "", IF(sample_log!$C500="Chapin", "chapin_mon", IF(sample_log!$C500="Oatka", "oatka_mon", IF(sample_log!$C500="Seneca", "seneca_mon", "one"))))</f>
        <v/>
      </c>
    </row>
    <row r="501" spans="6:6" s="2" customFormat="1" ht="15" x14ac:dyDescent="0.25">
      <c r="F501" s="22" t="str">
        <f>IF(sample_log!$C501="", "", IF(sample_log!$C501="Chapin", "chapin_mon", IF(sample_log!$C501="Oatka", "oatka_mon", IF(sample_log!$C501="Seneca", "seneca_mon", "one"))))</f>
        <v/>
      </c>
    </row>
    <row r="502" spans="6:6" s="2" customFormat="1" ht="15" x14ac:dyDescent="0.25">
      <c r="F502" s="22" t="str">
        <f>IF(sample_log!$C502="", "", IF(sample_log!$C502="Chapin", "chapin_mon", IF(sample_log!$C502="Oatka", "oatka_mon", IF(sample_log!$C502="Seneca", "seneca_mon", "one"))))</f>
        <v/>
      </c>
    </row>
    <row r="503" spans="6:6" s="2" customFormat="1" ht="15" x14ac:dyDescent="0.25">
      <c r="F503" s="22" t="str">
        <f>IF(sample_log!$C503="", "", IF(sample_log!$C503="Chapin", "chapin_mon", IF(sample_log!$C503="Oatka", "oatka_mon", IF(sample_log!$C503="Seneca", "seneca_mon", "one"))))</f>
        <v/>
      </c>
    </row>
    <row r="504" spans="6:6" s="2" customFormat="1" ht="15" x14ac:dyDescent="0.25">
      <c r="F504" s="22" t="str">
        <f>IF(sample_log!$C504="", "", IF(sample_log!$C504="Chapin", "chapin_mon", IF(sample_log!$C504="Oatka", "oatka_mon", IF(sample_log!$C504="Seneca", "seneca_mon", "one"))))</f>
        <v/>
      </c>
    </row>
    <row r="505" spans="6:6" s="2" customFormat="1" ht="15" x14ac:dyDescent="0.25">
      <c r="F505" s="22" t="str">
        <f>IF(sample_log!$C505="", "", IF(sample_log!$C505="Chapin", "chapin_mon", IF(sample_log!$C505="Oatka", "oatka_mon", IF(sample_log!$C505="Seneca", "seneca_mon", "one"))))</f>
        <v/>
      </c>
    </row>
    <row r="506" spans="6:6" s="2" customFormat="1" ht="15" x14ac:dyDescent="0.25">
      <c r="F506" s="22" t="str">
        <f>IF(sample_log!$C506="", "", IF(sample_log!$C506="Chapin", "chapin_mon", IF(sample_log!$C506="Oatka", "oatka_mon", IF(sample_log!$C506="Seneca", "seneca_mon", "one"))))</f>
        <v/>
      </c>
    </row>
    <row r="507" spans="6:6" s="2" customFormat="1" ht="15" x14ac:dyDescent="0.25">
      <c r="F507" s="22" t="str">
        <f>IF(sample_log!$C507="", "", IF(sample_log!$C507="Chapin", "chapin_mon", IF(sample_log!$C507="Oatka", "oatka_mon", IF(sample_log!$C507="Seneca", "seneca_mon", "one"))))</f>
        <v/>
      </c>
    </row>
    <row r="508" spans="6:6" s="2" customFormat="1" ht="15" x14ac:dyDescent="0.25">
      <c r="F508" s="22" t="str">
        <f>IF(sample_log!$C508="", "", IF(sample_log!$C508="Chapin", "chapin_mon", IF(sample_log!$C508="Oatka", "oatka_mon", IF(sample_log!$C508="Seneca", "seneca_mon", "one"))))</f>
        <v/>
      </c>
    </row>
    <row r="509" spans="6:6" s="2" customFormat="1" ht="15" x14ac:dyDescent="0.25">
      <c r="F509" s="22" t="str">
        <f>IF(sample_log!$C509="", "", IF(sample_log!$C509="Chapin", "chapin_mon", IF(sample_log!$C509="Oatka", "oatka_mon", IF(sample_log!$C509="Seneca", "seneca_mon", "one"))))</f>
        <v/>
      </c>
    </row>
    <row r="510" spans="6:6" s="2" customFormat="1" ht="15" x14ac:dyDescent="0.25">
      <c r="F510" s="22" t="str">
        <f>IF(sample_log!$C510="", "", IF(sample_log!$C510="Chapin", "chapin_mon", IF(sample_log!$C510="Oatka", "oatka_mon", IF(sample_log!$C510="Seneca", "seneca_mon", "one"))))</f>
        <v/>
      </c>
    </row>
    <row r="511" spans="6:6" s="2" customFormat="1" ht="15" x14ac:dyDescent="0.25">
      <c r="F511" s="22" t="str">
        <f>IF(sample_log!$C511="", "", IF(sample_log!$C511="Chapin", "chapin_mon", IF(sample_log!$C511="Oatka", "oatka_mon", IF(sample_log!$C511="Seneca", "seneca_mon", "one"))))</f>
        <v/>
      </c>
    </row>
    <row r="512" spans="6:6" s="2" customFormat="1" ht="15" x14ac:dyDescent="0.25">
      <c r="F512" s="22" t="str">
        <f>IF(sample_log!$C512="", "", IF(sample_log!$C512="Chapin", "chapin_mon", IF(sample_log!$C512="Oatka", "oatka_mon", IF(sample_log!$C512="Seneca", "seneca_mon", "one"))))</f>
        <v/>
      </c>
    </row>
    <row r="513" spans="6:6" s="2" customFormat="1" ht="15" x14ac:dyDescent="0.25">
      <c r="F513" s="22" t="str">
        <f>IF(sample_log!$C513="", "", IF(sample_log!$C513="Chapin", "chapin_mon", IF(sample_log!$C513="Oatka", "oatka_mon", IF(sample_log!$C513="Seneca", "seneca_mon", "one"))))</f>
        <v/>
      </c>
    </row>
    <row r="514" spans="6:6" s="2" customFormat="1" ht="15" x14ac:dyDescent="0.25">
      <c r="F514" s="22" t="str">
        <f>IF(sample_log!$C514="", "", IF(sample_log!$C514="Chapin", "chapin_mon", IF(sample_log!$C514="Oatka", "oatka_mon", IF(sample_log!$C514="Seneca", "seneca_mon", "one"))))</f>
        <v/>
      </c>
    </row>
    <row r="515" spans="6:6" s="2" customFormat="1" ht="15" x14ac:dyDescent="0.25">
      <c r="F515" s="22" t="str">
        <f>IF(sample_log!$C515="", "", IF(sample_log!$C515="Chapin", "chapin_mon", IF(sample_log!$C515="Oatka", "oatka_mon", IF(sample_log!$C515="Seneca", "seneca_mon", "one"))))</f>
        <v/>
      </c>
    </row>
    <row r="516" spans="6:6" s="2" customFormat="1" ht="15" x14ac:dyDescent="0.25">
      <c r="F516" s="22" t="str">
        <f>IF(sample_log!$C516="", "", IF(sample_log!$C516="Chapin", "chapin_mon", IF(sample_log!$C516="Oatka", "oatka_mon", IF(sample_log!$C516="Seneca", "seneca_mon", "one"))))</f>
        <v/>
      </c>
    </row>
    <row r="517" spans="6:6" s="2" customFormat="1" ht="15" x14ac:dyDescent="0.25">
      <c r="F517" s="22" t="str">
        <f>IF(sample_log!$C517="", "", IF(sample_log!$C517="Chapin", "chapin_mon", IF(sample_log!$C517="Oatka", "oatka_mon", IF(sample_log!$C517="Seneca", "seneca_mon", "one"))))</f>
        <v/>
      </c>
    </row>
    <row r="518" spans="6:6" s="2" customFormat="1" ht="15" x14ac:dyDescent="0.25">
      <c r="F518" s="22" t="str">
        <f>IF(sample_log!$C518="", "", IF(sample_log!$C518="Chapin", "chapin_mon", IF(sample_log!$C518="Oatka", "oatka_mon", IF(sample_log!$C518="Seneca", "seneca_mon", "one"))))</f>
        <v/>
      </c>
    </row>
    <row r="519" spans="6:6" s="2" customFormat="1" ht="15" x14ac:dyDescent="0.25">
      <c r="F519" s="22" t="str">
        <f>IF(sample_log!$C519="", "", IF(sample_log!$C519="Chapin", "chapin_mon", IF(sample_log!$C519="Oatka", "oatka_mon", IF(sample_log!$C519="Seneca", "seneca_mon", "one"))))</f>
        <v/>
      </c>
    </row>
    <row r="520" spans="6:6" s="2" customFormat="1" ht="15" x14ac:dyDescent="0.25">
      <c r="F520" s="22" t="str">
        <f>IF(sample_log!$C520="", "", IF(sample_log!$C520="Chapin", "chapin_mon", IF(sample_log!$C520="Oatka", "oatka_mon", IF(sample_log!$C520="Seneca", "seneca_mon", "one"))))</f>
        <v/>
      </c>
    </row>
    <row r="521" spans="6:6" s="2" customFormat="1" ht="15" x14ac:dyDescent="0.25">
      <c r="F521" s="22" t="str">
        <f>IF(sample_log!$C521="", "", IF(sample_log!$C521="Chapin", "chapin_mon", IF(sample_log!$C521="Oatka", "oatka_mon", IF(sample_log!$C521="Seneca", "seneca_mon", "one"))))</f>
        <v/>
      </c>
    </row>
    <row r="522" spans="6:6" s="2" customFormat="1" ht="15" x14ac:dyDescent="0.25">
      <c r="F522" s="22" t="str">
        <f>IF(sample_log!$C522="", "", IF(sample_log!$C522="Chapin", "chapin_mon", IF(sample_log!$C522="Oatka", "oatka_mon", IF(sample_log!$C522="Seneca", "seneca_mon", "one"))))</f>
        <v/>
      </c>
    </row>
    <row r="523" spans="6:6" s="2" customFormat="1" ht="15" x14ac:dyDescent="0.25">
      <c r="F523" s="22" t="str">
        <f>IF(sample_log!$C523="", "", IF(sample_log!$C523="Chapin", "chapin_mon", IF(sample_log!$C523="Oatka", "oatka_mon", IF(sample_log!$C523="Seneca", "seneca_mon", "one"))))</f>
        <v/>
      </c>
    </row>
    <row r="524" spans="6:6" s="2" customFormat="1" ht="15" x14ac:dyDescent="0.25">
      <c r="F524" s="22" t="str">
        <f>IF(sample_log!$C524="", "", IF(sample_log!$C524="Chapin", "chapin_mon", IF(sample_log!$C524="Oatka", "oatka_mon", IF(sample_log!$C524="Seneca", "seneca_mon", "one"))))</f>
        <v/>
      </c>
    </row>
    <row r="525" spans="6:6" s="2" customFormat="1" ht="15" x14ac:dyDescent="0.25">
      <c r="F525" s="22" t="str">
        <f>IF(sample_log!$C525="", "", IF(sample_log!$C525="Chapin", "chapin_mon", IF(sample_log!$C525="Oatka", "oatka_mon", IF(sample_log!$C525="Seneca", "seneca_mon", "one"))))</f>
        <v/>
      </c>
    </row>
    <row r="526" spans="6:6" s="2" customFormat="1" ht="15" x14ac:dyDescent="0.25">
      <c r="F526" s="22" t="str">
        <f>IF(sample_log!$C526="", "", IF(sample_log!$C526="Chapin", "chapin_mon", IF(sample_log!$C526="Oatka", "oatka_mon", IF(sample_log!$C526="Seneca", "seneca_mon", "one"))))</f>
        <v/>
      </c>
    </row>
    <row r="527" spans="6:6" s="2" customFormat="1" ht="15" x14ac:dyDescent="0.25">
      <c r="F527" s="22" t="str">
        <f>IF(sample_log!$C527="", "", IF(sample_log!$C527="Chapin", "chapin_mon", IF(sample_log!$C527="Oatka", "oatka_mon", IF(sample_log!$C527="Seneca", "seneca_mon", "one"))))</f>
        <v/>
      </c>
    </row>
    <row r="528" spans="6:6" s="2" customFormat="1" ht="15" x14ac:dyDescent="0.25">
      <c r="F528" s="22" t="str">
        <f>IF(sample_log!$C528="", "", IF(sample_log!$C528="Chapin", "chapin_mon", IF(sample_log!$C528="Oatka", "oatka_mon", IF(sample_log!$C528="Seneca", "seneca_mon", "one"))))</f>
        <v/>
      </c>
    </row>
    <row r="529" spans="6:6" s="2" customFormat="1" ht="15" x14ac:dyDescent="0.25">
      <c r="F529" s="22" t="str">
        <f>IF(sample_log!$C529="", "", IF(sample_log!$C529="Chapin", "chapin_mon", IF(sample_log!$C529="Oatka", "oatka_mon", IF(sample_log!$C529="Seneca", "seneca_mon", "one"))))</f>
        <v/>
      </c>
    </row>
    <row r="530" spans="6:6" s="2" customFormat="1" ht="15" x14ac:dyDescent="0.25">
      <c r="F530" s="22" t="str">
        <f>IF(sample_log!$C530="", "", IF(sample_log!$C530="Chapin", "chapin_mon", IF(sample_log!$C530="Oatka", "oatka_mon", IF(sample_log!$C530="Seneca", "seneca_mon", "one"))))</f>
        <v/>
      </c>
    </row>
    <row r="531" spans="6:6" s="2" customFormat="1" ht="15" x14ac:dyDescent="0.25">
      <c r="F531" s="22" t="str">
        <f>IF(sample_log!$C531="", "", IF(sample_log!$C531="Chapin", "chapin_mon", IF(sample_log!$C531="Oatka", "oatka_mon", IF(sample_log!$C531="Seneca", "seneca_mon", "one"))))</f>
        <v/>
      </c>
    </row>
    <row r="532" spans="6:6" s="2" customFormat="1" ht="15" x14ac:dyDescent="0.25">
      <c r="F532" s="22" t="str">
        <f>IF(sample_log!$C532="", "", IF(sample_log!$C532="Chapin", "chapin_mon", IF(sample_log!$C532="Oatka", "oatka_mon", IF(sample_log!$C532="Seneca", "seneca_mon", "one"))))</f>
        <v/>
      </c>
    </row>
    <row r="533" spans="6:6" s="2" customFormat="1" ht="15" x14ac:dyDescent="0.25">
      <c r="F533" s="22" t="str">
        <f>IF(sample_log!$C533="", "", IF(sample_log!$C533="Chapin", "chapin_mon", IF(sample_log!$C533="Oatka", "oatka_mon", IF(sample_log!$C533="Seneca", "seneca_mon", "one"))))</f>
        <v/>
      </c>
    </row>
    <row r="534" spans="6:6" s="2" customFormat="1" ht="15" x14ac:dyDescent="0.25">
      <c r="F534" s="22" t="str">
        <f>IF(sample_log!$C534="", "", IF(sample_log!$C534="Chapin", "chapin_mon", IF(sample_log!$C534="Oatka", "oatka_mon", IF(sample_log!$C534="Seneca", "seneca_mon", "one"))))</f>
        <v/>
      </c>
    </row>
    <row r="535" spans="6:6" s="2" customFormat="1" ht="15" x14ac:dyDescent="0.25">
      <c r="F535" s="22" t="str">
        <f>IF(sample_log!$C535="", "", IF(sample_log!$C535="Chapin", "chapin_mon", IF(sample_log!$C535="Oatka", "oatka_mon", IF(sample_log!$C535="Seneca", "seneca_mon", "one"))))</f>
        <v/>
      </c>
    </row>
    <row r="536" spans="6:6" s="2" customFormat="1" ht="15" x14ac:dyDescent="0.25">
      <c r="F536" s="22" t="str">
        <f>IF(sample_log!$C536="", "", IF(sample_log!$C536="Chapin", "chapin_mon", IF(sample_log!$C536="Oatka", "oatka_mon", IF(sample_log!$C536="Seneca", "seneca_mon", "one"))))</f>
        <v/>
      </c>
    </row>
    <row r="537" spans="6:6" s="2" customFormat="1" ht="15" x14ac:dyDescent="0.25">
      <c r="F537" s="22" t="str">
        <f>IF(sample_log!$C537="", "", IF(sample_log!$C537="Chapin", "chapin_mon", IF(sample_log!$C537="Oatka", "oatka_mon", IF(sample_log!$C537="Seneca", "seneca_mon", "one"))))</f>
        <v/>
      </c>
    </row>
    <row r="538" spans="6:6" s="2" customFormat="1" ht="15" x14ac:dyDescent="0.25">
      <c r="F538" s="22" t="str">
        <f>IF(sample_log!$C538="", "", IF(sample_log!$C538="Chapin", "chapin_mon", IF(sample_log!$C538="Oatka", "oatka_mon", IF(sample_log!$C538="Seneca", "seneca_mon", "one"))))</f>
        <v/>
      </c>
    </row>
    <row r="539" spans="6:6" s="2" customFormat="1" ht="15" x14ac:dyDescent="0.25">
      <c r="F539" s="22" t="str">
        <f>IF(sample_log!$C539="", "", IF(sample_log!$C539="Chapin", "chapin_mon", IF(sample_log!$C539="Oatka", "oatka_mon", IF(sample_log!$C539="Seneca", "seneca_mon", "one"))))</f>
        <v/>
      </c>
    </row>
    <row r="540" spans="6:6" s="2" customFormat="1" ht="15" x14ac:dyDescent="0.25">
      <c r="F540" s="22" t="str">
        <f>IF(sample_log!$C540="", "", IF(sample_log!$C540="Chapin", "chapin_mon", IF(sample_log!$C540="Oatka", "oatka_mon", IF(sample_log!$C540="Seneca", "seneca_mon", "one"))))</f>
        <v/>
      </c>
    </row>
    <row r="541" spans="6:6" s="2" customFormat="1" ht="15" x14ac:dyDescent="0.25">
      <c r="F541" s="22" t="str">
        <f>IF(sample_log!$C541="", "", IF(sample_log!$C541="Chapin", "chapin_mon", IF(sample_log!$C541="Oatka", "oatka_mon", IF(sample_log!$C541="Seneca", "seneca_mon", "one"))))</f>
        <v/>
      </c>
    </row>
    <row r="542" spans="6:6" s="2" customFormat="1" ht="15" x14ac:dyDescent="0.25">
      <c r="F542" s="22" t="str">
        <f>IF(sample_log!$C542="", "", IF(sample_log!$C542="Chapin", "chapin_mon", IF(sample_log!$C542="Oatka", "oatka_mon", IF(sample_log!$C542="Seneca", "seneca_mon", "one"))))</f>
        <v/>
      </c>
    </row>
    <row r="543" spans="6:6" s="2" customFormat="1" ht="15" x14ac:dyDescent="0.25">
      <c r="F543" s="22" t="str">
        <f>IF(sample_log!$C543="", "", IF(sample_log!$C543="Chapin", "chapin_mon", IF(sample_log!$C543="Oatka", "oatka_mon", IF(sample_log!$C543="Seneca", "seneca_mon", "one"))))</f>
        <v/>
      </c>
    </row>
    <row r="544" spans="6:6" s="2" customFormat="1" ht="15" x14ac:dyDescent="0.25">
      <c r="F544" s="22" t="str">
        <f>IF(sample_log!$C544="", "", IF(sample_log!$C544="Chapin", "chapin_mon", IF(sample_log!$C544="Oatka", "oatka_mon", IF(sample_log!$C544="Seneca", "seneca_mon", "one"))))</f>
        <v/>
      </c>
    </row>
    <row r="545" spans="6:6" s="2" customFormat="1" ht="15" x14ac:dyDescent="0.25">
      <c r="F545" s="22" t="str">
        <f>IF(sample_log!$C545="", "", IF(sample_log!$C545="Chapin", "chapin_mon", IF(sample_log!$C545="Oatka", "oatka_mon", IF(sample_log!$C545="Seneca", "seneca_mon", "one"))))</f>
        <v/>
      </c>
    </row>
    <row r="546" spans="6:6" s="2" customFormat="1" ht="15" x14ac:dyDescent="0.25">
      <c r="F546" s="22" t="str">
        <f>IF(sample_log!$C546="", "", IF(sample_log!$C546="Chapin", "chapin_mon", IF(sample_log!$C546="Oatka", "oatka_mon", IF(sample_log!$C546="Seneca", "seneca_mon", "one"))))</f>
        <v/>
      </c>
    </row>
    <row r="547" spans="6:6" s="2" customFormat="1" ht="15" x14ac:dyDescent="0.25">
      <c r="F547" s="22" t="str">
        <f>IF(sample_log!$C547="", "", IF(sample_log!$C547="Chapin", "chapin_mon", IF(sample_log!$C547="Oatka", "oatka_mon", IF(sample_log!$C547="Seneca", "seneca_mon", "one"))))</f>
        <v/>
      </c>
    </row>
    <row r="548" spans="6:6" s="2" customFormat="1" ht="15" x14ac:dyDescent="0.25">
      <c r="F548" s="22" t="str">
        <f>IF(sample_log!$C548="", "", IF(sample_log!$C548="Chapin", "chapin_mon", IF(sample_log!$C548="Oatka", "oatka_mon", IF(sample_log!$C548="Seneca", "seneca_mon", "one"))))</f>
        <v/>
      </c>
    </row>
    <row r="549" spans="6:6" s="2" customFormat="1" ht="15" x14ac:dyDescent="0.25">
      <c r="F549" s="22" t="str">
        <f>IF(sample_log!$C549="", "", IF(sample_log!$C549="Chapin", "chapin_mon", IF(sample_log!$C549="Oatka", "oatka_mon", IF(sample_log!$C549="Seneca", "seneca_mon", "one"))))</f>
        <v/>
      </c>
    </row>
    <row r="550" spans="6:6" s="2" customFormat="1" ht="15" x14ac:dyDescent="0.25">
      <c r="F550" s="22" t="str">
        <f>IF(sample_log!$C550="", "", IF(sample_log!$C550="Chapin", "chapin_mon", IF(sample_log!$C550="Oatka", "oatka_mon", IF(sample_log!$C550="Seneca", "seneca_mon", "one"))))</f>
        <v/>
      </c>
    </row>
    <row r="551" spans="6:6" s="2" customFormat="1" ht="15" x14ac:dyDescent="0.25">
      <c r="F551" s="22" t="str">
        <f>IF(sample_log!$C551="", "", IF(sample_log!$C551="Chapin", "chapin_mon", IF(sample_log!$C551="Oatka", "oatka_mon", IF(sample_log!$C551="Seneca", "seneca_mon", "one"))))</f>
        <v/>
      </c>
    </row>
    <row r="552" spans="6:6" s="2" customFormat="1" ht="15" x14ac:dyDescent="0.25">
      <c r="F552" s="22" t="str">
        <f>IF(sample_log!$C552="", "", IF(sample_log!$C552="Chapin", "chapin_mon", IF(sample_log!$C552="Oatka", "oatka_mon", IF(sample_log!$C552="Seneca", "seneca_mon", "one"))))</f>
        <v/>
      </c>
    </row>
    <row r="553" spans="6:6" s="2" customFormat="1" ht="15" x14ac:dyDescent="0.25">
      <c r="F553" s="22" t="str">
        <f>IF(sample_log!$C553="", "", IF(sample_log!$C553="Chapin", "chapin_mon", IF(sample_log!$C553="Oatka", "oatka_mon", IF(sample_log!$C553="Seneca", "seneca_mon", "one"))))</f>
        <v/>
      </c>
    </row>
    <row r="554" spans="6:6" s="2" customFormat="1" ht="15" x14ac:dyDescent="0.25">
      <c r="F554" s="22" t="str">
        <f>IF(sample_log!$C554="", "", IF(sample_log!$C554="Chapin", "chapin_mon", IF(sample_log!$C554="Oatka", "oatka_mon", IF(sample_log!$C554="Seneca", "seneca_mon", "one"))))</f>
        <v/>
      </c>
    </row>
    <row r="555" spans="6:6" s="2" customFormat="1" ht="15" x14ac:dyDescent="0.25">
      <c r="F555" s="22" t="str">
        <f>IF(sample_log!$C555="", "", IF(sample_log!$C555="Chapin", "chapin_mon", IF(sample_log!$C555="Oatka", "oatka_mon", IF(sample_log!$C555="Seneca", "seneca_mon", "one"))))</f>
        <v/>
      </c>
    </row>
    <row r="556" spans="6:6" s="2" customFormat="1" ht="15" x14ac:dyDescent="0.25">
      <c r="F556" s="22" t="str">
        <f>IF(sample_log!$C556="", "", IF(sample_log!$C556="Chapin", "chapin_mon", IF(sample_log!$C556="Oatka", "oatka_mon", IF(sample_log!$C556="Seneca", "seneca_mon", "one"))))</f>
        <v/>
      </c>
    </row>
    <row r="557" spans="6:6" s="2" customFormat="1" ht="15" x14ac:dyDescent="0.25">
      <c r="F557" s="22" t="str">
        <f>IF(sample_log!$C557="", "", IF(sample_log!$C557="Chapin", "chapin_mon", IF(sample_log!$C557="Oatka", "oatka_mon", IF(sample_log!$C557="Seneca", "seneca_mon", "one"))))</f>
        <v/>
      </c>
    </row>
    <row r="558" spans="6:6" s="2" customFormat="1" ht="15" x14ac:dyDescent="0.25">
      <c r="F558" s="22" t="str">
        <f>IF(sample_log!$C558="", "", IF(sample_log!$C558="Chapin", "chapin_mon", IF(sample_log!$C558="Oatka", "oatka_mon", IF(sample_log!$C558="Seneca", "seneca_mon", "one"))))</f>
        <v/>
      </c>
    </row>
    <row r="559" spans="6:6" s="2" customFormat="1" ht="15" x14ac:dyDescent="0.25">
      <c r="F559" s="22" t="str">
        <f>IF(sample_log!$C559="", "", IF(sample_log!$C559="Chapin", "chapin_mon", IF(sample_log!$C559="Oatka", "oatka_mon", IF(sample_log!$C559="Seneca", "seneca_mon", "one"))))</f>
        <v/>
      </c>
    </row>
    <row r="560" spans="6:6" s="2" customFormat="1" ht="15" x14ac:dyDescent="0.25">
      <c r="F560" s="22" t="str">
        <f>IF(sample_log!$C560="", "", IF(sample_log!$C560="Chapin", "chapin_mon", IF(sample_log!$C560="Oatka", "oatka_mon", IF(sample_log!$C560="Seneca", "seneca_mon", "one"))))</f>
        <v/>
      </c>
    </row>
    <row r="561" spans="6:6" s="2" customFormat="1" ht="15" x14ac:dyDescent="0.25">
      <c r="F561" s="22" t="str">
        <f>IF(sample_log!$C561="", "", IF(sample_log!$C561="Chapin", "chapin_mon", IF(sample_log!$C561="Oatka", "oatka_mon", IF(sample_log!$C561="Seneca", "seneca_mon", "one"))))</f>
        <v/>
      </c>
    </row>
    <row r="562" spans="6:6" s="2" customFormat="1" ht="15" x14ac:dyDescent="0.25">
      <c r="F562" s="22" t="str">
        <f>IF(sample_log!$C562="", "", IF(sample_log!$C562="Chapin", "chapin_mon", IF(sample_log!$C562="Oatka", "oatka_mon", IF(sample_log!$C562="Seneca", "seneca_mon", "one"))))</f>
        <v/>
      </c>
    </row>
    <row r="563" spans="6:6" s="2" customFormat="1" ht="15" x14ac:dyDescent="0.25">
      <c r="F563" s="22" t="str">
        <f>IF(sample_log!$C563="", "", IF(sample_log!$C563="Chapin", "chapin_mon", IF(sample_log!$C563="Oatka", "oatka_mon", IF(sample_log!$C563="Seneca", "seneca_mon", "one"))))</f>
        <v/>
      </c>
    </row>
    <row r="564" spans="6:6" s="2" customFormat="1" ht="15" x14ac:dyDescent="0.25">
      <c r="F564" s="22" t="str">
        <f>IF(sample_log!$C564="", "", IF(sample_log!$C564="Chapin", "chapin_mon", IF(sample_log!$C564="Oatka", "oatka_mon", IF(sample_log!$C564="Seneca", "seneca_mon", "one"))))</f>
        <v/>
      </c>
    </row>
    <row r="565" spans="6:6" s="2" customFormat="1" ht="15" x14ac:dyDescent="0.25">
      <c r="F565" s="22" t="str">
        <f>IF(sample_log!$C565="", "", IF(sample_log!$C565="Chapin", "chapin_mon", IF(sample_log!$C565="Oatka", "oatka_mon", IF(sample_log!$C565="Seneca", "seneca_mon", "one"))))</f>
        <v/>
      </c>
    </row>
    <row r="566" spans="6:6" s="2" customFormat="1" ht="15" x14ac:dyDescent="0.25">
      <c r="F566" s="22" t="str">
        <f>IF(sample_log!$C566="", "", IF(sample_log!$C566="Chapin", "chapin_mon", IF(sample_log!$C566="Oatka", "oatka_mon", IF(sample_log!$C566="Seneca", "seneca_mon", "one"))))</f>
        <v/>
      </c>
    </row>
    <row r="567" spans="6:6" s="2" customFormat="1" ht="15" x14ac:dyDescent="0.25">
      <c r="F567" s="22" t="str">
        <f>IF(sample_log!$C567="", "", IF(sample_log!$C567="Chapin", "chapin_mon", IF(sample_log!$C567="Oatka", "oatka_mon", IF(sample_log!$C567="Seneca", "seneca_mon", "one"))))</f>
        <v/>
      </c>
    </row>
    <row r="568" spans="6:6" s="2" customFormat="1" ht="15" x14ac:dyDescent="0.25">
      <c r="F568" s="22" t="str">
        <f>IF(sample_log!$C568="", "", IF(sample_log!$C568="Chapin", "chapin_mon", IF(sample_log!$C568="Oatka", "oatka_mon", IF(sample_log!$C568="Seneca", "seneca_mon", "one"))))</f>
        <v/>
      </c>
    </row>
    <row r="569" spans="6:6" s="2" customFormat="1" ht="15" x14ac:dyDescent="0.25">
      <c r="F569" s="22" t="str">
        <f>IF(sample_log!$C569="", "", IF(sample_log!$C569="Chapin", "chapin_mon", IF(sample_log!$C569="Oatka", "oatka_mon", IF(sample_log!$C569="Seneca", "seneca_mon", "one"))))</f>
        <v/>
      </c>
    </row>
    <row r="570" spans="6:6" s="2" customFormat="1" ht="15" x14ac:dyDescent="0.25">
      <c r="F570" s="22" t="str">
        <f>IF(sample_log!$C570="", "", IF(sample_log!$C570="Chapin", "chapin_mon", IF(sample_log!$C570="Oatka", "oatka_mon", IF(sample_log!$C570="Seneca", "seneca_mon", "one"))))</f>
        <v/>
      </c>
    </row>
    <row r="571" spans="6:6" s="2" customFormat="1" ht="15" x14ac:dyDescent="0.25">
      <c r="F571" s="22" t="str">
        <f>IF(sample_log!$C571="", "", IF(sample_log!$C571="Chapin", "chapin_mon", IF(sample_log!$C571="Oatka", "oatka_mon", IF(sample_log!$C571="Seneca", "seneca_mon", "one"))))</f>
        <v/>
      </c>
    </row>
    <row r="572" spans="6:6" s="2" customFormat="1" ht="15" x14ac:dyDescent="0.25">
      <c r="F572" s="22" t="str">
        <f>IF(sample_log!$C572="", "", IF(sample_log!$C572="Chapin", "chapin_mon", IF(sample_log!$C572="Oatka", "oatka_mon", IF(sample_log!$C572="Seneca", "seneca_mon", "one"))))</f>
        <v/>
      </c>
    </row>
    <row r="573" spans="6:6" s="2" customFormat="1" ht="15" x14ac:dyDescent="0.25">
      <c r="F573" s="22" t="str">
        <f>IF(sample_log!$C573="", "", IF(sample_log!$C573="Chapin", "chapin_mon", IF(sample_log!$C573="Oatka", "oatka_mon", IF(sample_log!$C573="Seneca", "seneca_mon", "one"))))</f>
        <v/>
      </c>
    </row>
    <row r="574" spans="6:6" s="2" customFormat="1" ht="15" x14ac:dyDescent="0.25">
      <c r="F574" s="22" t="str">
        <f>IF(sample_log!$C574="", "", IF(sample_log!$C574="Chapin", "chapin_mon", IF(sample_log!$C574="Oatka", "oatka_mon", IF(sample_log!$C574="Seneca", "seneca_mon", "one"))))</f>
        <v/>
      </c>
    </row>
    <row r="575" spans="6:6" s="2" customFormat="1" ht="15" x14ac:dyDescent="0.25">
      <c r="F575" s="22" t="str">
        <f>IF(sample_log!$C575="", "", IF(sample_log!$C575="Chapin", "chapin_mon", IF(sample_log!$C575="Oatka", "oatka_mon", IF(sample_log!$C575="Seneca", "seneca_mon", "one"))))</f>
        <v/>
      </c>
    </row>
    <row r="576" spans="6:6" s="2" customFormat="1" ht="15" x14ac:dyDescent="0.25">
      <c r="F576" s="22" t="str">
        <f>IF(sample_log!$C576="", "", IF(sample_log!$C576="Chapin", "chapin_mon", IF(sample_log!$C576="Oatka", "oatka_mon", IF(sample_log!$C576="Seneca", "seneca_mon", "one"))))</f>
        <v/>
      </c>
    </row>
    <row r="577" spans="6:6" s="2" customFormat="1" ht="15" x14ac:dyDescent="0.25">
      <c r="F577" s="22" t="str">
        <f>IF(sample_log!$C577="", "", IF(sample_log!$C577="Chapin", "chapin_mon", IF(sample_log!$C577="Oatka", "oatka_mon", IF(sample_log!$C577="Seneca", "seneca_mon", "one"))))</f>
        <v/>
      </c>
    </row>
    <row r="578" spans="6:6" s="2" customFormat="1" ht="15" x14ac:dyDescent="0.25">
      <c r="F578" s="22" t="str">
        <f>IF(sample_log!$C578="", "", IF(sample_log!$C578="Chapin", "chapin_mon", IF(sample_log!$C578="Oatka", "oatka_mon", IF(sample_log!$C578="Seneca", "seneca_mon", "one"))))</f>
        <v/>
      </c>
    </row>
    <row r="579" spans="6:6" s="2" customFormat="1" ht="15" x14ac:dyDescent="0.25">
      <c r="F579" s="22" t="str">
        <f>IF(sample_log!$C579="", "", IF(sample_log!$C579="Chapin", "chapin_mon", IF(sample_log!$C579="Oatka", "oatka_mon", IF(sample_log!$C579="Seneca", "seneca_mon", "one"))))</f>
        <v/>
      </c>
    </row>
    <row r="580" spans="6:6" s="2" customFormat="1" ht="15" x14ac:dyDescent="0.25">
      <c r="F580" s="22" t="str">
        <f>IF(sample_log!$C580="", "", IF(sample_log!$C580="Chapin", "chapin_mon", IF(sample_log!$C580="Oatka", "oatka_mon", IF(sample_log!$C580="Seneca", "seneca_mon", "one"))))</f>
        <v/>
      </c>
    </row>
    <row r="581" spans="6:6" s="2" customFormat="1" ht="15" x14ac:dyDescent="0.25">
      <c r="F581" s="22" t="str">
        <f>IF(sample_log!$C581="", "", IF(sample_log!$C581="Chapin", "chapin_mon", IF(sample_log!$C581="Oatka", "oatka_mon", IF(sample_log!$C581="Seneca", "seneca_mon", "one"))))</f>
        <v/>
      </c>
    </row>
    <row r="582" spans="6:6" s="2" customFormat="1" ht="15" x14ac:dyDescent="0.25">
      <c r="F582" s="22" t="str">
        <f>IF(sample_log!$C582="", "", IF(sample_log!$C582="Chapin", "chapin_mon", IF(sample_log!$C582="Oatka", "oatka_mon", IF(sample_log!$C582="Seneca", "seneca_mon", "one"))))</f>
        <v/>
      </c>
    </row>
    <row r="583" spans="6:6" s="2" customFormat="1" ht="15" x14ac:dyDescent="0.25">
      <c r="F583" s="22" t="str">
        <f>IF(sample_log!$C583="", "", IF(sample_log!$C583="Chapin", "chapin_mon", IF(sample_log!$C583="Oatka", "oatka_mon", IF(sample_log!$C583="Seneca", "seneca_mon", "one"))))</f>
        <v/>
      </c>
    </row>
    <row r="584" spans="6:6" s="2" customFormat="1" ht="15" x14ac:dyDescent="0.25">
      <c r="F584" s="22" t="str">
        <f>IF(sample_log!$C584="", "", IF(sample_log!$C584="Chapin", "chapin_mon", IF(sample_log!$C584="Oatka", "oatka_mon", IF(sample_log!$C584="Seneca", "seneca_mon", "one"))))</f>
        <v/>
      </c>
    </row>
    <row r="585" spans="6:6" s="2" customFormat="1" ht="15" x14ac:dyDescent="0.25">
      <c r="F585" s="22" t="str">
        <f>IF(sample_log!$C585="", "", IF(sample_log!$C585="Chapin", "chapin_mon", IF(sample_log!$C585="Oatka", "oatka_mon", IF(sample_log!$C585="Seneca", "seneca_mon", "one"))))</f>
        <v/>
      </c>
    </row>
    <row r="586" spans="6:6" s="2" customFormat="1" ht="15" x14ac:dyDescent="0.25">
      <c r="F586" s="22" t="str">
        <f>IF(sample_log!$C586="", "", IF(sample_log!$C586="Chapin", "chapin_mon", IF(sample_log!$C586="Oatka", "oatka_mon", IF(sample_log!$C586="Seneca", "seneca_mon", "one"))))</f>
        <v/>
      </c>
    </row>
    <row r="587" spans="6:6" s="2" customFormat="1" ht="15" x14ac:dyDescent="0.25">
      <c r="F587" s="22" t="str">
        <f>IF(sample_log!$C587="", "", IF(sample_log!$C587="Chapin", "chapin_mon", IF(sample_log!$C587="Oatka", "oatka_mon", IF(sample_log!$C587="Seneca", "seneca_mon", "one"))))</f>
        <v/>
      </c>
    </row>
    <row r="588" spans="6:6" s="2" customFormat="1" ht="15" x14ac:dyDescent="0.25">
      <c r="F588" s="22" t="str">
        <f>IF(sample_log!$C588="", "", IF(sample_log!$C588="Chapin", "chapin_mon", IF(sample_log!$C588="Oatka", "oatka_mon", IF(sample_log!$C588="Seneca", "seneca_mon", "one"))))</f>
        <v/>
      </c>
    </row>
    <row r="589" spans="6:6" s="2" customFormat="1" ht="15" x14ac:dyDescent="0.25">
      <c r="F589" s="22" t="str">
        <f>IF(sample_log!$C589="", "", IF(sample_log!$C589="Chapin", "chapin_mon", IF(sample_log!$C589="Oatka", "oatka_mon", IF(sample_log!$C589="Seneca", "seneca_mon", "one"))))</f>
        <v/>
      </c>
    </row>
    <row r="590" spans="6:6" s="2" customFormat="1" ht="15" x14ac:dyDescent="0.25">
      <c r="F590" s="22" t="str">
        <f>IF(sample_log!$C590="", "", IF(sample_log!$C590="Chapin", "chapin_mon", IF(sample_log!$C590="Oatka", "oatka_mon", IF(sample_log!$C590="Seneca", "seneca_mon", "one"))))</f>
        <v/>
      </c>
    </row>
    <row r="591" spans="6:6" s="2" customFormat="1" ht="15" x14ac:dyDescent="0.25">
      <c r="F591" s="22" t="str">
        <f>IF(sample_log!$C591="", "", IF(sample_log!$C591="Chapin", "chapin_mon", IF(sample_log!$C591="Oatka", "oatka_mon", IF(sample_log!$C591="Seneca", "seneca_mon", "one"))))</f>
        <v/>
      </c>
    </row>
    <row r="592" spans="6:6" s="2" customFormat="1" ht="15" x14ac:dyDescent="0.25">
      <c r="F592" s="22" t="str">
        <f>IF(sample_log!$C592="", "", IF(sample_log!$C592="Chapin", "chapin_mon", IF(sample_log!$C592="Oatka", "oatka_mon", IF(sample_log!$C592="Seneca", "seneca_mon", "one"))))</f>
        <v/>
      </c>
    </row>
    <row r="593" spans="6:6" s="2" customFormat="1" ht="15" x14ac:dyDescent="0.25">
      <c r="F593" s="22" t="str">
        <f>IF(sample_log!$C593="", "", IF(sample_log!$C593="Chapin", "chapin_mon", IF(sample_log!$C593="Oatka", "oatka_mon", IF(sample_log!$C593="Seneca", "seneca_mon", "one"))))</f>
        <v/>
      </c>
    </row>
    <row r="594" spans="6:6" s="2" customFormat="1" ht="15" x14ac:dyDescent="0.25">
      <c r="F594" s="22" t="str">
        <f>IF(sample_log!$C594="", "", IF(sample_log!$C594="Chapin", "chapin_mon", IF(sample_log!$C594="Oatka", "oatka_mon", IF(sample_log!$C594="Seneca", "seneca_mon", "one"))))</f>
        <v/>
      </c>
    </row>
    <row r="595" spans="6:6" s="2" customFormat="1" ht="15" x14ac:dyDescent="0.25">
      <c r="F595" s="22" t="str">
        <f>IF(sample_log!$C595="", "", IF(sample_log!$C595="Chapin", "chapin_mon", IF(sample_log!$C595="Oatka", "oatka_mon", IF(sample_log!$C595="Seneca", "seneca_mon", "one"))))</f>
        <v/>
      </c>
    </row>
    <row r="596" spans="6:6" s="2" customFormat="1" ht="15" x14ac:dyDescent="0.25">
      <c r="F596" s="22" t="str">
        <f>IF(sample_log!$C596="", "", IF(sample_log!$C596="Chapin", "chapin_mon", IF(sample_log!$C596="Oatka", "oatka_mon", IF(sample_log!$C596="Seneca", "seneca_mon", "one"))))</f>
        <v/>
      </c>
    </row>
    <row r="597" spans="6:6" s="2" customFormat="1" ht="15" x14ac:dyDescent="0.25">
      <c r="F597" s="22" t="str">
        <f>IF(sample_log!$C597="", "", IF(sample_log!$C597="Chapin", "chapin_mon", IF(sample_log!$C597="Oatka", "oatka_mon", IF(sample_log!$C597="Seneca", "seneca_mon", "one"))))</f>
        <v/>
      </c>
    </row>
    <row r="598" spans="6:6" s="2" customFormat="1" ht="15" x14ac:dyDescent="0.25">
      <c r="F598" s="22" t="str">
        <f>IF(sample_log!$C598="", "", IF(sample_log!$C598="Chapin", "chapin_mon", IF(sample_log!$C598="Oatka", "oatka_mon", IF(sample_log!$C598="Seneca", "seneca_mon", "one"))))</f>
        <v/>
      </c>
    </row>
    <row r="599" spans="6:6" s="2" customFormat="1" ht="15" x14ac:dyDescent="0.25">
      <c r="F599" s="22" t="str">
        <f>IF(sample_log!$C599="", "", IF(sample_log!$C599="Chapin", "chapin_mon", IF(sample_log!$C599="Oatka", "oatka_mon", IF(sample_log!$C599="Seneca", "seneca_mon", "one"))))</f>
        <v/>
      </c>
    </row>
    <row r="600" spans="6:6" s="2" customFormat="1" ht="15" x14ac:dyDescent="0.25">
      <c r="F600" s="22" t="str">
        <f>IF(sample_log!$C600="", "", IF(sample_log!$C600="Chapin", "chapin_mon", IF(sample_log!$C600="Oatka", "oatka_mon", IF(sample_log!$C600="Seneca", "seneca_mon", "one"))))</f>
        <v/>
      </c>
    </row>
    <row r="601" spans="6:6" s="2" customFormat="1" ht="15" x14ac:dyDescent="0.25">
      <c r="F601" s="22" t="str">
        <f>IF(sample_log!$C601="", "", IF(sample_log!$C601="Chapin", "chapin_mon", IF(sample_log!$C601="Oatka", "oatka_mon", IF(sample_log!$C601="Seneca", "seneca_mon", "one"))))</f>
        <v/>
      </c>
    </row>
    <row r="602" spans="6:6" s="2" customFormat="1" ht="15" x14ac:dyDescent="0.25">
      <c r="F602" s="22" t="str">
        <f>IF(sample_log!$C602="", "", IF(sample_log!$C602="Chapin", "chapin_mon", IF(sample_log!$C602="Oatka", "oatka_mon", IF(sample_log!$C602="Seneca", "seneca_mon", "one"))))</f>
        <v/>
      </c>
    </row>
    <row r="603" spans="6:6" s="2" customFormat="1" ht="15" x14ac:dyDescent="0.25">
      <c r="F603" s="22" t="str">
        <f>IF(sample_log!$C603="", "", IF(sample_log!$C603="Chapin", "chapin_mon", IF(sample_log!$C603="Oatka", "oatka_mon", IF(sample_log!$C603="Seneca", "seneca_mon", "one"))))</f>
        <v/>
      </c>
    </row>
    <row r="604" spans="6:6" s="2" customFormat="1" ht="15" x14ac:dyDescent="0.25">
      <c r="F604" s="22" t="str">
        <f>IF(sample_log!$C604="", "", IF(sample_log!$C604="Chapin", "chapin_mon", IF(sample_log!$C604="Oatka", "oatka_mon", IF(sample_log!$C604="Seneca", "seneca_mon", "one"))))</f>
        <v/>
      </c>
    </row>
    <row r="605" spans="6:6" s="2" customFormat="1" ht="15" x14ac:dyDescent="0.25">
      <c r="F605" s="22" t="str">
        <f>IF(sample_log!$C605="", "", IF(sample_log!$C605="Chapin", "chapin_mon", IF(sample_log!$C605="Oatka", "oatka_mon", IF(sample_log!$C605="Seneca", "seneca_mon", "one"))))</f>
        <v/>
      </c>
    </row>
    <row r="606" spans="6:6" s="2" customFormat="1" ht="15" x14ac:dyDescent="0.25">
      <c r="F606" s="22" t="str">
        <f>IF(sample_log!$C606="", "", IF(sample_log!$C606="Chapin", "chapin_mon", IF(sample_log!$C606="Oatka", "oatka_mon", IF(sample_log!$C606="Seneca", "seneca_mon", "one"))))</f>
        <v/>
      </c>
    </row>
    <row r="607" spans="6:6" s="2" customFormat="1" ht="15" x14ac:dyDescent="0.25">
      <c r="F607" s="22" t="str">
        <f>IF(sample_log!$C607="", "", IF(sample_log!$C607="Chapin", "chapin_mon", IF(sample_log!$C607="Oatka", "oatka_mon", IF(sample_log!$C607="Seneca", "seneca_mon", "one"))))</f>
        <v/>
      </c>
    </row>
    <row r="608" spans="6:6" s="2" customFormat="1" ht="15" x14ac:dyDescent="0.25">
      <c r="F608" s="22" t="str">
        <f>IF(sample_log!$C608="", "", IF(sample_log!$C608="Chapin", "chapin_mon", IF(sample_log!$C608="Oatka", "oatka_mon", IF(sample_log!$C608="Seneca", "seneca_mon", "one"))))</f>
        <v/>
      </c>
    </row>
    <row r="609" spans="6:6" s="2" customFormat="1" ht="15" x14ac:dyDescent="0.25">
      <c r="F609" s="22" t="str">
        <f>IF(sample_log!$C609="", "", IF(sample_log!$C609="Chapin", "chapin_mon", IF(sample_log!$C609="Oatka", "oatka_mon", IF(sample_log!$C609="Seneca", "seneca_mon", "one"))))</f>
        <v/>
      </c>
    </row>
    <row r="610" spans="6:6" s="2" customFormat="1" ht="15" x14ac:dyDescent="0.25">
      <c r="F610" s="22" t="str">
        <f>IF(sample_log!$C610="", "", IF(sample_log!$C610="Chapin", "chapin_mon", IF(sample_log!$C610="Oatka", "oatka_mon", IF(sample_log!$C610="Seneca", "seneca_mon", "one"))))</f>
        <v/>
      </c>
    </row>
    <row r="611" spans="6:6" s="2" customFormat="1" ht="15" x14ac:dyDescent="0.25">
      <c r="F611" s="22" t="str">
        <f>IF(sample_log!$C611="", "", IF(sample_log!$C611="Chapin", "chapin_mon", IF(sample_log!$C611="Oatka", "oatka_mon", IF(sample_log!$C611="Seneca", "seneca_mon", "one"))))</f>
        <v/>
      </c>
    </row>
    <row r="612" spans="6:6" s="2" customFormat="1" ht="15" x14ac:dyDescent="0.25">
      <c r="F612" s="22" t="str">
        <f>IF(sample_log!$C612="", "", IF(sample_log!$C612="Chapin", "chapin_mon", IF(sample_log!$C612="Oatka", "oatka_mon", IF(sample_log!$C612="Seneca", "seneca_mon", "one"))))</f>
        <v/>
      </c>
    </row>
    <row r="613" spans="6:6" s="2" customFormat="1" ht="15" x14ac:dyDescent="0.25">
      <c r="F613" s="22" t="str">
        <f>IF(sample_log!$C613="", "", IF(sample_log!$C613="Chapin", "chapin_mon", IF(sample_log!$C613="Oatka", "oatka_mon", IF(sample_log!$C613="Seneca", "seneca_mon", "one"))))</f>
        <v/>
      </c>
    </row>
    <row r="614" spans="6:6" s="2" customFormat="1" ht="15" x14ac:dyDescent="0.25">
      <c r="F614" s="22" t="str">
        <f>IF(sample_log!$C614="", "", IF(sample_log!$C614="Chapin", "chapin_mon", IF(sample_log!$C614="Oatka", "oatka_mon", IF(sample_log!$C614="Seneca", "seneca_mon", "one"))))</f>
        <v/>
      </c>
    </row>
    <row r="615" spans="6:6" s="2" customFormat="1" ht="15" x14ac:dyDescent="0.25">
      <c r="F615" s="22" t="str">
        <f>IF(sample_log!$C615="", "", IF(sample_log!$C615="Chapin", "chapin_mon", IF(sample_log!$C615="Oatka", "oatka_mon", IF(sample_log!$C615="Seneca", "seneca_mon", "one"))))</f>
        <v/>
      </c>
    </row>
    <row r="616" spans="6:6" s="2" customFormat="1" ht="15" x14ac:dyDescent="0.25">
      <c r="F616" s="22" t="str">
        <f>IF(sample_log!$C616="", "", IF(sample_log!$C616="Chapin", "chapin_mon", IF(sample_log!$C616="Oatka", "oatka_mon", IF(sample_log!$C616="Seneca", "seneca_mon", "one"))))</f>
        <v/>
      </c>
    </row>
    <row r="617" spans="6:6" s="2" customFormat="1" ht="15" x14ac:dyDescent="0.25">
      <c r="F617" s="22" t="str">
        <f>IF(sample_log!$C617="", "", IF(sample_log!$C617="Chapin", "chapin_mon", IF(sample_log!$C617="Oatka", "oatka_mon", IF(sample_log!$C617="Seneca", "seneca_mon", "one"))))</f>
        <v/>
      </c>
    </row>
    <row r="618" spans="6:6" s="2" customFormat="1" ht="15" x14ac:dyDescent="0.25">
      <c r="F618" s="22" t="str">
        <f>IF(sample_log!$C618="", "", IF(sample_log!$C618="Chapin", "chapin_mon", IF(sample_log!$C618="Oatka", "oatka_mon", IF(sample_log!$C618="Seneca", "seneca_mon", "one"))))</f>
        <v/>
      </c>
    </row>
    <row r="619" spans="6:6" s="2" customFormat="1" ht="15" x14ac:dyDescent="0.25">
      <c r="F619" s="22" t="str">
        <f>IF(sample_log!$C619="", "", IF(sample_log!$C619="Chapin", "chapin_mon", IF(sample_log!$C619="Oatka", "oatka_mon", IF(sample_log!$C619="Seneca", "seneca_mon", "one"))))</f>
        <v/>
      </c>
    </row>
    <row r="620" spans="6:6" s="2" customFormat="1" ht="15" x14ac:dyDescent="0.25">
      <c r="F620" s="22" t="str">
        <f>IF(sample_log!$C620="", "", IF(sample_log!$C620="Chapin", "chapin_mon", IF(sample_log!$C620="Oatka", "oatka_mon", IF(sample_log!$C620="Seneca", "seneca_mon", "one"))))</f>
        <v/>
      </c>
    </row>
    <row r="621" spans="6:6" s="2" customFormat="1" ht="15" x14ac:dyDescent="0.25">
      <c r="F621" s="22" t="str">
        <f>IF(sample_log!$C621="", "", IF(sample_log!$C621="Chapin", "chapin_mon", IF(sample_log!$C621="Oatka", "oatka_mon", IF(sample_log!$C621="Seneca", "seneca_mon", "one"))))</f>
        <v/>
      </c>
    </row>
    <row r="622" spans="6:6" s="2" customFormat="1" ht="15" x14ac:dyDescent="0.25">
      <c r="F622" s="22" t="str">
        <f>IF(sample_log!$C622="", "", IF(sample_log!$C622="Chapin", "chapin_mon", IF(sample_log!$C622="Oatka", "oatka_mon", IF(sample_log!$C622="Seneca", "seneca_mon", "one"))))</f>
        <v/>
      </c>
    </row>
    <row r="623" spans="6:6" s="2" customFormat="1" ht="15" x14ac:dyDescent="0.25">
      <c r="F623" s="22" t="str">
        <f>IF(sample_log!$C623="", "", IF(sample_log!$C623="Chapin", "chapin_mon", IF(sample_log!$C623="Oatka", "oatka_mon", IF(sample_log!$C623="Seneca", "seneca_mon", "one"))))</f>
        <v/>
      </c>
    </row>
    <row r="624" spans="6:6" s="2" customFormat="1" ht="15" x14ac:dyDescent="0.25">
      <c r="F624" s="22" t="str">
        <f>IF(sample_log!$C624="", "", IF(sample_log!$C624="Chapin", "chapin_mon", IF(sample_log!$C624="Oatka", "oatka_mon", IF(sample_log!$C624="Seneca", "seneca_mon", "one"))))</f>
        <v/>
      </c>
    </row>
    <row r="625" spans="6:6" s="2" customFormat="1" ht="15" x14ac:dyDescent="0.25">
      <c r="F625" s="22" t="str">
        <f>IF(sample_log!$C625="", "", IF(sample_log!$C625="Chapin", "chapin_mon", IF(sample_log!$C625="Oatka", "oatka_mon", IF(sample_log!$C625="Seneca", "seneca_mon", "one"))))</f>
        <v/>
      </c>
    </row>
    <row r="626" spans="6:6" s="2" customFormat="1" ht="15" x14ac:dyDescent="0.25">
      <c r="F626" s="22" t="str">
        <f>IF(sample_log!$C626="", "", IF(sample_log!$C626="Chapin", "chapin_mon", IF(sample_log!$C626="Oatka", "oatka_mon", IF(sample_log!$C626="Seneca", "seneca_mon", "one"))))</f>
        <v/>
      </c>
    </row>
    <row r="627" spans="6:6" s="2" customFormat="1" ht="15" x14ac:dyDescent="0.25">
      <c r="F627" s="22" t="str">
        <f>IF(sample_log!$C627="", "", IF(sample_log!$C627="Chapin", "chapin_mon", IF(sample_log!$C627="Oatka", "oatka_mon", IF(sample_log!$C627="Seneca", "seneca_mon", "one"))))</f>
        <v/>
      </c>
    </row>
    <row r="628" spans="6:6" s="2" customFormat="1" ht="15" x14ac:dyDescent="0.25">
      <c r="F628" s="22" t="str">
        <f>IF(sample_log!$C628="", "", IF(sample_log!$C628="Chapin", "chapin_mon", IF(sample_log!$C628="Oatka", "oatka_mon", IF(sample_log!$C628="Seneca", "seneca_mon", "one"))))</f>
        <v/>
      </c>
    </row>
    <row r="629" spans="6:6" s="2" customFormat="1" ht="15" x14ac:dyDescent="0.25">
      <c r="F629" s="22" t="str">
        <f>IF(sample_log!$C629="", "", IF(sample_log!$C629="Chapin", "chapin_mon", IF(sample_log!$C629="Oatka", "oatka_mon", IF(sample_log!$C629="Seneca", "seneca_mon", "one"))))</f>
        <v/>
      </c>
    </row>
    <row r="630" spans="6:6" s="2" customFormat="1" ht="15" x14ac:dyDescent="0.25">
      <c r="F630" s="22" t="str">
        <f>IF(sample_log!$C630="", "", IF(sample_log!$C630="Chapin", "chapin_mon", IF(sample_log!$C630="Oatka", "oatka_mon", IF(sample_log!$C630="Seneca", "seneca_mon", "one"))))</f>
        <v/>
      </c>
    </row>
    <row r="631" spans="6:6" s="2" customFormat="1" ht="15" x14ac:dyDescent="0.25">
      <c r="F631" s="22" t="str">
        <f>IF(sample_log!$C631="", "", IF(sample_log!$C631="Chapin", "chapin_mon", IF(sample_log!$C631="Oatka", "oatka_mon", IF(sample_log!$C631="Seneca", "seneca_mon", "one"))))</f>
        <v/>
      </c>
    </row>
    <row r="632" spans="6:6" s="2" customFormat="1" ht="15" x14ac:dyDescent="0.25">
      <c r="F632" s="22" t="str">
        <f>IF(sample_log!$C632="", "", IF(sample_log!$C632="Chapin", "chapin_mon", IF(sample_log!$C632="Oatka", "oatka_mon", IF(sample_log!$C632="Seneca", "seneca_mon", "one"))))</f>
        <v/>
      </c>
    </row>
    <row r="633" spans="6:6" s="2" customFormat="1" ht="15" x14ac:dyDescent="0.25">
      <c r="F633" s="22" t="str">
        <f>IF(sample_log!$C633="", "", IF(sample_log!$C633="Chapin", "chapin_mon", IF(sample_log!$C633="Oatka", "oatka_mon", IF(sample_log!$C633="Seneca", "seneca_mon", "one"))))</f>
        <v/>
      </c>
    </row>
    <row r="634" spans="6:6" s="2" customFormat="1" ht="15" x14ac:dyDescent="0.25">
      <c r="F634" s="22" t="str">
        <f>IF(sample_log!$C634="", "", IF(sample_log!$C634="Chapin", "chapin_mon", IF(sample_log!$C634="Oatka", "oatka_mon", IF(sample_log!$C634="Seneca", "seneca_mon", "one"))))</f>
        <v/>
      </c>
    </row>
    <row r="635" spans="6:6" s="2" customFormat="1" ht="15" x14ac:dyDescent="0.25">
      <c r="F635" s="22" t="str">
        <f>IF(sample_log!$C635="", "", IF(sample_log!$C635="Chapin", "chapin_mon", IF(sample_log!$C635="Oatka", "oatka_mon", IF(sample_log!$C635="Seneca", "seneca_mon", "one"))))</f>
        <v/>
      </c>
    </row>
    <row r="636" spans="6:6" s="2" customFormat="1" ht="15" x14ac:dyDescent="0.25">
      <c r="F636" s="22" t="str">
        <f>IF(sample_log!$C636="", "", IF(sample_log!$C636="Chapin", "chapin_mon", IF(sample_log!$C636="Oatka", "oatka_mon", IF(sample_log!$C636="Seneca", "seneca_mon", "one"))))</f>
        <v/>
      </c>
    </row>
    <row r="637" spans="6:6" s="2" customFormat="1" ht="15" x14ac:dyDescent="0.25">
      <c r="F637" s="22" t="str">
        <f>IF(sample_log!$C637="", "", IF(sample_log!$C637="Chapin", "chapin_mon", IF(sample_log!$C637="Oatka", "oatka_mon", IF(sample_log!$C637="Seneca", "seneca_mon", "one"))))</f>
        <v/>
      </c>
    </row>
    <row r="638" spans="6:6" s="2" customFormat="1" ht="15" x14ac:dyDescent="0.25">
      <c r="F638" s="22" t="str">
        <f>IF(sample_log!$C638="", "", IF(sample_log!$C638="Chapin", "chapin_mon", IF(sample_log!$C638="Oatka", "oatka_mon", IF(sample_log!$C638="Seneca", "seneca_mon", "one"))))</f>
        <v/>
      </c>
    </row>
    <row r="639" spans="6:6" s="2" customFormat="1" ht="15" x14ac:dyDescent="0.25">
      <c r="F639" s="22" t="str">
        <f>IF(sample_log!$C639="", "", IF(sample_log!$C639="Chapin", "chapin_mon", IF(sample_log!$C639="Oatka", "oatka_mon", IF(sample_log!$C639="Seneca", "seneca_mon", "one"))))</f>
        <v/>
      </c>
    </row>
    <row r="640" spans="6:6" s="2" customFormat="1" ht="15" x14ac:dyDescent="0.25">
      <c r="F640" s="22" t="str">
        <f>IF(sample_log!$C640="", "", IF(sample_log!$C640="Chapin", "chapin_mon", IF(sample_log!$C640="Oatka", "oatka_mon", IF(sample_log!$C640="Seneca", "seneca_mon", "one"))))</f>
        <v/>
      </c>
    </row>
    <row r="641" spans="6:6" s="2" customFormat="1" ht="15" x14ac:dyDescent="0.25">
      <c r="F641" s="22" t="str">
        <f>IF(sample_log!$C641="", "", IF(sample_log!$C641="Chapin", "chapin_mon", IF(sample_log!$C641="Oatka", "oatka_mon", IF(sample_log!$C641="Seneca", "seneca_mon", "one"))))</f>
        <v/>
      </c>
    </row>
    <row r="642" spans="6:6" s="2" customFormat="1" ht="15" x14ac:dyDescent="0.25">
      <c r="F642" s="22" t="str">
        <f>IF(sample_log!$C642="", "", IF(sample_log!$C642="Chapin", "chapin_mon", IF(sample_log!$C642="Oatka", "oatka_mon", IF(sample_log!$C642="Seneca", "seneca_mon", "one"))))</f>
        <v/>
      </c>
    </row>
    <row r="643" spans="6:6" s="2" customFormat="1" ht="15" x14ac:dyDescent="0.25">
      <c r="F643" s="22" t="str">
        <f>IF(sample_log!$C643="", "", IF(sample_log!$C643="Chapin", "chapin_mon", IF(sample_log!$C643="Oatka", "oatka_mon", IF(sample_log!$C643="Seneca", "seneca_mon", "one"))))</f>
        <v/>
      </c>
    </row>
    <row r="644" spans="6:6" s="2" customFormat="1" ht="15" x14ac:dyDescent="0.25">
      <c r="F644" s="22" t="str">
        <f>IF(sample_log!$C644="", "", IF(sample_log!$C644="Chapin", "chapin_mon", IF(sample_log!$C644="Oatka", "oatka_mon", IF(sample_log!$C644="Seneca", "seneca_mon", "one"))))</f>
        <v/>
      </c>
    </row>
    <row r="645" spans="6:6" s="2" customFormat="1" ht="15" x14ac:dyDescent="0.25">
      <c r="F645" s="22" t="str">
        <f>IF(sample_log!$C645="", "", IF(sample_log!$C645="Chapin", "chapin_mon", IF(sample_log!$C645="Oatka", "oatka_mon", IF(sample_log!$C645="Seneca", "seneca_mon", "one"))))</f>
        <v/>
      </c>
    </row>
    <row r="646" spans="6:6" s="2" customFormat="1" ht="15" x14ac:dyDescent="0.25">
      <c r="F646" s="22" t="str">
        <f>IF(sample_log!$C646="", "", IF(sample_log!$C646="Chapin", "chapin_mon", IF(sample_log!$C646="Oatka", "oatka_mon", IF(sample_log!$C646="Seneca", "seneca_mon", "one"))))</f>
        <v/>
      </c>
    </row>
    <row r="647" spans="6:6" s="2" customFormat="1" ht="15" x14ac:dyDescent="0.25">
      <c r="F647" s="22" t="str">
        <f>IF(sample_log!$C647="", "", IF(sample_log!$C647="Chapin", "chapin_mon", IF(sample_log!$C647="Oatka", "oatka_mon", IF(sample_log!$C647="Seneca", "seneca_mon", "one"))))</f>
        <v/>
      </c>
    </row>
    <row r="648" spans="6:6" s="2" customFormat="1" ht="15" x14ac:dyDescent="0.25">
      <c r="F648" s="22" t="str">
        <f>IF(sample_log!$C648="", "", IF(sample_log!$C648="Chapin", "chapin_mon", IF(sample_log!$C648="Oatka", "oatka_mon", IF(sample_log!$C648="Seneca", "seneca_mon", "one"))))</f>
        <v/>
      </c>
    </row>
    <row r="649" spans="6:6" s="2" customFormat="1" ht="15" x14ac:dyDescent="0.25">
      <c r="F649" s="22" t="str">
        <f>IF(sample_log!$C649="", "", IF(sample_log!$C649="Chapin", "chapin_mon", IF(sample_log!$C649="Oatka", "oatka_mon", IF(sample_log!$C649="Seneca", "seneca_mon", "one"))))</f>
        <v/>
      </c>
    </row>
    <row r="650" spans="6:6" s="2" customFormat="1" ht="15" x14ac:dyDescent="0.25">
      <c r="F650" s="22" t="str">
        <f>IF(sample_log!$C650="", "", IF(sample_log!$C650="Chapin", "chapin_mon", IF(sample_log!$C650="Oatka", "oatka_mon", IF(sample_log!$C650="Seneca", "seneca_mon", "one"))))</f>
        <v/>
      </c>
    </row>
    <row r="651" spans="6:6" s="2" customFormat="1" ht="15" x14ac:dyDescent="0.25">
      <c r="F651" s="22" t="str">
        <f>IF(sample_log!$C651="", "", IF(sample_log!$C651="Chapin", "chapin_mon", IF(sample_log!$C651="Oatka", "oatka_mon", IF(sample_log!$C651="Seneca", "seneca_mon", "one"))))</f>
        <v/>
      </c>
    </row>
    <row r="652" spans="6:6" s="2" customFormat="1" ht="15" x14ac:dyDescent="0.25">
      <c r="F652" s="22" t="str">
        <f>IF(sample_log!$C652="", "", IF(sample_log!$C652="Chapin", "chapin_mon", IF(sample_log!$C652="Oatka", "oatka_mon", IF(sample_log!$C652="Seneca", "seneca_mon", "one"))))</f>
        <v/>
      </c>
    </row>
    <row r="653" spans="6:6" s="2" customFormat="1" ht="15" x14ac:dyDescent="0.25">
      <c r="F653" s="22" t="str">
        <f>IF(sample_log!$C653="", "", IF(sample_log!$C653="Chapin", "chapin_mon", IF(sample_log!$C653="Oatka", "oatka_mon", IF(sample_log!$C653="Seneca", "seneca_mon", "one"))))</f>
        <v/>
      </c>
    </row>
    <row r="654" spans="6:6" s="2" customFormat="1" ht="15" x14ac:dyDescent="0.25">
      <c r="F654" s="22" t="str">
        <f>IF(sample_log!$C654="", "", IF(sample_log!$C654="Chapin", "chapin_mon", IF(sample_log!$C654="Oatka", "oatka_mon", IF(sample_log!$C654="Seneca", "seneca_mon", "one"))))</f>
        <v/>
      </c>
    </row>
    <row r="655" spans="6:6" s="2" customFormat="1" ht="15" x14ac:dyDescent="0.25">
      <c r="F655" s="22" t="str">
        <f>IF(sample_log!$C655="", "", IF(sample_log!$C655="Chapin", "chapin_mon", IF(sample_log!$C655="Oatka", "oatka_mon", IF(sample_log!$C655="Seneca", "seneca_mon", "one"))))</f>
        <v/>
      </c>
    </row>
    <row r="656" spans="6:6" s="2" customFormat="1" ht="15" x14ac:dyDescent="0.25">
      <c r="F656" s="22" t="str">
        <f>IF(sample_log!$C656="", "", IF(sample_log!$C656="Chapin", "chapin_mon", IF(sample_log!$C656="Oatka", "oatka_mon", IF(sample_log!$C656="Seneca", "seneca_mon", "one"))))</f>
        <v/>
      </c>
    </row>
    <row r="657" spans="6:6" s="2" customFormat="1" ht="15" x14ac:dyDescent="0.25">
      <c r="F657" s="22" t="str">
        <f>IF(sample_log!$C657="", "", IF(sample_log!$C657="Chapin", "chapin_mon", IF(sample_log!$C657="Oatka", "oatka_mon", IF(sample_log!$C657="Seneca", "seneca_mon", "one"))))</f>
        <v/>
      </c>
    </row>
    <row r="658" spans="6:6" s="2" customFormat="1" ht="15" x14ac:dyDescent="0.25">
      <c r="F658" s="22" t="str">
        <f>IF(sample_log!$C658="", "", IF(sample_log!$C658="Chapin", "chapin_mon", IF(sample_log!$C658="Oatka", "oatka_mon", IF(sample_log!$C658="Seneca", "seneca_mon", "one"))))</f>
        <v/>
      </c>
    </row>
    <row r="659" spans="6:6" s="2" customFormat="1" ht="15" x14ac:dyDescent="0.25">
      <c r="F659" s="22" t="str">
        <f>IF(sample_log!$C659="", "", IF(sample_log!$C659="Chapin", "chapin_mon", IF(sample_log!$C659="Oatka", "oatka_mon", IF(sample_log!$C659="Seneca", "seneca_mon", "one"))))</f>
        <v/>
      </c>
    </row>
    <row r="660" spans="6:6" s="2" customFormat="1" ht="15" x14ac:dyDescent="0.25">
      <c r="F660" s="22" t="str">
        <f>IF(sample_log!$C660="", "", IF(sample_log!$C660="Chapin", "chapin_mon", IF(sample_log!$C660="Oatka", "oatka_mon", IF(sample_log!$C660="Seneca", "seneca_mon", "one"))))</f>
        <v/>
      </c>
    </row>
    <row r="661" spans="6:6" s="2" customFormat="1" ht="15" x14ac:dyDescent="0.25">
      <c r="F661" s="22" t="str">
        <f>IF(sample_log!$C661="", "", IF(sample_log!$C661="Chapin", "chapin_mon", IF(sample_log!$C661="Oatka", "oatka_mon", IF(sample_log!$C661="Seneca", "seneca_mon", "one"))))</f>
        <v/>
      </c>
    </row>
    <row r="662" spans="6:6" s="2" customFormat="1" ht="15" x14ac:dyDescent="0.25">
      <c r="F662" s="22" t="str">
        <f>IF(sample_log!$C662="", "", IF(sample_log!$C662="Chapin", "chapin_mon", IF(sample_log!$C662="Oatka", "oatka_mon", IF(sample_log!$C662="Seneca", "seneca_mon", "one"))))</f>
        <v/>
      </c>
    </row>
    <row r="663" spans="6:6" s="2" customFormat="1" ht="15" x14ac:dyDescent="0.25">
      <c r="F663" s="22" t="str">
        <f>IF(sample_log!$C663="", "", IF(sample_log!$C663="Chapin", "chapin_mon", IF(sample_log!$C663="Oatka", "oatka_mon", IF(sample_log!$C663="Seneca", "seneca_mon", "one"))))</f>
        <v/>
      </c>
    </row>
    <row r="664" spans="6:6" s="2" customFormat="1" ht="15" x14ac:dyDescent="0.25">
      <c r="F664" s="22" t="str">
        <f>IF(sample_log!$C664="", "", IF(sample_log!$C664="Chapin", "chapin_mon", IF(sample_log!$C664="Oatka", "oatka_mon", IF(sample_log!$C664="Seneca", "seneca_mon", "one"))))</f>
        <v/>
      </c>
    </row>
    <row r="665" spans="6:6" s="2" customFormat="1" ht="15" x14ac:dyDescent="0.25">
      <c r="F665" s="22" t="str">
        <f>IF(sample_log!$C665="", "", IF(sample_log!$C665="Chapin", "chapin_mon", IF(sample_log!$C665="Oatka", "oatka_mon", IF(sample_log!$C665="Seneca", "seneca_mon", "one"))))</f>
        <v/>
      </c>
    </row>
    <row r="666" spans="6:6" s="2" customFormat="1" ht="15" x14ac:dyDescent="0.25">
      <c r="F666" s="22" t="str">
        <f>IF(sample_log!$C666="", "", IF(sample_log!$C666="Chapin", "chapin_mon", IF(sample_log!$C666="Oatka", "oatka_mon", IF(sample_log!$C666="Seneca", "seneca_mon", "one"))))</f>
        <v/>
      </c>
    </row>
    <row r="667" spans="6:6" s="2" customFormat="1" ht="15" x14ac:dyDescent="0.25">
      <c r="F667" s="22" t="str">
        <f>IF(sample_log!$C667="", "", IF(sample_log!$C667="Chapin", "chapin_mon", IF(sample_log!$C667="Oatka", "oatka_mon", IF(sample_log!$C667="Seneca", "seneca_mon", "one"))))</f>
        <v/>
      </c>
    </row>
    <row r="668" spans="6:6" s="2" customFormat="1" ht="15" x14ac:dyDescent="0.25">
      <c r="F668" s="22" t="str">
        <f>IF(sample_log!$C668="", "", IF(sample_log!$C668="Chapin", "chapin_mon", IF(sample_log!$C668="Oatka", "oatka_mon", IF(sample_log!$C668="Seneca", "seneca_mon", "one"))))</f>
        <v/>
      </c>
    </row>
    <row r="669" spans="6:6" s="2" customFormat="1" ht="15" x14ac:dyDescent="0.25">
      <c r="F669" s="22" t="str">
        <f>IF(sample_log!$C669="", "", IF(sample_log!$C669="Chapin", "chapin_mon", IF(sample_log!$C669="Oatka", "oatka_mon", IF(sample_log!$C669="Seneca", "seneca_mon", "one"))))</f>
        <v/>
      </c>
    </row>
    <row r="670" spans="6:6" s="2" customFormat="1" ht="15" x14ac:dyDescent="0.25">
      <c r="F670" s="22" t="str">
        <f>IF(sample_log!$C670="", "", IF(sample_log!$C670="Chapin", "chapin_mon", IF(sample_log!$C670="Oatka", "oatka_mon", IF(sample_log!$C670="Seneca", "seneca_mon", "one"))))</f>
        <v/>
      </c>
    </row>
    <row r="671" spans="6:6" s="2" customFormat="1" ht="15" x14ac:dyDescent="0.25">
      <c r="F671" s="22" t="str">
        <f>IF(sample_log!$C671="", "", IF(sample_log!$C671="Chapin", "chapin_mon", IF(sample_log!$C671="Oatka", "oatka_mon", IF(sample_log!$C671="Seneca", "seneca_mon", "one"))))</f>
        <v/>
      </c>
    </row>
    <row r="672" spans="6:6" s="2" customFormat="1" ht="15" x14ac:dyDescent="0.25">
      <c r="F672" s="22" t="str">
        <f>IF(sample_log!$C672="", "", IF(sample_log!$C672="Chapin", "chapin_mon", IF(sample_log!$C672="Oatka", "oatka_mon", IF(sample_log!$C672="Seneca", "seneca_mon", "one"))))</f>
        <v/>
      </c>
    </row>
    <row r="673" spans="6:6" s="2" customFormat="1" ht="15" x14ac:dyDescent="0.25">
      <c r="F673" s="22" t="str">
        <f>IF(sample_log!$C673="", "", IF(sample_log!$C673="Chapin", "chapin_mon", IF(sample_log!$C673="Oatka", "oatka_mon", IF(sample_log!$C673="Seneca", "seneca_mon", "one"))))</f>
        <v/>
      </c>
    </row>
    <row r="674" spans="6:6" s="2" customFormat="1" ht="15" x14ac:dyDescent="0.25">
      <c r="F674" s="22" t="str">
        <f>IF(sample_log!$C674="", "", IF(sample_log!$C674="Chapin", "chapin_mon", IF(sample_log!$C674="Oatka", "oatka_mon", IF(sample_log!$C674="Seneca", "seneca_mon", "one"))))</f>
        <v/>
      </c>
    </row>
    <row r="675" spans="6:6" s="2" customFormat="1" ht="15" x14ac:dyDescent="0.25">
      <c r="F675" s="22" t="str">
        <f>IF(sample_log!$C675="", "", IF(sample_log!$C675="Chapin", "chapin_mon", IF(sample_log!$C675="Oatka", "oatka_mon", IF(sample_log!$C675="Seneca", "seneca_mon", "one"))))</f>
        <v/>
      </c>
    </row>
    <row r="676" spans="6:6" s="2" customFormat="1" ht="15" x14ac:dyDescent="0.25">
      <c r="F676" s="22" t="str">
        <f>IF(sample_log!$C676="", "", IF(sample_log!$C676="Chapin", "chapin_mon", IF(sample_log!$C676="Oatka", "oatka_mon", IF(sample_log!$C676="Seneca", "seneca_mon", "one"))))</f>
        <v/>
      </c>
    </row>
    <row r="677" spans="6:6" s="2" customFormat="1" ht="15" x14ac:dyDescent="0.25">
      <c r="F677" s="22" t="str">
        <f>IF(sample_log!$C677="", "", IF(sample_log!$C677="Chapin", "chapin_mon", IF(sample_log!$C677="Oatka", "oatka_mon", IF(sample_log!$C677="Seneca", "seneca_mon", "one"))))</f>
        <v/>
      </c>
    </row>
    <row r="678" spans="6:6" s="2" customFormat="1" ht="15" x14ac:dyDescent="0.25">
      <c r="F678" s="22" t="str">
        <f>IF(sample_log!$C678="", "", IF(sample_log!$C678="Chapin", "chapin_mon", IF(sample_log!$C678="Oatka", "oatka_mon", IF(sample_log!$C678="Seneca", "seneca_mon", "one"))))</f>
        <v/>
      </c>
    </row>
    <row r="679" spans="6:6" s="2" customFormat="1" ht="15" x14ac:dyDescent="0.25">
      <c r="F679" s="22" t="str">
        <f>IF(sample_log!$C679="", "", IF(sample_log!$C679="Chapin", "chapin_mon", IF(sample_log!$C679="Oatka", "oatka_mon", IF(sample_log!$C679="Seneca", "seneca_mon", "one"))))</f>
        <v/>
      </c>
    </row>
    <row r="680" spans="6:6" s="2" customFormat="1" ht="15" x14ac:dyDescent="0.25">
      <c r="F680" s="22" t="str">
        <f>IF(sample_log!$C680="", "", IF(sample_log!$C680="Chapin", "chapin_mon", IF(sample_log!$C680="Oatka", "oatka_mon", IF(sample_log!$C680="Seneca", "seneca_mon", "one"))))</f>
        <v/>
      </c>
    </row>
    <row r="681" spans="6:6" s="2" customFormat="1" ht="15" x14ac:dyDescent="0.25">
      <c r="F681" s="22" t="str">
        <f>IF(sample_log!$C681="", "", IF(sample_log!$C681="Chapin", "chapin_mon", IF(sample_log!$C681="Oatka", "oatka_mon", IF(sample_log!$C681="Seneca", "seneca_mon", "one"))))</f>
        <v/>
      </c>
    </row>
    <row r="682" spans="6:6" s="2" customFormat="1" ht="15" x14ac:dyDescent="0.25">
      <c r="F682" s="22" t="str">
        <f>IF(sample_log!$C682="", "", IF(sample_log!$C682="Chapin", "chapin_mon", IF(sample_log!$C682="Oatka", "oatka_mon", IF(sample_log!$C682="Seneca", "seneca_mon", "one"))))</f>
        <v/>
      </c>
    </row>
    <row r="683" spans="6:6" s="2" customFormat="1" ht="15" x14ac:dyDescent="0.25">
      <c r="F683" s="22" t="str">
        <f>IF(sample_log!$C683="", "", IF(sample_log!$C683="Chapin", "chapin_mon", IF(sample_log!$C683="Oatka", "oatka_mon", IF(sample_log!$C683="Seneca", "seneca_mon", "one"))))</f>
        <v/>
      </c>
    </row>
    <row r="684" spans="6:6" s="2" customFormat="1" ht="15" x14ac:dyDescent="0.25">
      <c r="F684" s="22" t="str">
        <f>IF(sample_log!$C684="", "", IF(sample_log!$C684="Chapin", "chapin_mon", IF(sample_log!$C684="Oatka", "oatka_mon", IF(sample_log!$C684="Seneca", "seneca_mon", "one"))))</f>
        <v/>
      </c>
    </row>
    <row r="685" spans="6:6" s="2" customFormat="1" ht="15" x14ac:dyDescent="0.25">
      <c r="F685" s="22" t="str">
        <f>IF(sample_log!$C685="", "", IF(sample_log!$C685="Chapin", "chapin_mon", IF(sample_log!$C685="Oatka", "oatka_mon", IF(sample_log!$C685="Seneca", "seneca_mon", "one"))))</f>
        <v/>
      </c>
    </row>
    <row r="686" spans="6:6" s="2" customFormat="1" ht="15" x14ac:dyDescent="0.25">
      <c r="F686" s="22" t="str">
        <f>IF(sample_log!$C686="", "", IF(sample_log!$C686="Chapin", "chapin_mon", IF(sample_log!$C686="Oatka", "oatka_mon", IF(sample_log!$C686="Seneca", "seneca_mon", "one"))))</f>
        <v/>
      </c>
    </row>
    <row r="687" spans="6:6" s="2" customFormat="1" ht="15" x14ac:dyDescent="0.25">
      <c r="F687" s="22" t="str">
        <f>IF(sample_log!$C687="", "", IF(sample_log!$C687="Chapin", "chapin_mon", IF(sample_log!$C687="Oatka", "oatka_mon", IF(sample_log!$C687="Seneca", "seneca_mon", "one"))))</f>
        <v/>
      </c>
    </row>
    <row r="688" spans="6:6" s="2" customFormat="1" ht="15" x14ac:dyDescent="0.25">
      <c r="F688" s="22" t="str">
        <f>IF(sample_log!$C688="", "", IF(sample_log!$C688="Chapin", "chapin_mon", IF(sample_log!$C688="Oatka", "oatka_mon", IF(sample_log!$C688="Seneca", "seneca_mon", "one"))))</f>
        <v/>
      </c>
    </row>
    <row r="689" spans="6:6" s="2" customFormat="1" ht="15" x14ac:dyDescent="0.25">
      <c r="F689" s="22" t="str">
        <f>IF(sample_log!$C689="", "", IF(sample_log!$C689="Chapin", "chapin_mon", IF(sample_log!$C689="Oatka", "oatka_mon", IF(sample_log!$C689="Seneca", "seneca_mon", "one"))))</f>
        <v/>
      </c>
    </row>
    <row r="690" spans="6:6" s="2" customFormat="1" ht="15" x14ac:dyDescent="0.25">
      <c r="F690" s="22" t="str">
        <f>IF(sample_log!$C690="", "", IF(sample_log!$C690="Chapin", "chapin_mon", IF(sample_log!$C690="Oatka", "oatka_mon", IF(sample_log!$C690="Seneca", "seneca_mon", "one"))))</f>
        <v/>
      </c>
    </row>
    <row r="691" spans="6:6" s="2" customFormat="1" ht="15" x14ac:dyDescent="0.25">
      <c r="F691" s="22" t="str">
        <f>IF(sample_log!$C691="", "", IF(sample_log!$C691="Chapin", "chapin_mon", IF(sample_log!$C691="Oatka", "oatka_mon", IF(sample_log!$C691="Seneca", "seneca_mon", "one"))))</f>
        <v/>
      </c>
    </row>
    <row r="692" spans="6:6" s="2" customFormat="1" ht="15" x14ac:dyDescent="0.25">
      <c r="F692" s="22" t="str">
        <f>IF(sample_log!$C692="", "", IF(sample_log!$C692="Chapin", "chapin_mon", IF(sample_log!$C692="Oatka", "oatka_mon", IF(sample_log!$C692="Seneca", "seneca_mon", "one"))))</f>
        <v/>
      </c>
    </row>
    <row r="693" spans="6:6" s="2" customFormat="1" ht="15" x14ac:dyDescent="0.25">
      <c r="F693" s="22" t="str">
        <f>IF(sample_log!$C693="", "", IF(sample_log!$C693="Chapin", "chapin_mon", IF(sample_log!$C693="Oatka", "oatka_mon", IF(sample_log!$C693="Seneca", "seneca_mon", "one"))))</f>
        <v/>
      </c>
    </row>
    <row r="694" spans="6:6" s="2" customFormat="1" ht="15" x14ac:dyDescent="0.25">
      <c r="F694" s="22" t="str">
        <f>IF(sample_log!$C694="", "", IF(sample_log!$C694="Chapin", "chapin_mon", IF(sample_log!$C694="Oatka", "oatka_mon", IF(sample_log!$C694="Seneca", "seneca_mon", "one"))))</f>
        <v/>
      </c>
    </row>
    <row r="695" spans="6:6" s="2" customFormat="1" ht="15" x14ac:dyDescent="0.25">
      <c r="F695" s="22" t="str">
        <f>IF(sample_log!$C695="", "", IF(sample_log!$C695="Chapin", "chapin_mon", IF(sample_log!$C695="Oatka", "oatka_mon", IF(sample_log!$C695="Seneca", "seneca_mon", "one"))))</f>
        <v/>
      </c>
    </row>
    <row r="696" spans="6:6" s="2" customFormat="1" ht="15" x14ac:dyDescent="0.25">
      <c r="F696" s="22" t="str">
        <f>IF(sample_log!$C696="", "", IF(sample_log!$C696="Chapin", "chapin_mon", IF(sample_log!$C696="Oatka", "oatka_mon", IF(sample_log!$C696="Seneca", "seneca_mon", "one"))))</f>
        <v/>
      </c>
    </row>
    <row r="697" spans="6:6" s="2" customFormat="1" ht="15" x14ac:dyDescent="0.25">
      <c r="F697" s="22" t="str">
        <f>IF(sample_log!$C697="", "", IF(sample_log!$C697="Chapin", "chapin_mon", IF(sample_log!$C697="Oatka", "oatka_mon", IF(sample_log!$C697="Seneca", "seneca_mon", "one"))))</f>
        <v/>
      </c>
    </row>
    <row r="698" spans="6:6" s="2" customFormat="1" ht="15" x14ac:dyDescent="0.25">
      <c r="F698" s="22" t="str">
        <f>IF(sample_log!$C698="", "", IF(sample_log!$C698="Chapin", "chapin_mon", IF(sample_log!$C698="Oatka", "oatka_mon", IF(sample_log!$C698="Seneca", "seneca_mon", "one"))))</f>
        <v/>
      </c>
    </row>
    <row r="699" spans="6:6" s="2" customFormat="1" ht="15" x14ac:dyDescent="0.25">
      <c r="F699" s="22" t="str">
        <f>IF(sample_log!$C699="", "", IF(sample_log!$C699="Chapin", "chapin_mon", IF(sample_log!$C699="Oatka", "oatka_mon", IF(sample_log!$C699="Seneca", "seneca_mon", "one"))))</f>
        <v/>
      </c>
    </row>
    <row r="700" spans="6:6" s="2" customFormat="1" ht="15" x14ac:dyDescent="0.25">
      <c r="F700" s="22" t="str">
        <f>IF(sample_log!$C700="", "", IF(sample_log!$C700="Chapin", "chapin_mon", IF(sample_log!$C700="Oatka", "oatka_mon", IF(sample_log!$C700="Seneca", "seneca_mon", "one"))))</f>
        <v/>
      </c>
    </row>
    <row r="701" spans="6:6" s="2" customFormat="1" ht="15" x14ac:dyDescent="0.25">
      <c r="F701" s="22" t="str">
        <f>IF(sample_log!$C701="", "", IF(sample_log!$C701="Chapin", "chapin_mon", IF(sample_log!$C701="Oatka", "oatka_mon", IF(sample_log!$C701="Seneca", "seneca_mon", "one"))))</f>
        <v/>
      </c>
    </row>
    <row r="702" spans="6:6" s="2" customFormat="1" ht="15" x14ac:dyDescent="0.25">
      <c r="F702" s="22" t="str">
        <f>IF(sample_log!$C702="", "", IF(sample_log!$C702="Chapin", "chapin_mon", IF(sample_log!$C702="Oatka", "oatka_mon", IF(sample_log!$C702="Seneca", "seneca_mon", "one"))))</f>
        <v/>
      </c>
    </row>
    <row r="703" spans="6:6" s="2" customFormat="1" ht="15" x14ac:dyDescent="0.25">
      <c r="F703" s="22" t="str">
        <f>IF(sample_log!$C703="", "", IF(sample_log!$C703="Chapin", "chapin_mon", IF(sample_log!$C703="Oatka", "oatka_mon", IF(sample_log!$C703="Seneca", "seneca_mon", "one"))))</f>
        <v/>
      </c>
    </row>
    <row r="704" spans="6:6" s="2" customFormat="1" ht="15" x14ac:dyDescent="0.25">
      <c r="F704" s="22" t="str">
        <f>IF(sample_log!$C704="", "", IF(sample_log!$C704="Chapin", "chapin_mon", IF(sample_log!$C704="Oatka", "oatka_mon", IF(sample_log!$C704="Seneca", "seneca_mon", "one"))))</f>
        <v/>
      </c>
    </row>
    <row r="705" spans="6:6" s="2" customFormat="1" ht="15" x14ac:dyDescent="0.25">
      <c r="F705" s="22" t="str">
        <f>IF(sample_log!$C705="", "", IF(sample_log!$C705="Chapin", "chapin_mon", IF(sample_log!$C705="Oatka", "oatka_mon", IF(sample_log!$C705="Seneca", "seneca_mon", "one"))))</f>
        <v/>
      </c>
    </row>
    <row r="706" spans="6:6" s="2" customFormat="1" ht="15" x14ac:dyDescent="0.25">
      <c r="F706" s="22" t="str">
        <f>IF(sample_log!$C706="", "", IF(sample_log!$C706="Chapin", "chapin_mon", IF(sample_log!$C706="Oatka", "oatka_mon", IF(sample_log!$C706="Seneca", "seneca_mon", "one"))))</f>
        <v/>
      </c>
    </row>
    <row r="707" spans="6:6" s="2" customFormat="1" ht="15" x14ac:dyDescent="0.25">
      <c r="F707" s="22" t="str">
        <f>IF(sample_log!$C707="", "", IF(sample_log!$C707="Chapin", "chapin_mon", IF(sample_log!$C707="Oatka", "oatka_mon", IF(sample_log!$C707="Seneca", "seneca_mon", "one"))))</f>
        <v/>
      </c>
    </row>
    <row r="708" spans="6:6" s="2" customFormat="1" ht="15" x14ac:dyDescent="0.25">
      <c r="F708" s="22" t="str">
        <f>IF(sample_log!$C708="", "", IF(sample_log!$C708="Chapin", "chapin_mon", IF(sample_log!$C708="Oatka", "oatka_mon", IF(sample_log!$C708="Seneca", "seneca_mon", "one"))))</f>
        <v/>
      </c>
    </row>
    <row r="709" spans="6:6" s="2" customFormat="1" ht="15" x14ac:dyDescent="0.25">
      <c r="F709" s="22" t="str">
        <f>IF(sample_log!$C709="", "", IF(sample_log!$C709="Chapin", "chapin_mon", IF(sample_log!$C709="Oatka", "oatka_mon", IF(sample_log!$C709="Seneca", "seneca_mon", "one"))))</f>
        <v/>
      </c>
    </row>
    <row r="710" spans="6:6" s="2" customFormat="1" ht="15" x14ac:dyDescent="0.25">
      <c r="F710" s="22" t="str">
        <f>IF(sample_log!$C710="", "", IF(sample_log!$C710="Chapin", "chapin_mon", IF(sample_log!$C710="Oatka", "oatka_mon", IF(sample_log!$C710="Seneca", "seneca_mon", "one"))))</f>
        <v/>
      </c>
    </row>
    <row r="711" spans="6:6" s="2" customFormat="1" ht="15" x14ac:dyDescent="0.25">
      <c r="F711" s="22" t="str">
        <f>IF(sample_log!$C711="", "", IF(sample_log!$C711="Chapin", "chapin_mon", IF(sample_log!$C711="Oatka", "oatka_mon", IF(sample_log!$C711="Seneca", "seneca_mon", "one"))))</f>
        <v/>
      </c>
    </row>
    <row r="712" spans="6:6" s="2" customFormat="1" ht="15" x14ac:dyDescent="0.25">
      <c r="F712" s="22" t="str">
        <f>IF(sample_log!$C712="", "", IF(sample_log!$C712="Chapin", "chapin_mon", IF(sample_log!$C712="Oatka", "oatka_mon", IF(sample_log!$C712="Seneca", "seneca_mon", "one"))))</f>
        <v/>
      </c>
    </row>
    <row r="713" spans="6:6" s="2" customFormat="1" ht="15" x14ac:dyDescent="0.25">
      <c r="F713" s="22" t="str">
        <f>IF(sample_log!$C713="", "", IF(sample_log!$C713="Chapin", "chapin_mon", IF(sample_log!$C713="Oatka", "oatka_mon", IF(sample_log!$C713="Seneca", "seneca_mon", "one"))))</f>
        <v/>
      </c>
    </row>
    <row r="714" spans="6:6" s="2" customFormat="1" ht="15" x14ac:dyDescent="0.25">
      <c r="F714" s="22" t="str">
        <f>IF(sample_log!$C714="", "", IF(sample_log!$C714="Chapin", "chapin_mon", IF(sample_log!$C714="Oatka", "oatka_mon", IF(sample_log!$C714="Seneca", "seneca_mon", "one"))))</f>
        <v/>
      </c>
    </row>
    <row r="715" spans="6:6" s="2" customFormat="1" ht="15" x14ac:dyDescent="0.25">
      <c r="F715" s="22" t="str">
        <f>IF(sample_log!$C715="", "", IF(sample_log!$C715="Chapin", "chapin_mon", IF(sample_log!$C715="Oatka", "oatka_mon", IF(sample_log!$C715="Seneca", "seneca_mon", "one"))))</f>
        <v/>
      </c>
    </row>
    <row r="716" spans="6:6" s="2" customFormat="1" ht="15" x14ac:dyDescent="0.25">
      <c r="F716" s="22" t="str">
        <f>IF(sample_log!$C716="", "", IF(sample_log!$C716="Chapin", "chapin_mon", IF(sample_log!$C716="Oatka", "oatka_mon", IF(sample_log!$C716="Seneca", "seneca_mon", "one"))))</f>
        <v/>
      </c>
    </row>
    <row r="717" spans="6:6" s="2" customFormat="1" ht="15" x14ac:dyDescent="0.25">
      <c r="F717" s="22" t="str">
        <f>IF(sample_log!$C717="", "", IF(sample_log!$C717="Chapin", "chapin_mon", IF(sample_log!$C717="Oatka", "oatka_mon", IF(sample_log!$C717="Seneca", "seneca_mon", "one"))))</f>
        <v/>
      </c>
    </row>
    <row r="718" spans="6:6" s="2" customFormat="1" ht="15" x14ac:dyDescent="0.25">
      <c r="F718" s="22" t="str">
        <f>IF(sample_log!$C718="", "", IF(sample_log!$C718="Chapin", "chapin_mon", IF(sample_log!$C718="Oatka", "oatka_mon", IF(sample_log!$C718="Seneca", "seneca_mon", "one"))))</f>
        <v/>
      </c>
    </row>
    <row r="719" spans="6:6" s="2" customFormat="1" ht="15" x14ac:dyDescent="0.25">
      <c r="F719" s="22" t="str">
        <f>IF(sample_log!$C719="", "", IF(sample_log!$C719="Chapin", "chapin_mon", IF(sample_log!$C719="Oatka", "oatka_mon", IF(sample_log!$C719="Seneca", "seneca_mon", "one"))))</f>
        <v/>
      </c>
    </row>
    <row r="720" spans="6:6" s="2" customFormat="1" ht="15" x14ac:dyDescent="0.25">
      <c r="F720" s="22" t="str">
        <f>IF(sample_log!$C720="", "", IF(sample_log!$C720="Chapin", "chapin_mon", IF(sample_log!$C720="Oatka", "oatka_mon", IF(sample_log!$C720="Seneca", "seneca_mon", "one"))))</f>
        <v/>
      </c>
    </row>
    <row r="721" spans="6:6" s="2" customFormat="1" ht="15" x14ac:dyDescent="0.25">
      <c r="F721" s="22" t="str">
        <f>IF(sample_log!$C721="", "", IF(sample_log!$C721="Chapin", "chapin_mon", IF(sample_log!$C721="Oatka", "oatka_mon", IF(sample_log!$C721="Seneca", "seneca_mon", "one"))))</f>
        <v/>
      </c>
    </row>
    <row r="722" spans="6:6" s="2" customFormat="1" ht="15" x14ac:dyDescent="0.25">
      <c r="F722" s="22" t="str">
        <f>IF(sample_log!$C722="", "", IF(sample_log!$C722="Chapin", "chapin_mon", IF(sample_log!$C722="Oatka", "oatka_mon", IF(sample_log!$C722="Seneca", "seneca_mon", "one"))))</f>
        <v/>
      </c>
    </row>
    <row r="723" spans="6:6" s="2" customFormat="1" ht="15" x14ac:dyDescent="0.25">
      <c r="F723" s="22" t="str">
        <f>IF(sample_log!$C723="", "", IF(sample_log!$C723="Chapin", "chapin_mon", IF(sample_log!$C723="Oatka", "oatka_mon", IF(sample_log!$C723="Seneca", "seneca_mon", "one"))))</f>
        <v/>
      </c>
    </row>
    <row r="724" spans="6:6" s="2" customFormat="1" ht="15" x14ac:dyDescent="0.25">
      <c r="F724" s="22" t="str">
        <f>IF(sample_log!$C724="", "", IF(sample_log!$C724="Chapin", "chapin_mon", IF(sample_log!$C724="Oatka", "oatka_mon", IF(sample_log!$C724="Seneca", "seneca_mon", "one"))))</f>
        <v/>
      </c>
    </row>
    <row r="725" spans="6:6" s="2" customFormat="1" ht="15" x14ac:dyDescent="0.25">
      <c r="F725" s="22" t="str">
        <f>IF(sample_log!$C725="", "", IF(sample_log!$C725="Chapin", "chapin_mon", IF(sample_log!$C725="Oatka", "oatka_mon", IF(sample_log!$C725="Seneca", "seneca_mon", "one"))))</f>
        <v/>
      </c>
    </row>
    <row r="726" spans="6:6" s="2" customFormat="1" ht="15" x14ac:dyDescent="0.25">
      <c r="F726" s="22" t="str">
        <f>IF(sample_log!$C726="", "", IF(sample_log!$C726="Chapin", "chapin_mon", IF(sample_log!$C726="Oatka", "oatka_mon", IF(sample_log!$C726="Seneca", "seneca_mon", "one"))))</f>
        <v/>
      </c>
    </row>
    <row r="727" spans="6:6" s="2" customFormat="1" ht="15" x14ac:dyDescent="0.25">
      <c r="F727" s="22" t="str">
        <f>IF(sample_log!$C727="", "", IF(sample_log!$C727="Chapin", "chapin_mon", IF(sample_log!$C727="Oatka", "oatka_mon", IF(sample_log!$C727="Seneca", "seneca_mon", "one"))))</f>
        <v/>
      </c>
    </row>
    <row r="728" spans="6:6" s="2" customFormat="1" ht="15" x14ac:dyDescent="0.25">
      <c r="F728" s="22" t="str">
        <f>IF(sample_log!$C728="", "", IF(sample_log!$C728="Chapin", "chapin_mon", IF(sample_log!$C728="Oatka", "oatka_mon", IF(sample_log!$C728="Seneca", "seneca_mon", "one"))))</f>
        <v/>
      </c>
    </row>
    <row r="729" spans="6:6" s="2" customFormat="1" ht="15" x14ac:dyDescent="0.25">
      <c r="F729" s="22" t="str">
        <f>IF(sample_log!$C729="", "", IF(sample_log!$C729="Chapin", "chapin_mon", IF(sample_log!$C729="Oatka", "oatka_mon", IF(sample_log!$C729="Seneca", "seneca_mon", "one"))))</f>
        <v/>
      </c>
    </row>
    <row r="730" spans="6:6" s="2" customFormat="1" ht="15" x14ac:dyDescent="0.25">
      <c r="F730" s="22" t="str">
        <f>IF(sample_log!$C730="", "", IF(sample_log!$C730="Chapin", "chapin_mon", IF(sample_log!$C730="Oatka", "oatka_mon", IF(sample_log!$C730="Seneca", "seneca_mon", "one"))))</f>
        <v/>
      </c>
    </row>
    <row r="731" spans="6:6" s="2" customFormat="1" ht="15" x14ac:dyDescent="0.25">
      <c r="F731" s="22" t="str">
        <f>IF(sample_log!$C731="", "", IF(sample_log!$C731="Chapin", "chapin_mon", IF(sample_log!$C731="Oatka", "oatka_mon", IF(sample_log!$C731="Seneca", "seneca_mon", "one"))))</f>
        <v/>
      </c>
    </row>
    <row r="732" spans="6:6" s="2" customFormat="1" ht="15" x14ac:dyDescent="0.25">
      <c r="F732" s="22" t="str">
        <f>IF(sample_log!$C732="", "", IF(sample_log!$C732="Chapin", "chapin_mon", IF(sample_log!$C732="Oatka", "oatka_mon", IF(sample_log!$C732="Seneca", "seneca_mon", "one"))))</f>
        <v/>
      </c>
    </row>
    <row r="733" spans="6:6" s="2" customFormat="1" ht="15" x14ac:dyDescent="0.25">
      <c r="F733" s="22" t="str">
        <f>IF(sample_log!$C733="", "", IF(sample_log!$C733="Chapin", "chapin_mon", IF(sample_log!$C733="Oatka", "oatka_mon", IF(sample_log!$C733="Seneca", "seneca_mon", "one"))))</f>
        <v/>
      </c>
    </row>
    <row r="734" spans="6:6" s="2" customFormat="1" ht="15" x14ac:dyDescent="0.25">
      <c r="F734" s="22" t="str">
        <f>IF(sample_log!$C734="", "", IF(sample_log!$C734="Chapin", "chapin_mon", IF(sample_log!$C734="Oatka", "oatka_mon", IF(sample_log!$C734="Seneca", "seneca_mon", "one"))))</f>
        <v/>
      </c>
    </row>
    <row r="735" spans="6:6" s="2" customFormat="1" ht="15" x14ac:dyDescent="0.25">
      <c r="F735" s="22" t="str">
        <f>IF(sample_log!$C735="", "", IF(sample_log!$C735="Chapin", "chapin_mon", IF(sample_log!$C735="Oatka", "oatka_mon", IF(sample_log!$C735="Seneca", "seneca_mon", "one"))))</f>
        <v/>
      </c>
    </row>
    <row r="736" spans="6:6" s="2" customFormat="1" ht="15" x14ac:dyDescent="0.25">
      <c r="F736" s="22" t="str">
        <f>IF(sample_log!$C736="", "", IF(sample_log!$C736="Chapin", "chapin_mon", IF(sample_log!$C736="Oatka", "oatka_mon", IF(sample_log!$C736="Seneca", "seneca_mon", "one"))))</f>
        <v/>
      </c>
    </row>
    <row r="737" spans="6:6" s="2" customFormat="1" ht="15" x14ac:dyDescent="0.25">
      <c r="F737" s="22" t="str">
        <f>IF(sample_log!$C737="", "", IF(sample_log!$C737="Chapin", "chapin_mon", IF(sample_log!$C737="Oatka", "oatka_mon", IF(sample_log!$C737="Seneca", "seneca_mon", "one"))))</f>
        <v/>
      </c>
    </row>
    <row r="738" spans="6:6" s="2" customFormat="1" ht="15" x14ac:dyDescent="0.25">
      <c r="F738" s="22" t="str">
        <f>IF(sample_log!$C738="", "", IF(sample_log!$C738="Chapin", "chapin_mon", IF(sample_log!$C738="Oatka", "oatka_mon", IF(sample_log!$C738="Seneca", "seneca_mon", "one"))))</f>
        <v/>
      </c>
    </row>
    <row r="739" spans="6:6" s="2" customFormat="1" ht="15" x14ac:dyDescent="0.25">
      <c r="F739" s="22" t="str">
        <f>IF(sample_log!$C739="", "", IF(sample_log!$C739="Chapin", "chapin_mon", IF(sample_log!$C739="Oatka", "oatka_mon", IF(sample_log!$C739="Seneca", "seneca_mon", "one"))))</f>
        <v/>
      </c>
    </row>
    <row r="740" spans="6:6" s="2" customFormat="1" ht="15" x14ac:dyDescent="0.25">
      <c r="F740" s="22" t="str">
        <f>IF(sample_log!$C740="", "", IF(sample_log!$C740="Chapin", "chapin_mon", IF(sample_log!$C740="Oatka", "oatka_mon", IF(sample_log!$C740="Seneca", "seneca_mon", "one"))))</f>
        <v/>
      </c>
    </row>
    <row r="741" spans="6:6" s="2" customFormat="1" ht="15" x14ac:dyDescent="0.25">
      <c r="F741" s="22" t="str">
        <f>IF(sample_log!$C741="", "", IF(sample_log!$C741="Chapin", "chapin_mon", IF(sample_log!$C741="Oatka", "oatka_mon", IF(sample_log!$C741="Seneca", "seneca_mon", "one"))))</f>
        <v/>
      </c>
    </row>
    <row r="742" spans="6:6" s="2" customFormat="1" ht="15" x14ac:dyDescent="0.25">
      <c r="F742" s="22" t="str">
        <f>IF(sample_log!$C742="", "", IF(sample_log!$C742="Chapin", "chapin_mon", IF(sample_log!$C742="Oatka", "oatka_mon", IF(sample_log!$C742="Seneca", "seneca_mon", "one"))))</f>
        <v/>
      </c>
    </row>
    <row r="743" spans="6:6" s="2" customFormat="1" ht="15" x14ac:dyDescent="0.25">
      <c r="F743" s="22" t="str">
        <f>IF(sample_log!$C743="", "", IF(sample_log!$C743="Chapin", "chapin_mon", IF(sample_log!$C743="Oatka", "oatka_mon", IF(sample_log!$C743="Seneca", "seneca_mon", "one"))))</f>
        <v/>
      </c>
    </row>
    <row r="744" spans="6:6" s="2" customFormat="1" ht="15" x14ac:dyDescent="0.25">
      <c r="F744" s="22" t="str">
        <f>IF(sample_log!$C744="", "", IF(sample_log!$C744="Chapin", "chapin_mon", IF(sample_log!$C744="Oatka", "oatka_mon", IF(sample_log!$C744="Seneca", "seneca_mon", "one"))))</f>
        <v/>
      </c>
    </row>
    <row r="745" spans="6:6" s="2" customFormat="1" ht="15" x14ac:dyDescent="0.25">
      <c r="F745" s="22" t="str">
        <f>IF(sample_log!$C745="", "", IF(sample_log!$C745="Chapin", "chapin_mon", IF(sample_log!$C745="Oatka", "oatka_mon", IF(sample_log!$C745="Seneca", "seneca_mon", "one"))))</f>
        <v/>
      </c>
    </row>
    <row r="746" spans="6:6" s="2" customFormat="1" ht="15" x14ac:dyDescent="0.25">
      <c r="F746" s="22" t="str">
        <f>IF(sample_log!$C746="", "", IF(sample_log!$C746="Chapin", "chapin_mon", IF(sample_log!$C746="Oatka", "oatka_mon", IF(sample_log!$C746="Seneca", "seneca_mon", "one"))))</f>
        <v/>
      </c>
    </row>
    <row r="747" spans="6:6" s="2" customFormat="1" ht="15" x14ac:dyDescent="0.25">
      <c r="F747" s="22" t="str">
        <f>IF(sample_log!$C747="", "", IF(sample_log!$C747="Chapin", "chapin_mon", IF(sample_log!$C747="Oatka", "oatka_mon", IF(sample_log!$C747="Seneca", "seneca_mon", "one"))))</f>
        <v/>
      </c>
    </row>
    <row r="748" spans="6:6" s="2" customFormat="1" ht="15" x14ac:dyDescent="0.25">
      <c r="F748" s="22" t="str">
        <f>IF(sample_log!$C748="", "", IF(sample_log!$C748="Chapin", "chapin_mon", IF(sample_log!$C748="Oatka", "oatka_mon", IF(sample_log!$C748="Seneca", "seneca_mon", "one"))))</f>
        <v/>
      </c>
    </row>
    <row r="749" spans="6:6" s="2" customFormat="1" ht="15" x14ac:dyDescent="0.25">
      <c r="F749" s="22" t="str">
        <f>IF(sample_log!$C749="", "", IF(sample_log!$C749="Chapin", "chapin_mon", IF(sample_log!$C749="Oatka", "oatka_mon", IF(sample_log!$C749="Seneca", "seneca_mon", "one"))))</f>
        <v/>
      </c>
    </row>
    <row r="750" spans="6:6" s="2" customFormat="1" ht="15" x14ac:dyDescent="0.25">
      <c r="F750" s="22" t="str">
        <f>IF(sample_log!$C750="", "", IF(sample_log!$C750="Chapin", "chapin_mon", IF(sample_log!$C750="Oatka", "oatka_mon", IF(sample_log!$C750="Seneca", "seneca_mon", "one"))))</f>
        <v/>
      </c>
    </row>
    <row r="751" spans="6:6" s="2" customFormat="1" ht="15" x14ac:dyDescent="0.25">
      <c r="F751" s="22" t="str">
        <f>IF(sample_log!$C751="", "", IF(sample_log!$C751="Chapin", "chapin_mon", IF(sample_log!$C751="Oatka", "oatka_mon", IF(sample_log!$C751="Seneca", "seneca_mon", "one"))))</f>
        <v/>
      </c>
    </row>
    <row r="752" spans="6:6" s="2" customFormat="1" ht="15" x14ac:dyDescent="0.25">
      <c r="F752" s="22" t="str">
        <f>IF(sample_log!$C752="", "", IF(sample_log!$C752="Chapin", "chapin_mon", IF(sample_log!$C752="Oatka", "oatka_mon", IF(sample_log!$C752="Seneca", "seneca_mon", "one"))))</f>
        <v/>
      </c>
    </row>
    <row r="753" spans="6:6" s="2" customFormat="1" ht="15" x14ac:dyDescent="0.25">
      <c r="F753" s="22" t="str">
        <f>IF(sample_log!$C753="", "", IF(sample_log!$C753="Chapin", "chapin_mon", IF(sample_log!$C753="Oatka", "oatka_mon", IF(sample_log!$C753="Seneca", "seneca_mon", "one"))))</f>
        <v/>
      </c>
    </row>
    <row r="754" spans="6:6" s="2" customFormat="1" ht="15" x14ac:dyDescent="0.25">
      <c r="F754" s="22" t="str">
        <f>IF(sample_log!$C754="", "", IF(sample_log!$C754="Chapin", "chapin_mon", IF(sample_log!$C754="Oatka", "oatka_mon", IF(sample_log!$C754="Seneca", "seneca_mon", "one"))))</f>
        <v/>
      </c>
    </row>
    <row r="755" spans="6:6" s="2" customFormat="1" ht="15" x14ac:dyDescent="0.25">
      <c r="F755" s="22" t="str">
        <f>IF(sample_log!$C755="", "", IF(sample_log!$C755="Chapin", "chapin_mon", IF(sample_log!$C755="Oatka", "oatka_mon", IF(sample_log!$C755="Seneca", "seneca_mon", "one"))))</f>
        <v/>
      </c>
    </row>
    <row r="756" spans="6:6" s="2" customFormat="1" ht="15" x14ac:dyDescent="0.25">
      <c r="F756" s="22" t="str">
        <f>IF(sample_log!$C756="", "", IF(sample_log!$C756="Chapin", "chapin_mon", IF(sample_log!$C756="Oatka", "oatka_mon", IF(sample_log!$C756="Seneca", "seneca_mon", "one"))))</f>
        <v/>
      </c>
    </row>
    <row r="757" spans="6:6" s="2" customFormat="1" ht="15" x14ac:dyDescent="0.25">
      <c r="F757" s="22" t="str">
        <f>IF(sample_log!$C757="", "", IF(sample_log!$C757="Chapin", "chapin_mon", IF(sample_log!$C757="Oatka", "oatka_mon", IF(sample_log!$C757="Seneca", "seneca_mon", "one"))))</f>
        <v/>
      </c>
    </row>
    <row r="758" spans="6:6" s="2" customFormat="1" ht="15" x14ac:dyDescent="0.25">
      <c r="F758" s="22" t="str">
        <f>IF(sample_log!$C758="", "", IF(sample_log!$C758="Chapin", "chapin_mon", IF(sample_log!$C758="Oatka", "oatka_mon", IF(sample_log!$C758="Seneca", "seneca_mon", "one"))))</f>
        <v/>
      </c>
    </row>
    <row r="759" spans="6:6" s="2" customFormat="1" ht="15" x14ac:dyDescent="0.25">
      <c r="F759" s="22" t="str">
        <f>IF(sample_log!$C759="", "", IF(sample_log!$C759="Chapin", "chapin_mon", IF(sample_log!$C759="Oatka", "oatka_mon", IF(sample_log!$C759="Seneca", "seneca_mon", "one"))))</f>
        <v/>
      </c>
    </row>
    <row r="760" spans="6:6" s="2" customFormat="1" ht="15" x14ac:dyDescent="0.25">
      <c r="F760" s="22" t="str">
        <f>IF(sample_log!$C760="", "", IF(sample_log!$C760="Chapin", "chapin_mon", IF(sample_log!$C760="Oatka", "oatka_mon", IF(sample_log!$C760="Seneca", "seneca_mon", "one"))))</f>
        <v/>
      </c>
    </row>
    <row r="761" spans="6:6" s="2" customFormat="1" ht="15" x14ac:dyDescent="0.25">
      <c r="F761" s="22" t="str">
        <f>IF(sample_log!$C761="", "", IF(sample_log!$C761="Chapin", "chapin_mon", IF(sample_log!$C761="Oatka", "oatka_mon", IF(sample_log!$C761="Seneca", "seneca_mon", "one"))))</f>
        <v/>
      </c>
    </row>
    <row r="762" spans="6:6" s="2" customFormat="1" ht="15" x14ac:dyDescent="0.25">
      <c r="F762" s="22" t="str">
        <f>IF(sample_log!$C762="", "", IF(sample_log!$C762="Chapin", "chapin_mon", IF(sample_log!$C762="Oatka", "oatka_mon", IF(sample_log!$C762="Seneca", "seneca_mon", "one"))))</f>
        <v/>
      </c>
    </row>
    <row r="763" spans="6:6" s="2" customFormat="1" ht="15" x14ac:dyDescent="0.25">
      <c r="F763" s="22" t="str">
        <f>IF(sample_log!$C763="", "", IF(sample_log!$C763="Chapin", "chapin_mon", IF(sample_log!$C763="Oatka", "oatka_mon", IF(sample_log!$C763="Seneca", "seneca_mon", "one"))))</f>
        <v/>
      </c>
    </row>
    <row r="764" spans="6:6" s="2" customFormat="1" ht="15" x14ac:dyDescent="0.25">
      <c r="F764" s="22" t="str">
        <f>IF(sample_log!$C764="", "", IF(sample_log!$C764="Chapin", "chapin_mon", IF(sample_log!$C764="Oatka", "oatka_mon", IF(sample_log!$C764="Seneca", "seneca_mon", "one"))))</f>
        <v/>
      </c>
    </row>
    <row r="765" spans="6:6" s="2" customFormat="1" ht="15" x14ac:dyDescent="0.25">
      <c r="F765" s="22" t="str">
        <f>IF(sample_log!$C765="", "", IF(sample_log!$C765="Chapin", "chapin_mon", IF(sample_log!$C765="Oatka", "oatka_mon", IF(sample_log!$C765="Seneca", "seneca_mon", "one"))))</f>
        <v/>
      </c>
    </row>
    <row r="766" spans="6:6" s="2" customFormat="1" ht="15" x14ac:dyDescent="0.25">
      <c r="F766" s="22" t="str">
        <f>IF(sample_log!$C766="", "", IF(sample_log!$C766="Chapin", "chapin_mon", IF(sample_log!$C766="Oatka", "oatka_mon", IF(sample_log!$C766="Seneca", "seneca_mon", "one"))))</f>
        <v/>
      </c>
    </row>
    <row r="767" spans="6:6" s="2" customFormat="1" ht="15" x14ac:dyDescent="0.25">
      <c r="F767" s="22" t="str">
        <f>IF(sample_log!$C767="", "", IF(sample_log!$C767="Chapin", "chapin_mon", IF(sample_log!$C767="Oatka", "oatka_mon", IF(sample_log!$C767="Seneca", "seneca_mon", "one"))))</f>
        <v/>
      </c>
    </row>
    <row r="768" spans="6:6" s="2" customFormat="1" ht="15" x14ac:dyDescent="0.25">
      <c r="F768" s="22" t="str">
        <f>IF(sample_log!$C768="", "", IF(sample_log!$C768="Chapin", "chapin_mon", IF(sample_log!$C768="Oatka", "oatka_mon", IF(sample_log!$C768="Seneca", "seneca_mon", "one"))))</f>
        <v/>
      </c>
    </row>
    <row r="769" spans="6:6" s="2" customFormat="1" ht="15" x14ac:dyDescent="0.25">
      <c r="F769" s="22" t="str">
        <f>IF(sample_log!$C769="", "", IF(sample_log!$C769="Chapin", "chapin_mon", IF(sample_log!$C769="Oatka", "oatka_mon", IF(sample_log!$C769="Seneca", "seneca_mon", "one"))))</f>
        <v/>
      </c>
    </row>
    <row r="770" spans="6:6" s="2" customFormat="1" ht="15" x14ac:dyDescent="0.25">
      <c r="F770" s="22" t="str">
        <f>IF(sample_log!$C770="", "", IF(sample_log!$C770="Chapin", "chapin_mon", IF(sample_log!$C770="Oatka", "oatka_mon", IF(sample_log!$C770="Seneca", "seneca_mon", "one"))))</f>
        <v/>
      </c>
    </row>
    <row r="771" spans="6:6" s="2" customFormat="1" ht="15" x14ac:dyDescent="0.25">
      <c r="F771" s="22" t="str">
        <f>IF(sample_log!$C771="", "", IF(sample_log!$C771="Chapin", "chapin_mon", IF(sample_log!$C771="Oatka", "oatka_mon", IF(sample_log!$C771="Seneca", "seneca_mon", "one"))))</f>
        <v/>
      </c>
    </row>
    <row r="772" spans="6:6" s="2" customFormat="1" ht="15" x14ac:dyDescent="0.25">
      <c r="F772" s="22" t="str">
        <f>IF(sample_log!$C772="", "", IF(sample_log!$C772="Chapin", "chapin_mon", IF(sample_log!$C772="Oatka", "oatka_mon", IF(sample_log!$C772="Seneca", "seneca_mon", "one"))))</f>
        <v/>
      </c>
    </row>
    <row r="773" spans="6:6" s="2" customFormat="1" ht="15" x14ac:dyDescent="0.25">
      <c r="F773" s="22" t="str">
        <f>IF(sample_log!$C773="", "", IF(sample_log!$C773="Chapin", "chapin_mon", IF(sample_log!$C773="Oatka", "oatka_mon", IF(sample_log!$C773="Seneca", "seneca_mon", "one"))))</f>
        <v/>
      </c>
    </row>
    <row r="774" spans="6:6" s="2" customFormat="1" ht="15" x14ac:dyDescent="0.25">
      <c r="F774" s="22" t="str">
        <f>IF(sample_log!$C774="", "", IF(sample_log!$C774="Chapin", "chapin_mon", IF(sample_log!$C774="Oatka", "oatka_mon", IF(sample_log!$C774="Seneca", "seneca_mon", "one"))))</f>
        <v/>
      </c>
    </row>
    <row r="775" spans="6:6" s="2" customFormat="1" ht="15" x14ac:dyDescent="0.25">
      <c r="F775" s="22" t="str">
        <f>IF(sample_log!$C775="", "", IF(sample_log!$C775="Chapin", "chapin_mon", IF(sample_log!$C775="Oatka", "oatka_mon", IF(sample_log!$C775="Seneca", "seneca_mon", "one"))))</f>
        <v/>
      </c>
    </row>
    <row r="776" spans="6:6" s="2" customFormat="1" ht="15" x14ac:dyDescent="0.25">
      <c r="F776" s="22" t="str">
        <f>IF(sample_log!$C776="", "", IF(sample_log!$C776="Chapin", "chapin_mon", IF(sample_log!$C776="Oatka", "oatka_mon", IF(sample_log!$C776="Seneca", "seneca_mon", "one"))))</f>
        <v/>
      </c>
    </row>
    <row r="777" spans="6:6" s="2" customFormat="1" ht="15" x14ac:dyDescent="0.25">
      <c r="F777" s="22" t="str">
        <f>IF(sample_log!$C777="", "", IF(sample_log!$C777="Chapin", "chapin_mon", IF(sample_log!$C777="Oatka", "oatka_mon", IF(sample_log!$C777="Seneca", "seneca_mon", "one"))))</f>
        <v/>
      </c>
    </row>
    <row r="778" spans="6:6" s="2" customFormat="1" ht="15" x14ac:dyDescent="0.25">
      <c r="F778" s="22" t="str">
        <f>IF(sample_log!$C778="", "", IF(sample_log!$C778="Chapin", "chapin_mon", IF(sample_log!$C778="Oatka", "oatka_mon", IF(sample_log!$C778="Seneca", "seneca_mon", "one"))))</f>
        <v/>
      </c>
    </row>
    <row r="779" spans="6:6" s="2" customFormat="1" ht="15" x14ac:dyDescent="0.25">
      <c r="F779" s="22" t="str">
        <f>IF(sample_log!$C779="", "", IF(sample_log!$C779="Chapin", "chapin_mon", IF(sample_log!$C779="Oatka", "oatka_mon", IF(sample_log!$C779="Seneca", "seneca_mon", "one"))))</f>
        <v/>
      </c>
    </row>
    <row r="780" spans="6:6" s="2" customFormat="1" ht="15" x14ac:dyDescent="0.25">
      <c r="F780" s="22" t="str">
        <f>IF(sample_log!$C780="", "", IF(sample_log!$C780="Chapin", "chapin_mon", IF(sample_log!$C780="Oatka", "oatka_mon", IF(sample_log!$C780="Seneca", "seneca_mon", "one"))))</f>
        <v/>
      </c>
    </row>
    <row r="781" spans="6:6" s="2" customFormat="1" ht="15" x14ac:dyDescent="0.25">
      <c r="F781" s="22" t="str">
        <f>IF(sample_log!$C781="", "", IF(sample_log!$C781="Chapin", "chapin_mon", IF(sample_log!$C781="Oatka", "oatka_mon", IF(sample_log!$C781="Seneca", "seneca_mon", "one"))))</f>
        <v/>
      </c>
    </row>
    <row r="782" spans="6:6" s="2" customFormat="1" ht="15" x14ac:dyDescent="0.25">
      <c r="F782" s="22" t="str">
        <f>IF(sample_log!$C782="", "", IF(sample_log!$C782="Chapin", "chapin_mon", IF(sample_log!$C782="Oatka", "oatka_mon", IF(sample_log!$C782="Seneca", "seneca_mon", "one"))))</f>
        <v/>
      </c>
    </row>
    <row r="783" spans="6:6" s="2" customFormat="1" ht="15" x14ac:dyDescent="0.25">
      <c r="F783" s="22" t="str">
        <f>IF(sample_log!$C783="", "", IF(sample_log!$C783="Chapin", "chapin_mon", IF(sample_log!$C783="Oatka", "oatka_mon", IF(sample_log!$C783="Seneca", "seneca_mon", "one"))))</f>
        <v/>
      </c>
    </row>
    <row r="784" spans="6:6" s="2" customFormat="1" ht="15" x14ac:dyDescent="0.25">
      <c r="F784" s="22" t="str">
        <f>IF(sample_log!$C784="", "", IF(sample_log!$C784="Chapin", "chapin_mon", IF(sample_log!$C784="Oatka", "oatka_mon", IF(sample_log!$C784="Seneca", "seneca_mon", "one"))))</f>
        <v/>
      </c>
    </row>
    <row r="785" spans="6:6" s="2" customFormat="1" ht="15" x14ac:dyDescent="0.25">
      <c r="F785" s="22" t="str">
        <f>IF(sample_log!$C785="", "", IF(sample_log!$C785="Chapin", "chapin_mon", IF(sample_log!$C785="Oatka", "oatka_mon", IF(sample_log!$C785="Seneca", "seneca_mon", "one"))))</f>
        <v/>
      </c>
    </row>
    <row r="786" spans="6:6" s="2" customFormat="1" ht="15" x14ac:dyDescent="0.25">
      <c r="F786" s="22" t="str">
        <f>IF(sample_log!$C786="", "", IF(sample_log!$C786="Chapin", "chapin_mon", IF(sample_log!$C786="Oatka", "oatka_mon", IF(sample_log!$C786="Seneca", "seneca_mon", "one"))))</f>
        <v/>
      </c>
    </row>
    <row r="787" spans="6:6" s="2" customFormat="1" ht="15" x14ac:dyDescent="0.25">
      <c r="F787" s="22" t="str">
        <f>IF(sample_log!$C787="", "", IF(sample_log!$C787="Chapin", "chapin_mon", IF(sample_log!$C787="Oatka", "oatka_mon", IF(sample_log!$C787="Seneca", "seneca_mon", "one"))))</f>
        <v/>
      </c>
    </row>
    <row r="788" spans="6:6" s="2" customFormat="1" ht="15" x14ac:dyDescent="0.25">
      <c r="F788" s="22" t="str">
        <f>IF(sample_log!$C788="", "", IF(sample_log!$C788="Chapin", "chapin_mon", IF(sample_log!$C788="Oatka", "oatka_mon", IF(sample_log!$C788="Seneca", "seneca_mon", "one"))))</f>
        <v/>
      </c>
    </row>
    <row r="789" spans="6:6" s="2" customFormat="1" ht="15" x14ac:dyDescent="0.25">
      <c r="F789" s="22" t="str">
        <f>IF(sample_log!$C789="", "", IF(sample_log!$C789="Chapin", "chapin_mon", IF(sample_log!$C789="Oatka", "oatka_mon", IF(sample_log!$C789="Seneca", "seneca_mon", "one"))))</f>
        <v/>
      </c>
    </row>
    <row r="790" spans="6:6" s="2" customFormat="1" ht="15" x14ac:dyDescent="0.25">
      <c r="F790" s="22" t="str">
        <f>IF(sample_log!$C790="", "", IF(sample_log!$C790="Chapin", "chapin_mon", IF(sample_log!$C790="Oatka", "oatka_mon", IF(sample_log!$C790="Seneca", "seneca_mon", "one"))))</f>
        <v/>
      </c>
    </row>
    <row r="791" spans="6:6" s="2" customFormat="1" ht="15" x14ac:dyDescent="0.25">
      <c r="F791" s="22" t="str">
        <f>IF(sample_log!$C791="", "", IF(sample_log!$C791="Chapin", "chapin_mon", IF(sample_log!$C791="Oatka", "oatka_mon", IF(sample_log!$C791="Seneca", "seneca_mon", "one"))))</f>
        <v/>
      </c>
    </row>
    <row r="792" spans="6:6" s="2" customFormat="1" ht="15" x14ac:dyDescent="0.25">
      <c r="F792" s="22" t="str">
        <f>IF(sample_log!$C792="", "", IF(sample_log!$C792="Chapin", "chapin_mon", IF(sample_log!$C792="Oatka", "oatka_mon", IF(sample_log!$C792="Seneca", "seneca_mon", "one"))))</f>
        <v/>
      </c>
    </row>
    <row r="793" spans="6:6" s="2" customFormat="1" ht="15" x14ac:dyDescent="0.25">
      <c r="F793" s="22" t="str">
        <f>IF(sample_log!$C793="", "", IF(sample_log!$C793="Chapin", "chapin_mon", IF(sample_log!$C793="Oatka", "oatka_mon", IF(sample_log!$C793="Seneca", "seneca_mon", "one"))))</f>
        <v/>
      </c>
    </row>
    <row r="794" spans="6:6" s="2" customFormat="1" ht="15" x14ac:dyDescent="0.25">
      <c r="F794" s="22" t="str">
        <f>IF(sample_log!$C794="", "", IF(sample_log!$C794="Chapin", "chapin_mon", IF(sample_log!$C794="Oatka", "oatka_mon", IF(sample_log!$C794="Seneca", "seneca_mon", "one"))))</f>
        <v/>
      </c>
    </row>
    <row r="795" spans="6:6" s="2" customFormat="1" ht="15" x14ac:dyDescent="0.25">
      <c r="F795" s="22" t="str">
        <f>IF(sample_log!$C795="", "", IF(sample_log!$C795="Chapin", "chapin_mon", IF(sample_log!$C795="Oatka", "oatka_mon", IF(sample_log!$C795="Seneca", "seneca_mon", "one"))))</f>
        <v/>
      </c>
    </row>
    <row r="796" spans="6:6" s="2" customFormat="1" ht="15" x14ac:dyDescent="0.25">
      <c r="F796" s="22" t="str">
        <f>IF(sample_log!$C796="", "", IF(sample_log!$C796="Chapin", "chapin_mon", IF(sample_log!$C796="Oatka", "oatka_mon", IF(sample_log!$C796="Seneca", "seneca_mon", "one"))))</f>
        <v/>
      </c>
    </row>
    <row r="797" spans="6:6" s="2" customFormat="1" ht="15" x14ac:dyDescent="0.25">
      <c r="F797" s="22" t="str">
        <f>IF(sample_log!$C797="", "", IF(sample_log!$C797="Chapin", "chapin_mon", IF(sample_log!$C797="Oatka", "oatka_mon", IF(sample_log!$C797="Seneca", "seneca_mon", "one"))))</f>
        <v/>
      </c>
    </row>
    <row r="798" spans="6:6" s="2" customFormat="1" ht="15" x14ac:dyDescent="0.25">
      <c r="F798" s="22" t="str">
        <f>IF(sample_log!$C798="", "", IF(sample_log!$C798="Chapin", "chapin_mon", IF(sample_log!$C798="Oatka", "oatka_mon", IF(sample_log!$C798="Seneca", "seneca_mon", "one"))))</f>
        <v/>
      </c>
    </row>
    <row r="799" spans="6:6" s="2" customFormat="1" ht="15" x14ac:dyDescent="0.25">
      <c r="F799" s="22" t="str">
        <f>IF(sample_log!$C799="", "", IF(sample_log!$C799="Chapin", "chapin_mon", IF(sample_log!$C799="Oatka", "oatka_mon", IF(sample_log!$C799="Seneca", "seneca_mon", "one"))))</f>
        <v/>
      </c>
    </row>
    <row r="800" spans="6:6" s="2" customFormat="1" ht="15" x14ac:dyDescent="0.25">
      <c r="F800" s="22" t="str">
        <f>IF(sample_log!$C800="", "", IF(sample_log!$C800="Chapin", "chapin_mon", IF(sample_log!$C800="Oatka", "oatka_mon", IF(sample_log!$C800="Seneca", "seneca_mon", "one"))))</f>
        <v/>
      </c>
    </row>
    <row r="801" spans="6:6" s="2" customFormat="1" ht="15" x14ac:dyDescent="0.25">
      <c r="F801" s="22" t="str">
        <f>IF(sample_log!$C801="", "", IF(sample_log!$C801="Chapin", "chapin_mon", IF(sample_log!$C801="Oatka", "oatka_mon", IF(sample_log!$C801="Seneca", "seneca_mon", "one"))))</f>
        <v/>
      </c>
    </row>
    <row r="802" spans="6:6" s="2" customFormat="1" ht="15" x14ac:dyDescent="0.25">
      <c r="F802" s="22" t="str">
        <f>IF(sample_log!$C802="", "", IF(sample_log!$C802="Chapin", "chapin_mon", IF(sample_log!$C802="Oatka", "oatka_mon", IF(sample_log!$C802="Seneca", "seneca_mon", "one"))))</f>
        <v/>
      </c>
    </row>
    <row r="803" spans="6:6" s="2" customFormat="1" ht="15" x14ac:dyDescent="0.25">
      <c r="F803" s="22" t="str">
        <f>IF(sample_log!$C803="", "", IF(sample_log!$C803="Chapin", "chapin_mon", IF(sample_log!$C803="Oatka", "oatka_mon", IF(sample_log!$C803="Seneca", "seneca_mon", "one"))))</f>
        <v/>
      </c>
    </row>
    <row r="804" spans="6:6" s="2" customFormat="1" ht="15" x14ac:dyDescent="0.25">
      <c r="F804" s="22" t="str">
        <f>IF(sample_log!$C804="", "", IF(sample_log!$C804="Chapin", "chapin_mon", IF(sample_log!$C804="Oatka", "oatka_mon", IF(sample_log!$C804="Seneca", "seneca_mon", "one"))))</f>
        <v/>
      </c>
    </row>
    <row r="805" spans="6:6" s="2" customFormat="1" ht="15" x14ac:dyDescent="0.25">
      <c r="F805" s="22" t="str">
        <f>IF(sample_log!$C805="", "", IF(sample_log!$C805="Chapin", "chapin_mon", IF(sample_log!$C805="Oatka", "oatka_mon", IF(sample_log!$C805="Seneca", "seneca_mon", "one"))))</f>
        <v/>
      </c>
    </row>
    <row r="806" spans="6:6" s="2" customFormat="1" ht="15" x14ac:dyDescent="0.25">
      <c r="F806" s="22" t="str">
        <f>IF(sample_log!$C806="", "", IF(sample_log!$C806="Chapin", "chapin_mon", IF(sample_log!$C806="Oatka", "oatka_mon", IF(sample_log!$C806="Seneca", "seneca_mon", "one"))))</f>
        <v/>
      </c>
    </row>
    <row r="807" spans="6:6" s="2" customFormat="1" ht="15" x14ac:dyDescent="0.25">
      <c r="F807" s="22" t="str">
        <f>IF(sample_log!$C807="", "", IF(sample_log!$C807="Chapin", "chapin_mon", IF(sample_log!$C807="Oatka", "oatka_mon", IF(sample_log!$C807="Seneca", "seneca_mon", "one"))))</f>
        <v/>
      </c>
    </row>
    <row r="808" spans="6:6" s="2" customFormat="1" ht="15" x14ac:dyDescent="0.25">
      <c r="F808" s="22" t="str">
        <f>IF(sample_log!$C808="", "", IF(sample_log!$C808="Chapin", "chapin_mon", IF(sample_log!$C808="Oatka", "oatka_mon", IF(sample_log!$C808="Seneca", "seneca_mon", "one"))))</f>
        <v/>
      </c>
    </row>
    <row r="809" spans="6:6" s="2" customFormat="1" ht="15" x14ac:dyDescent="0.25">
      <c r="F809" s="22" t="str">
        <f>IF(sample_log!$C809="", "", IF(sample_log!$C809="Chapin", "chapin_mon", IF(sample_log!$C809="Oatka", "oatka_mon", IF(sample_log!$C809="Seneca", "seneca_mon", "one"))))</f>
        <v/>
      </c>
    </row>
    <row r="810" spans="6:6" s="2" customFormat="1" ht="15" x14ac:dyDescent="0.25">
      <c r="F810" s="22" t="str">
        <f>IF(sample_log!$C810="", "", IF(sample_log!$C810="Chapin", "chapin_mon", IF(sample_log!$C810="Oatka", "oatka_mon", IF(sample_log!$C810="Seneca", "seneca_mon", "one"))))</f>
        <v/>
      </c>
    </row>
    <row r="811" spans="6:6" s="2" customFormat="1" ht="15" x14ac:dyDescent="0.25">
      <c r="F811" s="22" t="str">
        <f>IF(sample_log!$C811="", "", IF(sample_log!$C811="Chapin", "chapin_mon", IF(sample_log!$C811="Oatka", "oatka_mon", IF(sample_log!$C811="Seneca", "seneca_mon", "one"))))</f>
        <v/>
      </c>
    </row>
    <row r="812" spans="6:6" s="2" customFormat="1" ht="15" x14ac:dyDescent="0.25">
      <c r="F812" s="22" t="str">
        <f>IF(sample_log!$C812="", "", IF(sample_log!$C812="Chapin", "chapin_mon", IF(sample_log!$C812="Oatka", "oatka_mon", IF(sample_log!$C812="Seneca", "seneca_mon", "one"))))</f>
        <v/>
      </c>
    </row>
    <row r="813" spans="6:6" s="2" customFormat="1" ht="15" x14ac:dyDescent="0.25">
      <c r="F813" s="22" t="str">
        <f>IF(sample_log!$C813="", "", IF(sample_log!$C813="Chapin", "chapin_mon", IF(sample_log!$C813="Oatka", "oatka_mon", IF(sample_log!$C813="Seneca", "seneca_mon", "one"))))</f>
        <v/>
      </c>
    </row>
    <row r="814" spans="6:6" s="2" customFormat="1" ht="15" x14ac:dyDescent="0.25">
      <c r="F814" s="22" t="str">
        <f>IF(sample_log!$C814="", "", IF(sample_log!$C814="Chapin", "chapin_mon", IF(sample_log!$C814="Oatka", "oatka_mon", IF(sample_log!$C814="Seneca", "seneca_mon", "one"))))</f>
        <v/>
      </c>
    </row>
    <row r="815" spans="6:6" s="2" customFormat="1" ht="15" x14ac:dyDescent="0.25">
      <c r="F815" s="22" t="str">
        <f>IF(sample_log!$C815="", "", IF(sample_log!$C815="Chapin", "chapin_mon", IF(sample_log!$C815="Oatka", "oatka_mon", IF(sample_log!$C815="Seneca", "seneca_mon", "one"))))</f>
        <v/>
      </c>
    </row>
    <row r="816" spans="6:6" s="2" customFormat="1" ht="15" x14ac:dyDescent="0.25">
      <c r="F816" s="22" t="str">
        <f>IF(sample_log!$C816="", "", IF(sample_log!$C816="Chapin", "chapin_mon", IF(sample_log!$C816="Oatka", "oatka_mon", IF(sample_log!$C816="Seneca", "seneca_mon", "one"))))</f>
        <v/>
      </c>
    </row>
    <row r="817" spans="6:6" s="2" customFormat="1" ht="15" x14ac:dyDescent="0.25">
      <c r="F817" s="22" t="str">
        <f>IF(sample_log!$C817="", "", IF(sample_log!$C817="Chapin", "chapin_mon", IF(sample_log!$C817="Oatka", "oatka_mon", IF(sample_log!$C817="Seneca", "seneca_mon", "one"))))</f>
        <v/>
      </c>
    </row>
    <row r="818" spans="6:6" s="2" customFormat="1" ht="15" x14ac:dyDescent="0.25">
      <c r="F818" s="22" t="str">
        <f>IF(sample_log!$C818="", "", IF(sample_log!$C818="Chapin", "chapin_mon", IF(sample_log!$C818="Oatka", "oatka_mon", IF(sample_log!$C818="Seneca", "seneca_mon", "one"))))</f>
        <v/>
      </c>
    </row>
    <row r="819" spans="6:6" s="2" customFormat="1" ht="15" x14ac:dyDescent="0.25">
      <c r="F819" s="22" t="str">
        <f>IF(sample_log!$C819="", "", IF(sample_log!$C819="Chapin", "chapin_mon", IF(sample_log!$C819="Oatka", "oatka_mon", IF(sample_log!$C819="Seneca", "seneca_mon", "one"))))</f>
        <v/>
      </c>
    </row>
    <row r="820" spans="6:6" s="2" customFormat="1" ht="15" x14ac:dyDescent="0.25">
      <c r="F820" s="22" t="str">
        <f>IF(sample_log!$C820="", "", IF(sample_log!$C820="Chapin", "chapin_mon", IF(sample_log!$C820="Oatka", "oatka_mon", IF(sample_log!$C820="Seneca", "seneca_mon", "one"))))</f>
        <v/>
      </c>
    </row>
    <row r="821" spans="6:6" s="2" customFormat="1" ht="15" x14ac:dyDescent="0.25">
      <c r="F821" s="22" t="str">
        <f>IF(sample_log!$C821="", "", IF(sample_log!$C821="Chapin", "chapin_mon", IF(sample_log!$C821="Oatka", "oatka_mon", IF(sample_log!$C821="Seneca", "seneca_mon", "one"))))</f>
        <v/>
      </c>
    </row>
    <row r="822" spans="6:6" s="2" customFormat="1" ht="15" x14ac:dyDescent="0.25">
      <c r="F822" s="22" t="str">
        <f>IF(sample_log!$C822="", "", IF(sample_log!$C822="Chapin", "chapin_mon", IF(sample_log!$C822="Oatka", "oatka_mon", IF(sample_log!$C822="Seneca", "seneca_mon", "one"))))</f>
        <v/>
      </c>
    </row>
    <row r="823" spans="6:6" s="2" customFormat="1" ht="15" x14ac:dyDescent="0.25">
      <c r="F823" s="22" t="str">
        <f>IF(sample_log!$C823="", "", IF(sample_log!$C823="Chapin", "chapin_mon", IF(sample_log!$C823="Oatka", "oatka_mon", IF(sample_log!$C823="Seneca", "seneca_mon", "one"))))</f>
        <v/>
      </c>
    </row>
    <row r="824" spans="6:6" s="2" customFormat="1" ht="15" x14ac:dyDescent="0.25">
      <c r="F824" s="22" t="str">
        <f>IF(sample_log!$C824="", "", IF(sample_log!$C824="Chapin", "chapin_mon", IF(sample_log!$C824="Oatka", "oatka_mon", IF(sample_log!$C824="Seneca", "seneca_mon", "one"))))</f>
        <v/>
      </c>
    </row>
    <row r="825" spans="6:6" s="2" customFormat="1" ht="15" x14ac:dyDescent="0.25">
      <c r="F825" s="22" t="str">
        <f>IF(sample_log!$C825="", "", IF(sample_log!$C825="Chapin", "chapin_mon", IF(sample_log!$C825="Oatka", "oatka_mon", IF(sample_log!$C825="Seneca", "seneca_mon", "one"))))</f>
        <v/>
      </c>
    </row>
    <row r="826" spans="6:6" s="2" customFormat="1" ht="15" x14ac:dyDescent="0.25">
      <c r="F826" s="22" t="str">
        <f>IF(sample_log!$C826="", "", IF(sample_log!$C826="Chapin", "chapin_mon", IF(sample_log!$C826="Oatka", "oatka_mon", IF(sample_log!$C826="Seneca", "seneca_mon", "one"))))</f>
        <v/>
      </c>
    </row>
    <row r="827" spans="6:6" s="2" customFormat="1" ht="15" x14ac:dyDescent="0.25">
      <c r="F827" s="22" t="str">
        <f>IF(sample_log!$C827="", "", IF(sample_log!$C827="Chapin", "chapin_mon", IF(sample_log!$C827="Oatka", "oatka_mon", IF(sample_log!$C827="Seneca", "seneca_mon", "one"))))</f>
        <v/>
      </c>
    </row>
    <row r="828" spans="6:6" s="2" customFormat="1" ht="15" x14ac:dyDescent="0.25">
      <c r="F828" s="22" t="str">
        <f>IF(sample_log!$C828="", "", IF(sample_log!$C828="Chapin", "chapin_mon", IF(sample_log!$C828="Oatka", "oatka_mon", IF(sample_log!$C828="Seneca", "seneca_mon", "one"))))</f>
        <v/>
      </c>
    </row>
    <row r="829" spans="6:6" s="2" customFormat="1" ht="15" x14ac:dyDescent="0.25">
      <c r="F829" s="22" t="str">
        <f>IF(sample_log!$C829="", "", IF(sample_log!$C829="Chapin", "chapin_mon", IF(sample_log!$C829="Oatka", "oatka_mon", IF(sample_log!$C829="Seneca", "seneca_mon", "one"))))</f>
        <v/>
      </c>
    </row>
    <row r="830" spans="6:6" s="2" customFormat="1" ht="15" x14ac:dyDescent="0.25">
      <c r="F830" s="22" t="str">
        <f>IF(sample_log!$C830="", "", IF(sample_log!$C830="Chapin", "chapin_mon", IF(sample_log!$C830="Oatka", "oatka_mon", IF(sample_log!$C830="Seneca", "seneca_mon", "one"))))</f>
        <v/>
      </c>
    </row>
    <row r="831" spans="6:6" s="2" customFormat="1" ht="15" x14ac:dyDescent="0.25">
      <c r="F831" s="22" t="str">
        <f>IF(sample_log!$C831="", "", IF(sample_log!$C831="Chapin", "chapin_mon", IF(sample_log!$C831="Oatka", "oatka_mon", IF(sample_log!$C831="Seneca", "seneca_mon", "one"))))</f>
        <v/>
      </c>
    </row>
    <row r="832" spans="6:6" s="2" customFormat="1" ht="15" x14ac:dyDescent="0.25">
      <c r="F832" s="22" t="str">
        <f>IF(sample_log!$C832="", "", IF(sample_log!$C832="Chapin", "chapin_mon", IF(sample_log!$C832="Oatka", "oatka_mon", IF(sample_log!$C832="Seneca", "seneca_mon", "one"))))</f>
        <v/>
      </c>
    </row>
    <row r="833" spans="6:6" s="2" customFormat="1" ht="15" x14ac:dyDescent="0.25">
      <c r="F833" s="22" t="str">
        <f>IF(sample_log!$C833="", "", IF(sample_log!$C833="Chapin", "chapin_mon", IF(sample_log!$C833="Oatka", "oatka_mon", IF(sample_log!$C833="Seneca", "seneca_mon", "one"))))</f>
        <v/>
      </c>
    </row>
    <row r="834" spans="6:6" s="2" customFormat="1" ht="15" x14ac:dyDescent="0.25">
      <c r="F834" s="22" t="str">
        <f>IF(sample_log!$C834="", "", IF(sample_log!$C834="Chapin", "chapin_mon", IF(sample_log!$C834="Oatka", "oatka_mon", IF(sample_log!$C834="Seneca", "seneca_mon", "one"))))</f>
        <v/>
      </c>
    </row>
    <row r="835" spans="6:6" s="2" customFormat="1" ht="15" x14ac:dyDescent="0.25">
      <c r="F835" s="22" t="str">
        <f>IF(sample_log!$C835="", "", IF(sample_log!$C835="Chapin", "chapin_mon", IF(sample_log!$C835="Oatka", "oatka_mon", IF(sample_log!$C835="Seneca", "seneca_mon", "one"))))</f>
        <v/>
      </c>
    </row>
    <row r="836" spans="6:6" s="2" customFormat="1" ht="15" x14ac:dyDescent="0.25">
      <c r="F836" s="22" t="str">
        <f>IF(sample_log!$C836="", "", IF(sample_log!$C836="Chapin", "chapin_mon", IF(sample_log!$C836="Oatka", "oatka_mon", IF(sample_log!$C836="Seneca", "seneca_mon", "one"))))</f>
        <v/>
      </c>
    </row>
    <row r="837" spans="6:6" s="2" customFormat="1" ht="15" x14ac:dyDescent="0.25">
      <c r="F837" s="22" t="str">
        <f>IF(sample_log!$C837="", "", IF(sample_log!$C837="Chapin", "chapin_mon", IF(sample_log!$C837="Oatka", "oatka_mon", IF(sample_log!$C837="Seneca", "seneca_mon", "one"))))</f>
        <v/>
      </c>
    </row>
    <row r="838" spans="6:6" s="2" customFormat="1" ht="15" x14ac:dyDescent="0.25">
      <c r="F838" s="22" t="str">
        <f>IF(sample_log!$C838="", "", IF(sample_log!$C838="Chapin", "chapin_mon", IF(sample_log!$C838="Oatka", "oatka_mon", IF(sample_log!$C838="Seneca", "seneca_mon", "one"))))</f>
        <v/>
      </c>
    </row>
    <row r="839" spans="6:6" s="2" customFormat="1" ht="15" x14ac:dyDescent="0.25">
      <c r="F839" s="22" t="str">
        <f>IF(sample_log!$C839="", "", IF(sample_log!$C839="Chapin", "chapin_mon", IF(sample_log!$C839="Oatka", "oatka_mon", IF(sample_log!$C839="Seneca", "seneca_mon", "one"))))</f>
        <v/>
      </c>
    </row>
    <row r="840" spans="6:6" s="2" customFormat="1" ht="15" x14ac:dyDescent="0.25">
      <c r="F840" s="22" t="str">
        <f>IF(sample_log!$C840="", "", IF(sample_log!$C840="Chapin", "chapin_mon", IF(sample_log!$C840="Oatka", "oatka_mon", IF(sample_log!$C840="Seneca", "seneca_mon", "one"))))</f>
        <v/>
      </c>
    </row>
    <row r="841" spans="6:6" s="2" customFormat="1" ht="15" x14ac:dyDescent="0.25">
      <c r="F841" s="22" t="str">
        <f>IF(sample_log!$C841="", "", IF(sample_log!$C841="Chapin", "chapin_mon", IF(sample_log!$C841="Oatka", "oatka_mon", IF(sample_log!$C841="Seneca", "seneca_mon", "one"))))</f>
        <v/>
      </c>
    </row>
    <row r="842" spans="6:6" s="2" customFormat="1" ht="15" x14ac:dyDescent="0.25">
      <c r="F842" s="22" t="str">
        <f>IF(sample_log!$C842="", "", IF(sample_log!$C842="Chapin", "chapin_mon", IF(sample_log!$C842="Oatka", "oatka_mon", IF(sample_log!$C842="Seneca", "seneca_mon", "one"))))</f>
        <v/>
      </c>
    </row>
    <row r="843" spans="6:6" s="2" customFormat="1" ht="15" x14ac:dyDescent="0.25">
      <c r="F843" s="22" t="str">
        <f>IF(sample_log!$C843="", "", IF(sample_log!$C843="Chapin", "chapin_mon", IF(sample_log!$C843="Oatka", "oatka_mon", IF(sample_log!$C843="Seneca", "seneca_mon", "one"))))</f>
        <v/>
      </c>
    </row>
    <row r="844" spans="6:6" s="2" customFormat="1" ht="15" x14ac:dyDescent="0.25">
      <c r="F844" s="22" t="str">
        <f>IF(sample_log!$C844="", "", IF(sample_log!$C844="Chapin", "chapin_mon", IF(sample_log!$C844="Oatka", "oatka_mon", IF(sample_log!$C844="Seneca", "seneca_mon", "one"))))</f>
        <v/>
      </c>
    </row>
    <row r="845" spans="6:6" s="2" customFormat="1" ht="15" x14ac:dyDescent="0.25">
      <c r="F845" s="22" t="str">
        <f>IF(sample_log!$C845="", "", IF(sample_log!$C845="Chapin", "chapin_mon", IF(sample_log!$C845="Oatka", "oatka_mon", IF(sample_log!$C845="Seneca", "seneca_mon", "one"))))</f>
        <v/>
      </c>
    </row>
    <row r="846" spans="6:6" s="2" customFormat="1" ht="15" x14ac:dyDescent="0.25">
      <c r="F846" s="22" t="str">
        <f>IF(sample_log!$C846="", "", IF(sample_log!$C846="Chapin", "chapin_mon", IF(sample_log!$C846="Oatka", "oatka_mon", IF(sample_log!$C846="Seneca", "seneca_mon", "one"))))</f>
        <v/>
      </c>
    </row>
    <row r="847" spans="6:6" s="2" customFormat="1" ht="15" x14ac:dyDescent="0.25">
      <c r="F847" s="22" t="str">
        <f>IF(sample_log!$C847="", "", IF(sample_log!$C847="Chapin", "chapin_mon", IF(sample_log!$C847="Oatka", "oatka_mon", IF(sample_log!$C847="Seneca", "seneca_mon", "one"))))</f>
        <v/>
      </c>
    </row>
    <row r="848" spans="6:6" s="2" customFormat="1" ht="15" x14ac:dyDescent="0.25">
      <c r="F848" s="22" t="str">
        <f>IF(sample_log!$C848="", "", IF(sample_log!$C848="Chapin", "chapin_mon", IF(sample_log!$C848="Oatka", "oatka_mon", IF(sample_log!$C848="Seneca", "seneca_mon", "one"))))</f>
        <v/>
      </c>
    </row>
    <row r="849" spans="6:6" s="2" customFormat="1" ht="15" x14ac:dyDescent="0.25">
      <c r="F849" s="22" t="str">
        <f>IF(sample_log!$C849="", "", IF(sample_log!$C849="Chapin", "chapin_mon", IF(sample_log!$C849="Oatka", "oatka_mon", IF(sample_log!$C849="Seneca", "seneca_mon", "one"))))</f>
        <v/>
      </c>
    </row>
    <row r="850" spans="6:6" s="2" customFormat="1" ht="15" x14ac:dyDescent="0.25">
      <c r="F850" s="22" t="str">
        <f>IF(sample_log!$C850="", "", IF(sample_log!$C850="Chapin", "chapin_mon", IF(sample_log!$C850="Oatka", "oatka_mon", IF(sample_log!$C850="Seneca", "seneca_mon", "one"))))</f>
        <v/>
      </c>
    </row>
    <row r="851" spans="6:6" s="2" customFormat="1" ht="15" x14ac:dyDescent="0.25">
      <c r="F851" s="22" t="str">
        <f>IF(sample_log!$C851="", "", IF(sample_log!$C851="Chapin", "chapin_mon", IF(sample_log!$C851="Oatka", "oatka_mon", IF(sample_log!$C851="Seneca", "seneca_mon", "one"))))</f>
        <v/>
      </c>
    </row>
    <row r="852" spans="6:6" s="2" customFormat="1" ht="15" x14ac:dyDescent="0.25">
      <c r="F852" s="22" t="str">
        <f>IF(sample_log!$C852="", "", IF(sample_log!$C852="Chapin", "chapin_mon", IF(sample_log!$C852="Oatka", "oatka_mon", IF(sample_log!$C852="Seneca", "seneca_mon", "one"))))</f>
        <v/>
      </c>
    </row>
    <row r="853" spans="6:6" s="2" customFormat="1" ht="15" x14ac:dyDescent="0.25">
      <c r="F853" s="22" t="str">
        <f>IF(sample_log!$C853="", "", IF(sample_log!$C853="Chapin", "chapin_mon", IF(sample_log!$C853="Oatka", "oatka_mon", IF(sample_log!$C853="Seneca", "seneca_mon", "one"))))</f>
        <v/>
      </c>
    </row>
    <row r="854" spans="6:6" s="2" customFormat="1" ht="15" x14ac:dyDescent="0.25">
      <c r="F854" s="22" t="str">
        <f>IF(sample_log!$C854="", "", IF(sample_log!$C854="Chapin", "chapin_mon", IF(sample_log!$C854="Oatka", "oatka_mon", IF(sample_log!$C854="Seneca", "seneca_mon", "one"))))</f>
        <v/>
      </c>
    </row>
    <row r="855" spans="6:6" s="2" customFormat="1" ht="15" x14ac:dyDescent="0.25">
      <c r="F855" s="22" t="str">
        <f>IF(sample_log!$C855="", "", IF(sample_log!$C855="Chapin", "chapin_mon", IF(sample_log!$C855="Oatka", "oatka_mon", IF(sample_log!$C855="Seneca", "seneca_mon", "one"))))</f>
        <v/>
      </c>
    </row>
    <row r="856" spans="6:6" s="2" customFormat="1" ht="15" x14ac:dyDescent="0.25">
      <c r="F856" s="22" t="str">
        <f>IF(sample_log!$C856="", "", IF(sample_log!$C856="Chapin", "chapin_mon", IF(sample_log!$C856="Oatka", "oatka_mon", IF(sample_log!$C856="Seneca", "seneca_mon", "one"))))</f>
        <v/>
      </c>
    </row>
    <row r="857" spans="6:6" s="2" customFormat="1" ht="15" x14ac:dyDescent="0.25">
      <c r="F857" s="22" t="str">
        <f>IF(sample_log!$C857="", "", IF(sample_log!$C857="Chapin", "chapin_mon", IF(sample_log!$C857="Oatka", "oatka_mon", IF(sample_log!$C857="Seneca", "seneca_mon", "one"))))</f>
        <v/>
      </c>
    </row>
    <row r="858" spans="6:6" s="2" customFormat="1" ht="15" x14ac:dyDescent="0.25">
      <c r="F858" s="22" t="str">
        <f>IF(sample_log!$C858="", "", IF(sample_log!$C858="Chapin", "chapin_mon", IF(sample_log!$C858="Oatka", "oatka_mon", IF(sample_log!$C858="Seneca", "seneca_mon", "one"))))</f>
        <v/>
      </c>
    </row>
    <row r="859" spans="6:6" s="2" customFormat="1" ht="15" x14ac:dyDescent="0.25">
      <c r="F859" s="22" t="str">
        <f>IF(sample_log!$C859="", "", IF(sample_log!$C859="Chapin", "chapin_mon", IF(sample_log!$C859="Oatka", "oatka_mon", IF(sample_log!$C859="Seneca", "seneca_mon", "one"))))</f>
        <v/>
      </c>
    </row>
    <row r="860" spans="6:6" s="2" customFormat="1" ht="15" x14ac:dyDescent="0.25">
      <c r="F860" s="22" t="str">
        <f>IF(sample_log!$C860="", "", IF(sample_log!$C860="Chapin", "chapin_mon", IF(sample_log!$C860="Oatka", "oatka_mon", IF(sample_log!$C860="Seneca", "seneca_mon", "one"))))</f>
        <v/>
      </c>
    </row>
    <row r="861" spans="6:6" s="2" customFormat="1" ht="15" x14ac:dyDescent="0.25">
      <c r="F861" s="22" t="str">
        <f>IF(sample_log!$C861="", "", IF(sample_log!$C861="Chapin", "chapin_mon", IF(sample_log!$C861="Oatka", "oatka_mon", IF(sample_log!$C861="Seneca", "seneca_mon", "one"))))</f>
        <v/>
      </c>
    </row>
    <row r="862" spans="6:6" s="2" customFormat="1" ht="15" x14ac:dyDescent="0.25">
      <c r="F862" s="22" t="str">
        <f>IF(sample_log!$C862="", "", IF(sample_log!$C862="Chapin", "chapin_mon", IF(sample_log!$C862="Oatka", "oatka_mon", IF(sample_log!$C862="Seneca", "seneca_mon", "one"))))</f>
        <v/>
      </c>
    </row>
    <row r="863" spans="6:6" s="2" customFormat="1" ht="15" x14ac:dyDescent="0.25">
      <c r="F863" s="22" t="str">
        <f>IF(sample_log!$C863="", "", IF(sample_log!$C863="Chapin", "chapin_mon", IF(sample_log!$C863="Oatka", "oatka_mon", IF(sample_log!$C863="Seneca", "seneca_mon", "one"))))</f>
        <v/>
      </c>
    </row>
    <row r="864" spans="6:6" s="2" customFormat="1" ht="15" x14ac:dyDescent="0.25">
      <c r="F864" s="22" t="str">
        <f>IF(sample_log!$C864="", "", IF(sample_log!$C864="Chapin", "chapin_mon", IF(sample_log!$C864="Oatka", "oatka_mon", IF(sample_log!$C864="Seneca", "seneca_mon", "one"))))</f>
        <v/>
      </c>
    </row>
    <row r="865" spans="6:6" s="2" customFormat="1" ht="15" x14ac:dyDescent="0.25">
      <c r="F865" s="22" t="str">
        <f>IF(sample_log!$C865="", "", IF(sample_log!$C865="Chapin", "chapin_mon", IF(sample_log!$C865="Oatka", "oatka_mon", IF(sample_log!$C865="Seneca", "seneca_mon", "one"))))</f>
        <v/>
      </c>
    </row>
    <row r="866" spans="6:6" s="2" customFormat="1" ht="15" x14ac:dyDescent="0.25">
      <c r="F866" s="22" t="str">
        <f>IF(sample_log!$C866="", "", IF(sample_log!$C866="Chapin", "chapin_mon", IF(sample_log!$C866="Oatka", "oatka_mon", IF(sample_log!$C866="Seneca", "seneca_mon", "one"))))</f>
        <v/>
      </c>
    </row>
    <row r="867" spans="6:6" s="2" customFormat="1" ht="15" x14ac:dyDescent="0.25">
      <c r="F867" s="22" t="str">
        <f>IF(sample_log!$C867="", "", IF(sample_log!$C867="Chapin", "chapin_mon", IF(sample_log!$C867="Oatka", "oatka_mon", IF(sample_log!$C867="Seneca", "seneca_mon", "one"))))</f>
        <v/>
      </c>
    </row>
    <row r="868" spans="6:6" s="2" customFormat="1" ht="15" x14ac:dyDescent="0.25">
      <c r="F868" s="22" t="str">
        <f>IF(sample_log!$C868="", "", IF(sample_log!$C868="Chapin", "chapin_mon", IF(sample_log!$C868="Oatka", "oatka_mon", IF(sample_log!$C868="Seneca", "seneca_mon", "one"))))</f>
        <v/>
      </c>
    </row>
    <row r="869" spans="6:6" s="2" customFormat="1" ht="15" x14ac:dyDescent="0.25">
      <c r="F869" s="22" t="str">
        <f>IF(sample_log!$C869="", "", IF(sample_log!$C869="Chapin", "chapin_mon", IF(sample_log!$C869="Oatka", "oatka_mon", IF(sample_log!$C869="Seneca", "seneca_mon", "one"))))</f>
        <v/>
      </c>
    </row>
    <row r="870" spans="6:6" s="2" customFormat="1" ht="15" x14ac:dyDescent="0.25">
      <c r="F870" s="22" t="str">
        <f>IF(sample_log!$C870="", "", IF(sample_log!$C870="Chapin", "chapin_mon", IF(sample_log!$C870="Oatka", "oatka_mon", IF(sample_log!$C870="Seneca", "seneca_mon", "one"))))</f>
        <v/>
      </c>
    </row>
    <row r="871" spans="6:6" s="2" customFormat="1" ht="15" x14ac:dyDescent="0.25">
      <c r="F871" s="22" t="str">
        <f>IF(sample_log!$C871="", "", IF(sample_log!$C871="Chapin", "chapin_mon", IF(sample_log!$C871="Oatka", "oatka_mon", IF(sample_log!$C871="Seneca", "seneca_mon", "one"))))</f>
        <v/>
      </c>
    </row>
    <row r="872" spans="6:6" s="2" customFormat="1" ht="15" x14ac:dyDescent="0.25">
      <c r="F872" s="22" t="str">
        <f>IF(sample_log!$C872="", "", IF(sample_log!$C872="Chapin", "chapin_mon", IF(sample_log!$C872="Oatka", "oatka_mon", IF(sample_log!$C872="Seneca", "seneca_mon", "one"))))</f>
        <v/>
      </c>
    </row>
    <row r="873" spans="6:6" s="2" customFormat="1" ht="15" x14ac:dyDescent="0.25">
      <c r="F873" s="22" t="str">
        <f>IF(sample_log!$C873="", "", IF(sample_log!$C873="Chapin", "chapin_mon", IF(sample_log!$C873="Oatka", "oatka_mon", IF(sample_log!$C873="Seneca", "seneca_mon", "one"))))</f>
        <v/>
      </c>
    </row>
    <row r="874" spans="6:6" s="2" customFormat="1" ht="15" x14ac:dyDescent="0.25">
      <c r="F874" s="22" t="str">
        <f>IF(sample_log!$C874="", "", IF(sample_log!$C874="Chapin", "chapin_mon", IF(sample_log!$C874="Oatka", "oatka_mon", IF(sample_log!$C874="Seneca", "seneca_mon", "one"))))</f>
        <v/>
      </c>
    </row>
    <row r="875" spans="6:6" s="2" customFormat="1" ht="15" x14ac:dyDescent="0.25">
      <c r="F875" s="22" t="str">
        <f>IF(sample_log!$C875="", "", IF(sample_log!$C875="Chapin", "chapin_mon", IF(sample_log!$C875="Oatka", "oatka_mon", IF(sample_log!$C875="Seneca", "seneca_mon", "one"))))</f>
        <v/>
      </c>
    </row>
    <row r="876" spans="6:6" s="2" customFormat="1" ht="15" x14ac:dyDescent="0.25">
      <c r="F876" s="22" t="str">
        <f>IF(sample_log!$C876="", "", IF(sample_log!$C876="Chapin", "chapin_mon", IF(sample_log!$C876="Oatka", "oatka_mon", IF(sample_log!$C876="Seneca", "seneca_mon", "one"))))</f>
        <v/>
      </c>
    </row>
    <row r="877" spans="6:6" s="2" customFormat="1" ht="15" x14ac:dyDescent="0.25">
      <c r="F877" s="22" t="str">
        <f>IF(sample_log!$C877="", "", IF(sample_log!$C877="Chapin", "chapin_mon", IF(sample_log!$C877="Oatka", "oatka_mon", IF(sample_log!$C877="Seneca", "seneca_mon", "one"))))</f>
        <v/>
      </c>
    </row>
    <row r="878" spans="6:6" s="2" customFormat="1" ht="15" x14ac:dyDescent="0.25">
      <c r="F878" s="22" t="str">
        <f>IF(sample_log!$C878="", "", IF(sample_log!$C878="Chapin", "chapin_mon", IF(sample_log!$C878="Oatka", "oatka_mon", IF(sample_log!$C878="Seneca", "seneca_mon", "one"))))</f>
        <v/>
      </c>
    </row>
    <row r="879" spans="6:6" s="2" customFormat="1" ht="15" x14ac:dyDescent="0.25">
      <c r="F879" s="22" t="str">
        <f>IF(sample_log!$C879="", "", IF(sample_log!$C879="Chapin", "chapin_mon", IF(sample_log!$C879="Oatka", "oatka_mon", IF(sample_log!$C879="Seneca", "seneca_mon", "one"))))</f>
        <v/>
      </c>
    </row>
    <row r="880" spans="6:6" s="2" customFormat="1" ht="15" x14ac:dyDescent="0.25">
      <c r="F880" s="22" t="str">
        <f>IF(sample_log!$C880="", "", IF(sample_log!$C880="Chapin", "chapin_mon", IF(sample_log!$C880="Oatka", "oatka_mon", IF(sample_log!$C880="Seneca", "seneca_mon", "one"))))</f>
        <v/>
      </c>
    </row>
    <row r="881" spans="6:6" s="2" customFormat="1" ht="15" x14ac:dyDescent="0.25">
      <c r="F881" s="22" t="str">
        <f>IF(sample_log!$C881="", "", IF(sample_log!$C881="Chapin", "chapin_mon", IF(sample_log!$C881="Oatka", "oatka_mon", IF(sample_log!$C881="Seneca", "seneca_mon", "one"))))</f>
        <v/>
      </c>
    </row>
    <row r="882" spans="6:6" s="2" customFormat="1" ht="15" x14ac:dyDescent="0.25">
      <c r="F882" s="22" t="str">
        <f>IF(sample_log!$C882="", "", IF(sample_log!$C882="Chapin", "chapin_mon", IF(sample_log!$C882="Oatka", "oatka_mon", IF(sample_log!$C882="Seneca", "seneca_mon", "one"))))</f>
        <v/>
      </c>
    </row>
    <row r="883" spans="6:6" s="2" customFormat="1" ht="15" x14ac:dyDescent="0.25">
      <c r="F883" s="22" t="str">
        <f>IF(sample_log!$C883="", "", IF(sample_log!$C883="Chapin", "chapin_mon", IF(sample_log!$C883="Oatka", "oatka_mon", IF(sample_log!$C883="Seneca", "seneca_mon", "one"))))</f>
        <v/>
      </c>
    </row>
    <row r="884" spans="6:6" s="2" customFormat="1" ht="15" x14ac:dyDescent="0.25">
      <c r="F884" s="22" t="str">
        <f>IF(sample_log!$C884="", "", IF(sample_log!$C884="Chapin", "chapin_mon", IF(sample_log!$C884="Oatka", "oatka_mon", IF(sample_log!$C884="Seneca", "seneca_mon", "one"))))</f>
        <v/>
      </c>
    </row>
    <row r="885" spans="6:6" s="2" customFormat="1" ht="15" x14ac:dyDescent="0.25">
      <c r="F885" s="22" t="str">
        <f>IF(sample_log!$C885="", "", IF(sample_log!$C885="Chapin", "chapin_mon", IF(sample_log!$C885="Oatka", "oatka_mon", IF(sample_log!$C885="Seneca", "seneca_mon", "one"))))</f>
        <v/>
      </c>
    </row>
    <row r="886" spans="6:6" s="2" customFormat="1" ht="15" x14ac:dyDescent="0.25">
      <c r="F886" s="22" t="str">
        <f>IF(sample_log!$C886="", "", IF(sample_log!$C886="Chapin", "chapin_mon", IF(sample_log!$C886="Oatka", "oatka_mon", IF(sample_log!$C886="Seneca", "seneca_mon", "one"))))</f>
        <v/>
      </c>
    </row>
    <row r="887" spans="6:6" s="2" customFormat="1" ht="15" x14ac:dyDescent="0.25">
      <c r="F887" s="22" t="str">
        <f>IF(sample_log!$C887="", "", IF(sample_log!$C887="Chapin", "chapin_mon", IF(sample_log!$C887="Oatka", "oatka_mon", IF(sample_log!$C887="Seneca", "seneca_mon", "one"))))</f>
        <v/>
      </c>
    </row>
    <row r="888" spans="6:6" s="2" customFormat="1" ht="15" x14ac:dyDescent="0.25">
      <c r="F888" s="22" t="str">
        <f>IF(sample_log!$C888="", "", IF(sample_log!$C888="Chapin", "chapin_mon", IF(sample_log!$C888="Oatka", "oatka_mon", IF(sample_log!$C888="Seneca", "seneca_mon", "one"))))</f>
        <v/>
      </c>
    </row>
    <row r="889" spans="6:6" s="2" customFormat="1" ht="15" x14ac:dyDescent="0.25">
      <c r="F889" s="22" t="str">
        <f>IF(sample_log!$C889="", "", IF(sample_log!$C889="Chapin", "chapin_mon", IF(sample_log!$C889="Oatka", "oatka_mon", IF(sample_log!$C889="Seneca", "seneca_mon", "one"))))</f>
        <v/>
      </c>
    </row>
    <row r="890" spans="6:6" s="2" customFormat="1" ht="15" x14ac:dyDescent="0.25">
      <c r="F890" s="22" t="str">
        <f>IF(sample_log!$C890="", "", IF(sample_log!$C890="Chapin", "chapin_mon", IF(sample_log!$C890="Oatka", "oatka_mon", IF(sample_log!$C890="Seneca", "seneca_mon", "one"))))</f>
        <v/>
      </c>
    </row>
    <row r="891" spans="6:6" s="2" customFormat="1" ht="15" x14ac:dyDescent="0.25">
      <c r="F891" s="22" t="str">
        <f>IF(sample_log!$C891="", "", IF(sample_log!$C891="Chapin", "chapin_mon", IF(sample_log!$C891="Oatka", "oatka_mon", IF(sample_log!$C891="Seneca", "seneca_mon", "one"))))</f>
        <v/>
      </c>
    </row>
    <row r="892" spans="6:6" s="2" customFormat="1" ht="15" x14ac:dyDescent="0.25">
      <c r="F892" s="22" t="str">
        <f>IF(sample_log!$C892="", "", IF(sample_log!$C892="Chapin", "chapin_mon", IF(sample_log!$C892="Oatka", "oatka_mon", IF(sample_log!$C892="Seneca", "seneca_mon", "one"))))</f>
        <v/>
      </c>
    </row>
    <row r="893" spans="6:6" s="2" customFormat="1" ht="15" x14ac:dyDescent="0.25">
      <c r="F893" s="22" t="str">
        <f>IF(sample_log!$C893="", "", IF(sample_log!$C893="Chapin", "chapin_mon", IF(sample_log!$C893="Oatka", "oatka_mon", IF(sample_log!$C893="Seneca", "seneca_mon", "one"))))</f>
        <v/>
      </c>
    </row>
    <row r="894" spans="6:6" s="2" customFormat="1" ht="15" x14ac:dyDescent="0.25">
      <c r="F894" s="22" t="str">
        <f>IF(sample_log!$C894="", "", IF(sample_log!$C894="Chapin", "chapin_mon", IF(sample_log!$C894="Oatka", "oatka_mon", IF(sample_log!$C894="Seneca", "seneca_mon", "one"))))</f>
        <v/>
      </c>
    </row>
    <row r="895" spans="6:6" s="2" customFormat="1" ht="15" x14ac:dyDescent="0.25">
      <c r="F895" s="22" t="str">
        <f>IF(sample_log!$C895="", "", IF(sample_log!$C895="Chapin", "chapin_mon", IF(sample_log!$C895="Oatka", "oatka_mon", IF(sample_log!$C895="Seneca", "seneca_mon", "one"))))</f>
        <v/>
      </c>
    </row>
    <row r="896" spans="6:6" s="2" customFormat="1" ht="15" x14ac:dyDescent="0.25">
      <c r="F896" s="22" t="str">
        <f>IF(sample_log!$C896="", "", IF(sample_log!$C896="Chapin", "chapin_mon", IF(sample_log!$C896="Oatka", "oatka_mon", IF(sample_log!$C896="Seneca", "seneca_mon", "one"))))</f>
        <v/>
      </c>
    </row>
    <row r="897" spans="6:6" s="2" customFormat="1" ht="15" x14ac:dyDescent="0.25">
      <c r="F897" s="22" t="str">
        <f>IF(sample_log!$C897="", "", IF(sample_log!$C897="Chapin", "chapin_mon", IF(sample_log!$C897="Oatka", "oatka_mon", IF(sample_log!$C897="Seneca", "seneca_mon", "one"))))</f>
        <v/>
      </c>
    </row>
    <row r="898" spans="6:6" s="2" customFormat="1" ht="15" x14ac:dyDescent="0.25">
      <c r="F898" s="22" t="str">
        <f>IF(sample_log!$C898="", "", IF(sample_log!$C898="Chapin", "chapin_mon", IF(sample_log!$C898="Oatka", "oatka_mon", IF(sample_log!$C898="Seneca", "seneca_mon", "one"))))</f>
        <v/>
      </c>
    </row>
    <row r="899" spans="6:6" s="2" customFormat="1" ht="15" x14ac:dyDescent="0.25">
      <c r="F899" s="22" t="str">
        <f>IF(sample_log!$C899="", "", IF(sample_log!$C899="Chapin", "chapin_mon", IF(sample_log!$C899="Oatka", "oatka_mon", IF(sample_log!$C899="Seneca", "seneca_mon", "one"))))</f>
        <v/>
      </c>
    </row>
    <row r="900" spans="6:6" s="2" customFormat="1" ht="15" x14ac:dyDescent="0.25">
      <c r="F900" s="22" t="str">
        <f>IF(sample_log!$C900="", "", IF(sample_log!$C900="Chapin", "chapin_mon", IF(sample_log!$C900="Oatka", "oatka_mon", IF(sample_log!$C900="Seneca", "seneca_mon", "one"))))</f>
        <v/>
      </c>
    </row>
    <row r="901" spans="6:6" s="2" customFormat="1" ht="15" x14ac:dyDescent="0.25">
      <c r="F901" s="22" t="str">
        <f>IF(sample_log!$C901="", "", IF(sample_log!$C901="Chapin", "chapin_mon", IF(sample_log!$C901="Oatka", "oatka_mon", IF(sample_log!$C901="Seneca", "seneca_mon", "one"))))</f>
        <v/>
      </c>
    </row>
    <row r="902" spans="6:6" s="2" customFormat="1" ht="15" x14ac:dyDescent="0.25">
      <c r="F902" s="22" t="str">
        <f>IF(sample_log!$C902="", "", IF(sample_log!$C902="Chapin", "chapin_mon", IF(sample_log!$C902="Oatka", "oatka_mon", IF(sample_log!$C902="Seneca", "seneca_mon", "one"))))</f>
        <v/>
      </c>
    </row>
    <row r="903" spans="6:6" s="2" customFormat="1" ht="15" x14ac:dyDescent="0.25">
      <c r="F903" s="22" t="str">
        <f>IF(sample_log!$C903="", "", IF(sample_log!$C903="Chapin", "chapin_mon", IF(sample_log!$C903="Oatka", "oatka_mon", IF(sample_log!$C903="Seneca", "seneca_mon", "one"))))</f>
        <v/>
      </c>
    </row>
    <row r="904" spans="6:6" s="2" customFormat="1" ht="15" x14ac:dyDescent="0.25">
      <c r="F904" s="22" t="str">
        <f>IF(sample_log!$C904="", "", IF(sample_log!$C904="Chapin", "chapin_mon", IF(sample_log!$C904="Oatka", "oatka_mon", IF(sample_log!$C904="Seneca", "seneca_mon", "one"))))</f>
        <v/>
      </c>
    </row>
    <row r="905" spans="6:6" s="2" customFormat="1" ht="15" x14ac:dyDescent="0.25">
      <c r="F905" s="22" t="str">
        <f>IF(sample_log!$C905="", "", IF(sample_log!$C905="Chapin", "chapin_mon", IF(sample_log!$C905="Oatka", "oatka_mon", IF(sample_log!$C905="Seneca", "seneca_mon", "one"))))</f>
        <v/>
      </c>
    </row>
    <row r="906" spans="6:6" s="2" customFormat="1" ht="15" x14ac:dyDescent="0.25">
      <c r="F906" s="22" t="str">
        <f>IF(sample_log!$C906="", "", IF(sample_log!$C906="Chapin", "chapin_mon", IF(sample_log!$C906="Oatka", "oatka_mon", IF(sample_log!$C906="Seneca", "seneca_mon", "one"))))</f>
        <v/>
      </c>
    </row>
    <row r="907" spans="6:6" s="2" customFormat="1" ht="15" x14ac:dyDescent="0.25">
      <c r="F907" s="22" t="str">
        <f>IF(sample_log!$C907="", "", IF(sample_log!$C907="Chapin", "chapin_mon", IF(sample_log!$C907="Oatka", "oatka_mon", IF(sample_log!$C907="Seneca", "seneca_mon", "one"))))</f>
        <v/>
      </c>
    </row>
    <row r="908" spans="6:6" s="2" customFormat="1" ht="15" x14ac:dyDescent="0.25">
      <c r="F908" s="22" t="str">
        <f>IF(sample_log!$C908="", "", IF(sample_log!$C908="Chapin", "chapin_mon", IF(sample_log!$C908="Oatka", "oatka_mon", IF(sample_log!$C908="Seneca", "seneca_mon", "one"))))</f>
        <v/>
      </c>
    </row>
    <row r="909" spans="6:6" s="2" customFormat="1" ht="15" x14ac:dyDescent="0.25">
      <c r="F909" s="22" t="str">
        <f>IF(sample_log!$C909="", "", IF(sample_log!$C909="Chapin", "chapin_mon", IF(sample_log!$C909="Oatka", "oatka_mon", IF(sample_log!$C909="Seneca", "seneca_mon", "one"))))</f>
        <v/>
      </c>
    </row>
    <row r="910" spans="6:6" s="2" customFormat="1" ht="15" x14ac:dyDescent="0.25">
      <c r="F910" s="22" t="str">
        <f>IF(sample_log!$C910="", "", IF(sample_log!$C910="Chapin", "chapin_mon", IF(sample_log!$C910="Oatka", "oatka_mon", IF(sample_log!$C910="Seneca", "seneca_mon", "one"))))</f>
        <v/>
      </c>
    </row>
    <row r="911" spans="6:6" s="2" customFormat="1" ht="15" x14ac:dyDescent="0.25">
      <c r="F911" s="22" t="str">
        <f>IF(sample_log!$C911="", "", IF(sample_log!$C911="Chapin", "chapin_mon", IF(sample_log!$C911="Oatka", "oatka_mon", IF(sample_log!$C911="Seneca", "seneca_mon", "one"))))</f>
        <v/>
      </c>
    </row>
    <row r="912" spans="6:6" s="2" customFormat="1" ht="15" x14ac:dyDescent="0.25">
      <c r="F912" s="22" t="str">
        <f>IF(sample_log!$C912="", "", IF(sample_log!$C912="Chapin", "chapin_mon", IF(sample_log!$C912="Oatka", "oatka_mon", IF(sample_log!$C912="Seneca", "seneca_mon", "one"))))</f>
        <v/>
      </c>
    </row>
    <row r="913" spans="6:6" s="2" customFormat="1" ht="15" x14ac:dyDescent="0.25">
      <c r="F913" s="22" t="str">
        <f>IF(sample_log!$C913="", "", IF(sample_log!$C913="Chapin", "chapin_mon", IF(sample_log!$C913="Oatka", "oatka_mon", IF(sample_log!$C913="Seneca", "seneca_mon", "one"))))</f>
        <v/>
      </c>
    </row>
    <row r="914" spans="6:6" s="2" customFormat="1" ht="15" x14ac:dyDescent="0.25">
      <c r="F914" s="22" t="str">
        <f>IF(sample_log!$C914="", "", IF(sample_log!$C914="Chapin", "chapin_mon", IF(sample_log!$C914="Oatka", "oatka_mon", IF(sample_log!$C914="Seneca", "seneca_mon", "one"))))</f>
        <v/>
      </c>
    </row>
    <row r="915" spans="6:6" s="2" customFormat="1" ht="15" x14ac:dyDescent="0.25">
      <c r="F915" s="22" t="str">
        <f>IF(sample_log!$C915="", "", IF(sample_log!$C915="Chapin", "chapin_mon", IF(sample_log!$C915="Oatka", "oatka_mon", IF(sample_log!$C915="Seneca", "seneca_mon", "one"))))</f>
        <v/>
      </c>
    </row>
    <row r="916" spans="6:6" s="2" customFormat="1" ht="15" x14ac:dyDescent="0.25">
      <c r="F916" s="22" t="str">
        <f>IF(sample_log!$C916="", "", IF(sample_log!$C916="Chapin", "chapin_mon", IF(sample_log!$C916="Oatka", "oatka_mon", IF(sample_log!$C916="Seneca", "seneca_mon", "one"))))</f>
        <v/>
      </c>
    </row>
    <row r="917" spans="6:6" s="2" customFormat="1" ht="15" x14ac:dyDescent="0.25">
      <c r="F917" s="22" t="str">
        <f>IF(sample_log!$C917="", "", IF(sample_log!$C917="Chapin", "chapin_mon", IF(sample_log!$C917="Oatka", "oatka_mon", IF(sample_log!$C917="Seneca", "seneca_mon", "one"))))</f>
        <v/>
      </c>
    </row>
    <row r="918" spans="6:6" s="2" customFormat="1" ht="15" x14ac:dyDescent="0.25">
      <c r="F918" s="22" t="str">
        <f>IF(sample_log!$C918="", "", IF(sample_log!$C918="Chapin", "chapin_mon", IF(sample_log!$C918="Oatka", "oatka_mon", IF(sample_log!$C918="Seneca", "seneca_mon", "one"))))</f>
        <v/>
      </c>
    </row>
    <row r="919" spans="6:6" s="2" customFormat="1" ht="15" x14ac:dyDescent="0.25">
      <c r="F919" s="22" t="str">
        <f>IF(sample_log!$C919="", "", IF(sample_log!$C919="Chapin", "chapin_mon", IF(sample_log!$C919="Oatka", "oatka_mon", IF(sample_log!$C919="Seneca", "seneca_mon", "one"))))</f>
        <v/>
      </c>
    </row>
    <row r="920" spans="6:6" s="2" customFormat="1" ht="15" x14ac:dyDescent="0.25">
      <c r="F920" s="22" t="str">
        <f>IF(sample_log!$C920="", "", IF(sample_log!$C920="Chapin", "chapin_mon", IF(sample_log!$C920="Oatka", "oatka_mon", IF(sample_log!$C920="Seneca", "seneca_mon", "one"))))</f>
        <v/>
      </c>
    </row>
    <row r="921" spans="6:6" s="2" customFormat="1" ht="15" x14ac:dyDescent="0.25">
      <c r="F921" s="22" t="str">
        <f>IF(sample_log!$C921="", "", IF(sample_log!$C921="Chapin", "chapin_mon", IF(sample_log!$C921="Oatka", "oatka_mon", IF(sample_log!$C921="Seneca", "seneca_mon", "one"))))</f>
        <v/>
      </c>
    </row>
    <row r="922" spans="6:6" s="2" customFormat="1" ht="15" x14ac:dyDescent="0.25">
      <c r="F922" s="22" t="str">
        <f>IF(sample_log!$C922="", "", IF(sample_log!$C922="Chapin", "chapin_mon", IF(sample_log!$C922="Oatka", "oatka_mon", IF(sample_log!$C922="Seneca", "seneca_mon", "one"))))</f>
        <v/>
      </c>
    </row>
    <row r="923" spans="6:6" s="2" customFormat="1" ht="15" x14ac:dyDescent="0.25">
      <c r="F923" s="22" t="str">
        <f>IF(sample_log!$C923="", "", IF(sample_log!$C923="Chapin", "chapin_mon", IF(sample_log!$C923="Oatka", "oatka_mon", IF(sample_log!$C923="Seneca", "seneca_mon", "one"))))</f>
        <v/>
      </c>
    </row>
    <row r="924" spans="6:6" s="2" customFormat="1" ht="15" x14ac:dyDescent="0.25">
      <c r="F924" s="22" t="str">
        <f>IF(sample_log!$C924="", "", IF(sample_log!$C924="Chapin", "chapin_mon", IF(sample_log!$C924="Oatka", "oatka_mon", IF(sample_log!$C924="Seneca", "seneca_mon", "one"))))</f>
        <v/>
      </c>
    </row>
    <row r="925" spans="6:6" s="2" customFormat="1" ht="15" x14ac:dyDescent="0.25">
      <c r="F925" s="22" t="str">
        <f>IF(sample_log!$C925="", "", IF(sample_log!$C925="Chapin", "chapin_mon", IF(sample_log!$C925="Oatka", "oatka_mon", IF(sample_log!$C925="Seneca", "seneca_mon", "one"))))</f>
        <v/>
      </c>
    </row>
    <row r="926" spans="6:6" s="2" customFormat="1" ht="15" x14ac:dyDescent="0.25">
      <c r="F926" s="22" t="str">
        <f>IF(sample_log!$C926="", "", IF(sample_log!$C926="Chapin", "chapin_mon", IF(sample_log!$C926="Oatka", "oatka_mon", IF(sample_log!$C926="Seneca", "seneca_mon", "one"))))</f>
        <v/>
      </c>
    </row>
    <row r="927" spans="6:6" s="2" customFormat="1" ht="15" x14ac:dyDescent="0.25">
      <c r="F927" s="22" t="str">
        <f>IF(sample_log!$C927="", "", IF(sample_log!$C927="Chapin", "chapin_mon", IF(sample_log!$C927="Oatka", "oatka_mon", IF(sample_log!$C927="Seneca", "seneca_mon", "one"))))</f>
        <v/>
      </c>
    </row>
    <row r="928" spans="6:6" s="2" customFormat="1" ht="15" x14ac:dyDescent="0.25">
      <c r="F928" s="22" t="str">
        <f>IF(sample_log!$C928="", "", IF(sample_log!$C928="Chapin", "chapin_mon", IF(sample_log!$C928="Oatka", "oatka_mon", IF(sample_log!$C928="Seneca", "seneca_mon", "one"))))</f>
        <v/>
      </c>
    </row>
    <row r="929" spans="6:6" s="2" customFormat="1" ht="15" x14ac:dyDescent="0.25">
      <c r="F929" s="22" t="str">
        <f>IF(sample_log!$C929="", "", IF(sample_log!$C929="Chapin", "chapin_mon", IF(sample_log!$C929="Oatka", "oatka_mon", IF(sample_log!$C929="Seneca", "seneca_mon", "one"))))</f>
        <v/>
      </c>
    </row>
    <row r="930" spans="6:6" s="2" customFormat="1" ht="15" x14ac:dyDescent="0.25">
      <c r="F930" s="22" t="str">
        <f>IF(sample_log!$C930="", "", IF(sample_log!$C930="Chapin", "chapin_mon", IF(sample_log!$C930="Oatka", "oatka_mon", IF(sample_log!$C930="Seneca", "seneca_mon", "one"))))</f>
        <v/>
      </c>
    </row>
    <row r="931" spans="6:6" s="2" customFormat="1" ht="15" x14ac:dyDescent="0.25">
      <c r="F931" s="22" t="str">
        <f>IF(sample_log!$C931="", "", IF(sample_log!$C931="Chapin", "chapin_mon", IF(sample_log!$C931="Oatka", "oatka_mon", IF(sample_log!$C931="Seneca", "seneca_mon", "one"))))</f>
        <v/>
      </c>
    </row>
    <row r="932" spans="6:6" s="2" customFormat="1" ht="15" x14ac:dyDescent="0.25">
      <c r="F932" s="22" t="str">
        <f>IF(sample_log!$C932="", "", IF(sample_log!$C932="Chapin", "chapin_mon", IF(sample_log!$C932="Oatka", "oatka_mon", IF(sample_log!$C932="Seneca", "seneca_mon", "one"))))</f>
        <v/>
      </c>
    </row>
    <row r="933" spans="6:6" s="2" customFormat="1" ht="15" x14ac:dyDescent="0.25">
      <c r="F933" s="22" t="str">
        <f>IF(sample_log!$C933="", "", IF(sample_log!$C933="Chapin", "chapin_mon", IF(sample_log!$C933="Oatka", "oatka_mon", IF(sample_log!$C933="Seneca", "seneca_mon", "one"))))</f>
        <v/>
      </c>
    </row>
    <row r="934" spans="6:6" s="2" customFormat="1" ht="15" x14ac:dyDescent="0.25">
      <c r="F934" s="22" t="str">
        <f>IF(sample_log!$C934="", "", IF(sample_log!$C934="Chapin", "chapin_mon", IF(sample_log!$C934="Oatka", "oatka_mon", IF(sample_log!$C934="Seneca", "seneca_mon", "one"))))</f>
        <v/>
      </c>
    </row>
    <row r="935" spans="6:6" s="2" customFormat="1" ht="15" x14ac:dyDescent="0.25">
      <c r="F935" s="22" t="str">
        <f>IF(sample_log!$C935="", "", IF(sample_log!$C935="Chapin", "chapin_mon", IF(sample_log!$C935="Oatka", "oatka_mon", IF(sample_log!$C935="Seneca", "seneca_mon", "one"))))</f>
        <v/>
      </c>
    </row>
    <row r="936" spans="6:6" s="2" customFormat="1" ht="15" x14ac:dyDescent="0.25">
      <c r="F936" s="22" t="str">
        <f>IF(sample_log!$C936="", "", IF(sample_log!$C936="Chapin", "chapin_mon", IF(sample_log!$C936="Oatka", "oatka_mon", IF(sample_log!$C936="Seneca", "seneca_mon", "one"))))</f>
        <v/>
      </c>
    </row>
    <row r="937" spans="6:6" s="2" customFormat="1" ht="15" x14ac:dyDescent="0.25">
      <c r="F937" s="22" t="str">
        <f>IF(sample_log!$C937="", "", IF(sample_log!$C937="Chapin", "chapin_mon", IF(sample_log!$C937="Oatka", "oatka_mon", IF(sample_log!$C937="Seneca", "seneca_mon", "one"))))</f>
        <v/>
      </c>
    </row>
    <row r="938" spans="6:6" s="2" customFormat="1" ht="15" x14ac:dyDescent="0.25">
      <c r="F938" s="22" t="str">
        <f>IF(sample_log!$C938="", "", IF(sample_log!$C938="Chapin", "chapin_mon", IF(sample_log!$C938="Oatka", "oatka_mon", IF(sample_log!$C938="Seneca", "seneca_mon", "one"))))</f>
        <v/>
      </c>
    </row>
    <row r="939" spans="6:6" s="2" customFormat="1" ht="15" x14ac:dyDescent="0.25">
      <c r="F939" s="22" t="str">
        <f>IF(sample_log!$C939="", "", IF(sample_log!$C939="Chapin", "chapin_mon", IF(sample_log!$C939="Oatka", "oatka_mon", IF(sample_log!$C939="Seneca", "seneca_mon", "one"))))</f>
        <v/>
      </c>
    </row>
    <row r="940" spans="6:6" s="2" customFormat="1" ht="15" x14ac:dyDescent="0.25">
      <c r="F940" s="22" t="str">
        <f>IF(sample_log!$C940="", "", IF(sample_log!$C940="Chapin", "chapin_mon", IF(sample_log!$C940="Oatka", "oatka_mon", IF(sample_log!$C940="Seneca", "seneca_mon", "one"))))</f>
        <v/>
      </c>
    </row>
    <row r="941" spans="6:6" s="2" customFormat="1" ht="15" x14ac:dyDescent="0.25">
      <c r="F941" s="22" t="str">
        <f>IF(sample_log!$C941="", "", IF(sample_log!$C941="Chapin", "chapin_mon", IF(sample_log!$C941="Oatka", "oatka_mon", IF(sample_log!$C941="Seneca", "seneca_mon", "one"))))</f>
        <v/>
      </c>
    </row>
    <row r="942" spans="6:6" s="2" customFormat="1" ht="15" x14ac:dyDescent="0.25">
      <c r="F942" s="22" t="str">
        <f>IF(sample_log!$C942="", "", IF(sample_log!$C942="Chapin", "chapin_mon", IF(sample_log!$C942="Oatka", "oatka_mon", IF(sample_log!$C942="Seneca", "seneca_mon", "one"))))</f>
        <v/>
      </c>
    </row>
    <row r="943" spans="6:6" s="2" customFormat="1" ht="15" x14ac:dyDescent="0.25">
      <c r="F943" s="22" t="str">
        <f>IF(sample_log!$C943="", "", IF(sample_log!$C943="Chapin", "chapin_mon", IF(sample_log!$C943="Oatka", "oatka_mon", IF(sample_log!$C943="Seneca", "seneca_mon", "one"))))</f>
        <v/>
      </c>
    </row>
    <row r="944" spans="6:6" s="2" customFormat="1" ht="15" x14ac:dyDescent="0.25">
      <c r="F944" s="22" t="str">
        <f>IF(sample_log!$C944="", "", IF(sample_log!$C944="Chapin", "chapin_mon", IF(sample_log!$C944="Oatka", "oatka_mon", IF(sample_log!$C944="Seneca", "seneca_mon", "one"))))</f>
        <v/>
      </c>
    </row>
    <row r="945" spans="6:6" s="2" customFormat="1" ht="15" x14ac:dyDescent="0.25">
      <c r="F945" s="22" t="str">
        <f>IF(sample_log!$C945="", "", IF(sample_log!$C945="Chapin", "chapin_mon", IF(sample_log!$C945="Oatka", "oatka_mon", IF(sample_log!$C945="Seneca", "seneca_mon", "one"))))</f>
        <v/>
      </c>
    </row>
    <row r="946" spans="6:6" s="2" customFormat="1" ht="15" x14ac:dyDescent="0.25">
      <c r="F946" s="22" t="str">
        <f>IF(sample_log!$C946="", "", IF(sample_log!$C946="Chapin", "chapin_mon", IF(sample_log!$C946="Oatka", "oatka_mon", IF(sample_log!$C946="Seneca", "seneca_mon", "one"))))</f>
        <v/>
      </c>
    </row>
    <row r="947" spans="6:6" s="2" customFormat="1" ht="15" x14ac:dyDescent="0.25">
      <c r="F947" s="22" t="str">
        <f>IF(sample_log!$C947="", "", IF(sample_log!$C947="Chapin", "chapin_mon", IF(sample_log!$C947="Oatka", "oatka_mon", IF(sample_log!$C947="Seneca", "seneca_mon", "one"))))</f>
        <v/>
      </c>
    </row>
    <row r="948" spans="6:6" s="2" customFormat="1" ht="15" x14ac:dyDescent="0.25">
      <c r="F948" s="22" t="str">
        <f>IF(sample_log!$C948="", "", IF(sample_log!$C948="Chapin", "chapin_mon", IF(sample_log!$C948="Oatka", "oatka_mon", IF(sample_log!$C948="Seneca", "seneca_mon", "one"))))</f>
        <v/>
      </c>
    </row>
    <row r="949" spans="6:6" s="2" customFormat="1" ht="15" x14ac:dyDescent="0.25">
      <c r="F949" s="22" t="str">
        <f>IF(sample_log!$C949="", "", IF(sample_log!$C949="Chapin", "chapin_mon", IF(sample_log!$C949="Oatka", "oatka_mon", IF(sample_log!$C949="Seneca", "seneca_mon", "one"))))</f>
        <v/>
      </c>
    </row>
    <row r="950" spans="6:6" s="2" customFormat="1" ht="15" x14ac:dyDescent="0.25">
      <c r="F950" s="22" t="str">
        <f>IF(sample_log!$C950="", "", IF(sample_log!$C950="Chapin", "chapin_mon", IF(sample_log!$C950="Oatka", "oatka_mon", IF(sample_log!$C950="Seneca", "seneca_mon", "one"))))</f>
        <v/>
      </c>
    </row>
    <row r="951" spans="6:6" s="2" customFormat="1" ht="15" x14ac:dyDescent="0.25">
      <c r="F951" s="22" t="str">
        <f>IF(sample_log!$C951="", "", IF(sample_log!$C951="Chapin", "chapin_mon", IF(sample_log!$C951="Oatka", "oatka_mon", IF(sample_log!$C951="Seneca", "seneca_mon", "one"))))</f>
        <v/>
      </c>
    </row>
    <row r="952" spans="6:6" s="2" customFormat="1" ht="15" x14ac:dyDescent="0.25">
      <c r="F952" s="22" t="str">
        <f>IF(sample_log!$C952="", "", IF(sample_log!$C952="Chapin", "chapin_mon", IF(sample_log!$C952="Oatka", "oatka_mon", IF(sample_log!$C952="Seneca", "seneca_mon", "one"))))</f>
        <v/>
      </c>
    </row>
    <row r="953" spans="6:6" s="2" customFormat="1" ht="15" x14ac:dyDescent="0.25">
      <c r="F953" s="22" t="str">
        <f>IF(sample_log!$C953="", "", IF(sample_log!$C953="Chapin", "chapin_mon", IF(sample_log!$C953="Oatka", "oatka_mon", IF(sample_log!$C953="Seneca", "seneca_mon", "one"))))</f>
        <v/>
      </c>
    </row>
    <row r="954" spans="6:6" s="2" customFormat="1" ht="15" x14ac:dyDescent="0.25">
      <c r="F954" s="22" t="str">
        <f>IF(sample_log!$C954="", "", IF(sample_log!$C954="Chapin", "chapin_mon", IF(sample_log!$C954="Oatka", "oatka_mon", IF(sample_log!$C954="Seneca", "seneca_mon", "one"))))</f>
        <v/>
      </c>
    </row>
    <row r="955" spans="6:6" s="2" customFormat="1" ht="15" x14ac:dyDescent="0.25">
      <c r="F955" s="22" t="str">
        <f>IF(sample_log!$C955="", "", IF(sample_log!$C955="Chapin", "chapin_mon", IF(sample_log!$C955="Oatka", "oatka_mon", IF(sample_log!$C955="Seneca", "seneca_mon", "one"))))</f>
        <v/>
      </c>
    </row>
    <row r="956" spans="6:6" s="2" customFormat="1" ht="15" x14ac:dyDescent="0.25">
      <c r="F956" s="22" t="str">
        <f>IF(sample_log!$C956="", "", IF(sample_log!$C956="Chapin", "chapin_mon", IF(sample_log!$C956="Oatka", "oatka_mon", IF(sample_log!$C956="Seneca", "seneca_mon", "one"))))</f>
        <v/>
      </c>
    </row>
    <row r="957" spans="6:6" s="2" customFormat="1" ht="15" x14ac:dyDescent="0.25">
      <c r="F957" s="22" t="str">
        <f>IF(sample_log!$C957="", "", IF(sample_log!$C957="Chapin", "chapin_mon", IF(sample_log!$C957="Oatka", "oatka_mon", IF(sample_log!$C957="Seneca", "seneca_mon", "one"))))</f>
        <v/>
      </c>
    </row>
    <row r="958" spans="6:6" s="2" customFormat="1" ht="15" x14ac:dyDescent="0.25">
      <c r="F958" s="22" t="str">
        <f>IF(sample_log!$C958="", "", IF(sample_log!$C958="Chapin", "chapin_mon", IF(sample_log!$C958="Oatka", "oatka_mon", IF(sample_log!$C958="Seneca", "seneca_mon", "one"))))</f>
        <v/>
      </c>
    </row>
    <row r="959" spans="6:6" s="2" customFormat="1" ht="15" x14ac:dyDescent="0.25">
      <c r="F959" s="22" t="str">
        <f>IF(sample_log!$C959="", "", IF(sample_log!$C959="Chapin", "chapin_mon", IF(sample_log!$C959="Oatka", "oatka_mon", IF(sample_log!$C959="Seneca", "seneca_mon", "one"))))</f>
        <v/>
      </c>
    </row>
    <row r="960" spans="6:6" s="2" customFormat="1" ht="15" x14ac:dyDescent="0.25">
      <c r="F960" s="22" t="str">
        <f>IF(sample_log!$C960="", "", IF(sample_log!$C960="Chapin", "chapin_mon", IF(sample_log!$C960="Oatka", "oatka_mon", IF(sample_log!$C960="Seneca", "seneca_mon", "one"))))</f>
        <v/>
      </c>
    </row>
    <row r="961" spans="6:6" s="2" customFormat="1" ht="15" x14ac:dyDescent="0.25">
      <c r="F961" s="22" t="str">
        <f>IF(sample_log!$C961="", "", IF(sample_log!$C961="Chapin", "chapin_mon", IF(sample_log!$C961="Oatka", "oatka_mon", IF(sample_log!$C961="Seneca", "seneca_mon", "one"))))</f>
        <v/>
      </c>
    </row>
    <row r="962" spans="6:6" s="2" customFormat="1" ht="15" x14ac:dyDescent="0.25">
      <c r="F962" s="22" t="str">
        <f>IF(sample_log!$C962="", "", IF(sample_log!$C962="Chapin", "chapin_mon", IF(sample_log!$C962="Oatka", "oatka_mon", IF(sample_log!$C962="Seneca", "seneca_mon", "one"))))</f>
        <v/>
      </c>
    </row>
    <row r="963" spans="6:6" s="2" customFormat="1" ht="15" x14ac:dyDescent="0.25">
      <c r="F963" s="22" t="str">
        <f>IF(sample_log!$C963="", "", IF(sample_log!$C963="Chapin", "chapin_mon", IF(sample_log!$C963="Oatka", "oatka_mon", IF(sample_log!$C963="Seneca", "seneca_mon", "one"))))</f>
        <v/>
      </c>
    </row>
    <row r="964" spans="6:6" s="2" customFormat="1" ht="15" x14ac:dyDescent="0.25">
      <c r="F964" s="22" t="str">
        <f>IF(sample_log!$C964="", "", IF(sample_log!$C964="Chapin", "chapin_mon", IF(sample_log!$C964="Oatka", "oatka_mon", IF(sample_log!$C964="Seneca", "seneca_mon", "one"))))</f>
        <v/>
      </c>
    </row>
    <row r="965" spans="6:6" s="2" customFormat="1" ht="15" x14ac:dyDescent="0.25">
      <c r="F965" s="22" t="str">
        <f>IF(sample_log!$C965="", "", IF(sample_log!$C965="Chapin", "chapin_mon", IF(sample_log!$C965="Oatka", "oatka_mon", IF(sample_log!$C965="Seneca", "seneca_mon", "one"))))</f>
        <v/>
      </c>
    </row>
    <row r="966" spans="6:6" s="2" customFormat="1" ht="15" x14ac:dyDescent="0.25">
      <c r="F966" s="22" t="str">
        <f>IF(sample_log!$C966="", "", IF(sample_log!$C966="Chapin", "chapin_mon", IF(sample_log!$C966="Oatka", "oatka_mon", IF(sample_log!$C966="Seneca", "seneca_mon", "one"))))</f>
        <v/>
      </c>
    </row>
    <row r="967" spans="6:6" s="2" customFormat="1" ht="15" x14ac:dyDescent="0.25">
      <c r="F967" s="22" t="str">
        <f>IF(sample_log!$C967="", "", IF(sample_log!$C967="Chapin", "chapin_mon", IF(sample_log!$C967="Oatka", "oatka_mon", IF(sample_log!$C967="Seneca", "seneca_mon", "one"))))</f>
        <v/>
      </c>
    </row>
    <row r="968" spans="6:6" s="2" customFormat="1" ht="15" x14ac:dyDescent="0.25">
      <c r="F968" s="22" t="str">
        <f>IF(sample_log!$C968="", "", IF(sample_log!$C968="Chapin", "chapin_mon", IF(sample_log!$C968="Oatka", "oatka_mon", IF(sample_log!$C968="Seneca", "seneca_mon", "one"))))</f>
        <v/>
      </c>
    </row>
    <row r="969" spans="6:6" s="2" customFormat="1" ht="15" x14ac:dyDescent="0.25">
      <c r="F969" s="22" t="str">
        <f>IF(sample_log!$C969="", "", IF(sample_log!$C969="Chapin", "chapin_mon", IF(sample_log!$C969="Oatka", "oatka_mon", IF(sample_log!$C969="Seneca", "seneca_mon", "one"))))</f>
        <v/>
      </c>
    </row>
    <row r="970" spans="6:6" s="2" customFormat="1" ht="15" x14ac:dyDescent="0.25">
      <c r="F970" s="22" t="str">
        <f>IF(sample_log!$C970="", "", IF(sample_log!$C970="Chapin", "chapin_mon", IF(sample_log!$C970="Oatka", "oatka_mon", IF(sample_log!$C970="Seneca", "seneca_mon", "one"))))</f>
        <v/>
      </c>
    </row>
    <row r="971" spans="6:6" s="2" customFormat="1" ht="15" x14ac:dyDescent="0.25">
      <c r="F971" s="22" t="str">
        <f>IF(sample_log!$C971="", "", IF(sample_log!$C971="Chapin", "chapin_mon", IF(sample_log!$C971="Oatka", "oatka_mon", IF(sample_log!$C971="Seneca", "seneca_mon", "one"))))</f>
        <v/>
      </c>
    </row>
    <row r="972" spans="6:6" s="2" customFormat="1" ht="15" x14ac:dyDescent="0.25">
      <c r="F972" s="22" t="str">
        <f>IF(sample_log!$C972="", "", IF(sample_log!$C972="Chapin", "chapin_mon", IF(sample_log!$C972="Oatka", "oatka_mon", IF(sample_log!$C972="Seneca", "seneca_mon", "one"))))</f>
        <v/>
      </c>
    </row>
    <row r="973" spans="6:6" s="2" customFormat="1" ht="15" x14ac:dyDescent="0.25">
      <c r="F973" s="22" t="str">
        <f>IF(sample_log!$C973="", "", IF(sample_log!$C973="Chapin", "chapin_mon", IF(sample_log!$C973="Oatka", "oatka_mon", IF(sample_log!$C973="Seneca", "seneca_mon", "one"))))</f>
        <v/>
      </c>
    </row>
    <row r="974" spans="6:6" s="2" customFormat="1" ht="15" x14ac:dyDescent="0.25">
      <c r="F974" s="22" t="str">
        <f>IF(sample_log!$C974="", "", IF(sample_log!$C974="Chapin", "chapin_mon", IF(sample_log!$C974="Oatka", "oatka_mon", IF(sample_log!$C974="Seneca", "seneca_mon", "one"))))</f>
        <v/>
      </c>
    </row>
    <row r="975" spans="6:6" s="2" customFormat="1" ht="15" x14ac:dyDescent="0.25">
      <c r="F975" s="22" t="str">
        <f>IF(sample_log!$C975="", "", IF(sample_log!$C975="Chapin", "chapin_mon", IF(sample_log!$C975="Oatka", "oatka_mon", IF(sample_log!$C975="Seneca", "seneca_mon", "one"))))</f>
        <v/>
      </c>
    </row>
    <row r="976" spans="6:6" s="2" customFormat="1" ht="15" x14ac:dyDescent="0.25">
      <c r="F976" s="22" t="str">
        <f>IF(sample_log!$C976="", "", IF(sample_log!$C976="Chapin", "chapin_mon", IF(sample_log!$C976="Oatka", "oatka_mon", IF(sample_log!$C976="Seneca", "seneca_mon", "one"))))</f>
        <v/>
      </c>
    </row>
    <row r="977" spans="6:6" s="2" customFormat="1" ht="15" x14ac:dyDescent="0.25">
      <c r="F977" s="22" t="str">
        <f>IF(sample_log!$C977="", "", IF(sample_log!$C977="Chapin", "chapin_mon", IF(sample_log!$C977="Oatka", "oatka_mon", IF(sample_log!$C977="Seneca", "seneca_mon", "one"))))</f>
        <v/>
      </c>
    </row>
    <row r="978" spans="6:6" s="2" customFormat="1" ht="15" x14ac:dyDescent="0.25">
      <c r="F978" s="22" t="str">
        <f>IF(sample_log!$C978="", "", IF(sample_log!$C978="Chapin", "chapin_mon", IF(sample_log!$C978="Oatka", "oatka_mon", IF(sample_log!$C978="Seneca", "seneca_mon", "one"))))</f>
        <v/>
      </c>
    </row>
    <row r="979" spans="6:6" s="2" customFormat="1" ht="15" x14ac:dyDescent="0.25">
      <c r="F979" s="22" t="str">
        <f>IF(sample_log!$C979="", "", IF(sample_log!$C979="Chapin", "chapin_mon", IF(sample_log!$C979="Oatka", "oatka_mon", IF(sample_log!$C979="Seneca", "seneca_mon", "one"))))</f>
        <v/>
      </c>
    </row>
    <row r="980" spans="6:6" s="2" customFormat="1" ht="15" x14ac:dyDescent="0.25">
      <c r="F980" s="22" t="str">
        <f>IF(sample_log!$C980="", "", IF(sample_log!$C980="Chapin", "chapin_mon", IF(sample_log!$C980="Oatka", "oatka_mon", IF(sample_log!$C980="Seneca", "seneca_mon", "one"))))</f>
        <v/>
      </c>
    </row>
    <row r="981" spans="6:6" s="2" customFormat="1" ht="15" x14ac:dyDescent="0.25">
      <c r="F981" s="22" t="str">
        <f>IF(sample_log!$C981="", "", IF(sample_log!$C981="Chapin", "chapin_mon", IF(sample_log!$C981="Oatka", "oatka_mon", IF(sample_log!$C981="Seneca", "seneca_mon", "one"))))</f>
        <v/>
      </c>
    </row>
    <row r="982" spans="6:6" s="2" customFormat="1" ht="15" x14ac:dyDescent="0.25">
      <c r="F982" s="22" t="str">
        <f>IF(sample_log!$C982="", "", IF(sample_log!$C982="Chapin", "chapin_mon", IF(sample_log!$C982="Oatka", "oatka_mon", IF(sample_log!$C982="Seneca", "seneca_mon", "one"))))</f>
        <v/>
      </c>
    </row>
    <row r="983" spans="6:6" s="2" customFormat="1" ht="15" x14ac:dyDescent="0.25">
      <c r="F983" s="22" t="str">
        <f>IF(sample_log!$C983="", "", IF(sample_log!$C983="Chapin", "chapin_mon", IF(sample_log!$C983="Oatka", "oatka_mon", IF(sample_log!$C983="Seneca", "seneca_mon", "one"))))</f>
        <v/>
      </c>
    </row>
    <row r="984" spans="6:6" s="2" customFormat="1" ht="15" x14ac:dyDescent="0.25">
      <c r="F984" s="22" t="str">
        <f>IF(sample_log!$C984="", "", IF(sample_log!$C984="Chapin", "chapin_mon", IF(sample_log!$C984="Oatka", "oatka_mon", IF(sample_log!$C984="Seneca", "seneca_mon", "one"))))</f>
        <v/>
      </c>
    </row>
    <row r="985" spans="6:6" s="2" customFormat="1" ht="15" x14ac:dyDescent="0.25">
      <c r="F985" s="22" t="str">
        <f>IF(sample_log!$C985="", "", IF(sample_log!$C985="Chapin", "chapin_mon", IF(sample_log!$C985="Oatka", "oatka_mon", IF(sample_log!$C985="Seneca", "seneca_mon", "one"))))</f>
        <v/>
      </c>
    </row>
    <row r="986" spans="6:6" s="2" customFormat="1" ht="15" x14ac:dyDescent="0.25">
      <c r="F986" s="22" t="str">
        <f>IF(sample_log!$C986="", "", IF(sample_log!$C986="Chapin", "chapin_mon", IF(sample_log!$C986="Oatka", "oatka_mon", IF(sample_log!$C986="Seneca", "seneca_mon", "one"))))</f>
        <v/>
      </c>
    </row>
    <row r="987" spans="6:6" s="2" customFormat="1" ht="15" x14ac:dyDescent="0.25">
      <c r="F987" s="22" t="str">
        <f>IF(sample_log!$C987="", "", IF(sample_log!$C987="Chapin", "chapin_mon", IF(sample_log!$C987="Oatka", "oatka_mon", IF(sample_log!$C987="Seneca", "seneca_mon", "one"))))</f>
        <v/>
      </c>
    </row>
    <row r="988" spans="6:6" s="2" customFormat="1" ht="15" x14ac:dyDescent="0.25">
      <c r="F988" s="22" t="str">
        <f>IF(sample_log!$C988="", "", IF(sample_log!$C988="Chapin", "chapin_mon", IF(sample_log!$C988="Oatka", "oatka_mon", IF(sample_log!$C988="Seneca", "seneca_mon", "one"))))</f>
        <v/>
      </c>
    </row>
    <row r="989" spans="6:6" s="2" customFormat="1" ht="15" x14ac:dyDescent="0.25">
      <c r="F989" s="22" t="str">
        <f>IF(sample_log!$C989="", "", IF(sample_log!$C989="Chapin", "chapin_mon", IF(sample_log!$C989="Oatka", "oatka_mon", IF(sample_log!$C989="Seneca", "seneca_mon", "one"))))</f>
        <v/>
      </c>
    </row>
    <row r="990" spans="6:6" s="2" customFormat="1" ht="15" x14ac:dyDescent="0.25">
      <c r="F990" s="22" t="str">
        <f>IF(sample_log!$C990="", "", IF(sample_log!$C990="Chapin", "chapin_mon", IF(sample_log!$C990="Oatka", "oatka_mon", IF(sample_log!$C990="Seneca", "seneca_mon", "one"))))</f>
        <v/>
      </c>
    </row>
    <row r="991" spans="6:6" s="2" customFormat="1" ht="15" x14ac:dyDescent="0.25">
      <c r="F991" s="22" t="str">
        <f>IF(sample_log!$C991="", "", IF(sample_log!$C991="Chapin", "chapin_mon", IF(sample_log!$C991="Oatka", "oatka_mon", IF(sample_log!$C991="Seneca", "seneca_mon", "one"))))</f>
        <v/>
      </c>
    </row>
    <row r="992" spans="6:6" s="2" customFormat="1" ht="15" x14ac:dyDescent="0.25">
      <c r="F992" s="22" t="str">
        <f>IF(sample_log!$C992="", "", IF(sample_log!$C992="Chapin", "chapin_mon", IF(sample_log!$C992="Oatka", "oatka_mon", IF(sample_log!$C992="Seneca", "seneca_mon", "one"))))</f>
        <v/>
      </c>
    </row>
    <row r="993" spans="6:6" s="2" customFormat="1" ht="15" x14ac:dyDescent="0.25">
      <c r="F993" s="22" t="str">
        <f>IF(sample_log!$C993="", "", IF(sample_log!$C993="Chapin", "chapin_mon", IF(sample_log!$C993="Oatka", "oatka_mon", IF(sample_log!$C993="Seneca", "seneca_mon", "one"))))</f>
        <v/>
      </c>
    </row>
    <row r="994" spans="6:6" s="2" customFormat="1" ht="15" x14ac:dyDescent="0.25">
      <c r="F994" s="22" t="str">
        <f>IF(sample_log!$C994="", "", IF(sample_log!$C994="Chapin", "chapin_mon", IF(sample_log!$C994="Oatka", "oatka_mon", IF(sample_log!$C994="Seneca", "seneca_mon", "one"))))</f>
        <v/>
      </c>
    </row>
    <row r="995" spans="6:6" s="2" customFormat="1" ht="15" x14ac:dyDescent="0.25">
      <c r="F995" s="22" t="str">
        <f>IF(sample_log!$C995="", "", IF(sample_log!$C995="Chapin", "chapin_mon", IF(sample_log!$C995="Oatka", "oatka_mon", IF(sample_log!$C995="Seneca", "seneca_mon", "one"))))</f>
        <v/>
      </c>
    </row>
    <row r="996" spans="6:6" s="2" customFormat="1" ht="15" x14ac:dyDescent="0.25">
      <c r="F996" s="22" t="str">
        <f>IF(sample_log!$C996="", "", IF(sample_log!$C996="Chapin", "chapin_mon", IF(sample_log!$C996="Oatka", "oatka_mon", IF(sample_log!$C996="Seneca", "seneca_mon", "one"))))</f>
        <v/>
      </c>
    </row>
    <row r="997" spans="6:6" s="2" customFormat="1" ht="15" x14ac:dyDescent="0.25">
      <c r="F997" s="22" t="str">
        <f>IF(sample_log!$C997="", "", IF(sample_log!$C997="Chapin", "chapin_mon", IF(sample_log!$C997="Oatka", "oatka_mon", IF(sample_log!$C997="Seneca", "seneca_mon", "one"))))</f>
        <v/>
      </c>
    </row>
    <row r="998" spans="6:6" s="2" customFormat="1" ht="15" x14ac:dyDescent="0.25">
      <c r="F998" s="22" t="str">
        <f>IF(sample_log!$C998="", "", IF(sample_log!$C998="Chapin", "chapin_mon", IF(sample_log!$C998="Oatka", "oatka_mon", IF(sample_log!$C998="Seneca", "seneca_mon", "one"))))</f>
        <v/>
      </c>
    </row>
    <row r="999" spans="6:6" s="2" customFormat="1" ht="15" x14ac:dyDescent="0.25">
      <c r="F999" s="22" t="str">
        <f>IF(sample_log!$C999="", "", IF(sample_log!$C999="Chapin", "chapin_mon", IF(sample_log!$C999="Oatka", "oatka_mon", IF(sample_log!$C999="Seneca", "seneca_mon", "one"))))</f>
        <v/>
      </c>
    </row>
    <row r="1000" spans="6:6" s="2" customFormat="1" ht="15" x14ac:dyDescent="0.25">
      <c r="F1000" s="22" t="str">
        <f>IF(sample_log!$C1000="", "", IF(sample_log!$C1000="Chapin", "chapin_mon", IF(sample_log!$C1000="Oatka", "oatka_mon", IF(sample_log!$C1000="Seneca", "seneca_mon", "one"))))</f>
        <v/>
      </c>
    </row>
    <row r="1001" spans="6:6" s="2" customFormat="1" ht="15" x14ac:dyDescent="0.25">
      <c r="F1001" s="22" t="str">
        <f>IF(sample_log!$C1001="", "", IF(sample_log!$C1001="Chapin", "chapin_mon", IF(sample_log!$C1001="Oatka", "oatka_mon", IF(sample_log!$C1001="Seneca", "seneca_mon", "one"))))</f>
        <v/>
      </c>
    </row>
    <row r="1002" spans="6:6" s="2" customFormat="1" ht="15" x14ac:dyDescent="0.25">
      <c r="F1002" s="22" t="str">
        <f>IF(sample_log!$C1002="", "", IF(sample_log!$C1002="Chapin", "chapin_mon", IF(sample_log!$C1002="Oatka", "oatka_mon", IF(sample_log!$C1002="Seneca", "seneca_mon", "one"))))</f>
        <v/>
      </c>
    </row>
    <row r="1003" spans="6:6" s="2" customFormat="1" ht="15" x14ac:dyDescent="0.25">
      <c r="F1003" s="22" t="str">
        <f>IF(sample_log!$C1003="", "", IF(sample_log!$C1003="Chapin", "chapin_mon", IF(sample_log!$C1003="Oatka", "oatka_mon", IF(sample_log!$C1003="Seneca", "seneca_mon", "one"))))</f>
        <v/>
      </c>
    </row>
    <row r="1004" spans="6:6" s="2" customFormat="1" ht="15" x14ac:dyDescent="0.25">
      <c r="F1004" s="22" t="str">
        <f>IF(sample_log!$C1004="", "", IF(sample_log!$C1004="Chapin", "chapin_mon", IF(sample_log!$C1004="Oatka", "oatka_mon", IF(sample_log!$C1004="Seneca", "seneca_mon", "one"))))</f>
        <v/>
      </c>
    </row>
    <row r="1005" spans="6:6" s="2" customFormat="1" ht="15" x14ac:dyDescent="0.25">
      <c r="F1005" s="22" t="str">
        <f>IF(sample_log!$C1005="", "", IF(sample_log!$C1005="Chapin", "chapin_mon", IF(sample_log!$C1005="Oatka", "oatka_mon", IF(sample_log!$C1005="Seneca", "seneca_mon", "one"))))</f>
        <v/>
      </c>
    </row>
    <row r="1006" spans="6:6" s="2" customFormat="1" ht="15" x14ac:dyDescent="0.25">
      <c r="F1006" s="22" t="str">
        <f>IF(sample_log!$C1006="", "", IF(sample_log!$C1006="Chapin", "chapin_mon", IF(sample_log!$C1006="Oatka", "oatka_mon", IF(sample_log!$C1006="Seneca", "seneca_mon", "one"))))</f>
        <v/>
      </c>
    </row>
    <row r="1007" spans="6:6" s="2" customFormat="1" ht="15" x14ac:dyDescent="0.25">
      <c r="F1007" s="22" t="str">
        <f>IF(sample_log!$C1007="", "", IF(sample_log!$C1007="Chapin", "chapin_mon", IF(sample_log!$C1007="Oatka", "oatka_mon", IF(sample_log!$C1007="Seneca", "seneca_mon", "one"))))</f>
        <v/>
      </c>
    </row>
    <row r="1008" spans="6:6" s="2" customFormat="1" ht="15" x14ac:dyDescent="0.25">
      <c r="F1008" s="22" t="str">
        <f>IF(sample_log!$C1008="", "", IF(sample_log!$C1008="Chapin", "chapin_mon", IF(sample_log!$C1008="Oatka", "oatka_mon", IF(sample_log!$C1008="Seneca", "seneca_mon", "one"))))</f>
        <v/>
      </c>
    </row>
    <row r="1009" spans="6:6" s="2" customFormat="1" ht="15" x14ac:dyDescent="0.25">
      <c r="F1009" s="22" t="str">
        <f>IF(sample_log!$C1009="", "", IF(sample_log!$C1009="Chapin", "chapin_mon", IF(sample_log!$C1009="Oatka", "oatka_mon", IF(sample_log!$C1009="Seneca", "seneca_mon", "one"))))</f>
        <v/>
      </c>
    </row>
    <row r="1010" spans="6:6" s="2" customFormat="1" ht="15" x14ac:dyDescent="0.25">
      <c r="F1010" s="22" t="str">
        <f>IF(sample_log!$C1010="", "", IF(sample_log!$C1010="Chapin", "chapin_mon", IF(sample_log!$C1010="Oatka", "oatka_mon", IF(sample_log!$C1010="Seneca", "seneca_mon", "one"))))</f>
        <v/>
      </c>
    </row>
    <row r="1011" spans="6:6" s="2" customFormat="1" ht="15" x14ac:dyDescent="0.25">
      <c r="F1011" s="22" t="str">
        <f>IF(sample_log!$C1011="", "", IF(sample_log!$C1011="Chapin", "chapin_mon", IF(sample_log!$C1011="Oatka", "oatka_mon", IF(sample_log!$C1011="Seneca", "seneca_mon", "one"))))</f>
        <v/>
      </c>
    </row>
    <row r="1012" spans="6:6" s="2" customFormat="1" ht="15" x14ac:dyDescent="0.25">
      <c r="F1012" s="22" t="str">
        <f>IF(sample_log!$C1012="", "", IF(sample_log!$C1012="Chapin", "chapin_mon", IF(sample_log!$C1012="Oatka", "oatka_mon", IF(sample_log!$C1012="Seneca", "seneca_mon", "one"))))</f>
        <v/>
      </c>
    </row>
    <row r="1013" spans="6:6" s="2" customFormat="1" ht="15" x14ac:dyDescent="0.25">
      <c r="F1013" s="22" t="str">
        <f>IF(sample_log!$C1013="", "", IF(sample_log!$C1013="Chapin", "chapin_mon", IF(sample_log!$C1013="Oatka", "oatka_mon", IF(sample_log!$C1013="Seneca", "seneca_mon", "one"))))</f>
        <v/>
      </c>
    </row>
    <row r="1014" spans="6:6" s="2" customFormat="1" ht="15" x14ac:dyDescent="0.25">
      <c r="F1014" s="22" t="str">
        <f>IF(sample_log!$C1014="", "", IF(sample_log!$C1014="Chapin", "chapin_mon", IF(sample_log!$C1014="Oatka", "oatka_mon", IF(sample_log!$C1014="Seneca", "seneca_mon", "one"))))</f>
        <v/>
      </c>
    </row>
    <row r="1015" spans="6:6" s="2" customFormat="1" ht="15" x14ac:dyDescent="0.25">
      <c r="F1015" s="22" t="str">
        <f>IF(sample_log!$C1015="", "", IF(sample_log!$C1015="Chapin", "chapin_mon", IF(sample_log!$C1015="Oatka", "oatka_mon", IF(sample_log!$C1015="Seneca", "seneca_mon", "one"))))</f>
        <v/>
      </c>
    </row>
    <row r="1016" spans="6:6" s="2" customFormat="1" ht="15" x14ac:dyDescent="0.25">
      <c r="F1016" s="22" t="str">
        <f>IF(sample_log!$C1016="", "", IF(sample_log!$C1016="Chapin", "chapin_mon", IF(sample_log!$C1016="Oatka", "oatka_mon", IF(sample_log!$C1016="Seneca", "seneca_mon", "one"))))</f>
        <v/>
      </c>
    </row>
    <row r="1017" spans="6:6" s="2" customFormat="1" ht="15" x14ac:dyDescent="0.25">
      <c r="F1017" s="22" t="str">
        <f>IF(sample_log!$C1017="", "", IF(sample_log!$C1017="Chapin", "chapin_mon", IF(sample_log!$C1017="Oatka", "oatka_mon", IF(sample_log!$C1017="Seneca", "seneca_mon", "one"))))</f>
        <v/>
      </c>
    </row>
    <row r="1018" spans="6:6" s="2" customFormat="1" ht="15" x14ac:dyDescent="0.25">
      <c r="F1018" s="22" t="str">
        <f>IF(sample_log!$C1018="", "", IF(sample_log!$C1018="Chapin", "chapin_mon", IF(sample_log!$C1018="Oatka", "oatka_mon", IF(sample_log!$C1018="Seneca", "seneca_mon", "one"))))</f>
        <v/>
      </c>
    </row>
    <row r="1019" spans="6:6" s="2" customFormat="1" ht="15" x14ac:dyDescent="0.25">
      <c r="F1019" s="22" t="str">
        <f>IF(sample_log!$C1019="", "", IF(sample_log!$C1019="Chapin", "chapin_mon", IF(sample_log!$C1019="Oatka", "oatka_mon", IF(sample_log!$C1019="Seneca", "seneca_mon", "one"))))</f>
        <v/>
      </c>
    </row>
    <row r="1020" spans="6:6" s="2" customFormat="1" ht="15" x14ac:dyDescent="0.25">
      <c r="F1020" s="22" t="str">
        <f>IF(sample_log!$C1020="", "", IF(sample_log!$C1020="Chapin", "chapin_mon", IF(sample_log!$C1020="Oatka", "oatka_mon", IF(sample_log!$C1020="Seneca", "seneca_mon", "one"))))</f>
        <v/>
      </c>
    </row>
    <row r="1021" spans="6:6" s="2" customFormat="1" ht="15" x14ac:dyDescent="0.25">
      <c r="F1021" s="22" t="str">
        <f>IF(sample_log!$C1021="", "", IF(sample_log!$C1021="Chapin", "chapin_mon", IF(sample_log!$C1021="Oatka", "oatka_mon", IF(sample_log!$C1021="Seneca", "seneca_mon", "one"))))</f>
        <v/>
      </c>
    </row>
    <row r="1022" spans="6:6" s="2" customFormat="1" ht="15" x14ac:dyDescent="0.25">
      <c r="F1022" s="22" t="str">
        <f>IF(sample_log!$C1022="", "", IF(sample_log!$C1022="Chapin", "chapin_mon", IF(sample_log!$C1022="Oatka", "oatka_mon", IF(sample_log!$C1022="Seneca", "seneca_mon", "one"))))</f>
        <v/>
      </c>
    </row>
    <row r="1023" spans="6:6" s="2" customFormat="1" ht="15" x14ac:dyDescent="0.25">
      <c r="F1023" s="22" t="str">
        <f>IF(sample_log!$C1023="", "", IF(sample_log!$C1023="Chapin", "chapin_mon", IF(sample_log!$C1023="Oatka", "oatka_mon", IF(sample_log!$C1023="Seneca", "seneca_mon", "one"))))</f>
        <v/>
      </c>
    </row>
    <row r="1024" spans="6:6" s="2" customFormat="1" ht="15" x14ac:dyDescent="0.25">
      <c r="F1024" s="22" t="str">
        <f>IF(sample_log!$C1024="", "", IF(sample_log!$C1024="Chapin", "chapin_mon", IF(sample_log!$C1024="Oatka", "oatka_mon", IF(sample_log!$C1024="Seneca", "seneca_mon", "one"))))</f>
        <v/>
      </c>
    </row>
    <row r="1025" spans="6:6" s="2" customFormat="1" ht="15" x14ac:dyDescent="0.25">
      <c r="F1025" s="22" t="str">
        <f>IF(sample_log!$C1025="", "", IF(sample_log!$C1025="Chapin", "chapin_mon", IF(sample_log!$C1025="Oatka", "oatka_mon", IF(sample_log!$C1025="Seneca", "seneca_mon", "one"))))</f>
        <v/>
      </c>
    </row>
    <row r="1026" spans="6:6" s="2" customFormat="1" ht="15" x14ac:dyDescent="0.25">
      <c r="F1026" s="22" t="str">
        <f>IF(sample_log!$C1026="", "", IF(sample_log!$C1026="Chapin", "chapin_mon", IF(sample_log!$C1026="Oatka", "oatka_mon", IF(sample_log!$C1026="Seneca", "seneca_mon", "one"))))</f>
        <v/>
      </c>
    </row>
    <row r="1027" spans="6:6" s="2" customFormat="1" ht="15" x14ac:dyDescent="0.25">
      <c r="F1027" s="22" t="str">
        <f>IF(sample_log!$C1027="", "", IF(sample_log!$C1027="Chapin", "chapin_mon", IF(sample_log!$C1027="Oatka", "oatka_mon", IF(sample_log!$C1027="Seneca", "seneca_mon", "one"))))</f>
        <v/>
      </c>
    </row>
    <row r="1028" spans="6:6" s="2" customFormat="1" ht="15" x14ac:dyDescent="0.25">
      <c r="F1028" s="22" t="str">
        <f>IF(sample_log!$C1028="", "", IF(sample_log!$C1028="Chapin", "chapin_mon", IF(sample_log!$C1028="Oatka", "oatka_mon", IF(sample_log!$C1028="Seneca", "seneca_mon", "one"))))</f>
        <v/>
      </c>
    </row>
    <row r="1029" spans="6:6" s="2" customFormat="1" ht="15" x14ac:dyDescent="0.25">
      <c r="F1029" s="22" t="str">
        <f>IF(sample_log!$C1029="", "", IF(sample_log!$C1029="Chapin", "chapin_mon", IF(sample_log!$C1029="Oatka", "oatka_mon", IF(sample_log!$C1029="Seneca", "seneca_mon", "one"))))</f>
        <v/>
      </c>
    </row>
    <row r="1030" spans="6:6" s="2" customFormat="1" ht="15" x14ac:dyDescent="0.25">
      <c r="F1030" s="22" t="str">
        <f>IF(sample_log!$C1030="", "", IF(sample_log!$C1030="Chapin", "chapin_mon", IF(sample_log!$C1030="Oatka", "oatka_mon", IF(sample_log!$C1030="Seneca", "seneca_mon", "one"))))</f>
        <v/>
      </c>
    </row>
    <row r="1031" spans="6:6" s="2" customFormat="1" ht="15" x14ac:dyDescent="0.25">
      <c r="F1031" s="22" t="str">
        <f>IF(sample_log!$C1031="", "", IF(sample_log!$C1031="Chapin", "chapin_mon", IF(sample_log!$C1031="Oatka", "oatka_mon", IF(sample_log!$C1031="Seneca", "seneca_mon", "one"))))</f>
        <v/>
      </c>
    </row>
    <row r="1032" spans="6:6" s="2" customFormat="1" ht="15" x14ac:dyDescent="0.25">
      <c r="F1032" s="22" t="str">
        <f>IF(sample_log!$C1032="", "", IF(sample_log!$C1032="Chapin", "chapin_mon", IF(sample_log!$C1032="Oatka", "oatka_mon", IF(sample_log!$C1032="Seneca", "seneca_mon", "one"))))</f>
        <v/>
      </c>
    </row>
    <row r="1033" spans="6:6" s="2" customFormat="1" ht="15" x14ac:dyDescent="0.25">
      <c r="F1033" s="22" t="str">
        <f>IF(sample_log!$C1033="", "", IF(sample_log!$C1033="Chapin", "chapin_mon", IF(sample_log!$C1033="Oatka", "oatka_mon", IF(sample_log!$C1033="Seneca", "seneca_mon", "one"))))</f>
        <v/>
      </c>
    </row>
    <row r="1034" spans="6:6" s="2" customFormat="1" ht="15" x14ac:dyDescent="0.25">
      <c r="F1034" s="22" t="str">
        <f>IF(sample_log!$C1034="", "", IF(sample_log!$C1034="Chapin", "chapin_mon", IF(sample_log!$C1034="Oatka", "oatka_mon", IF(sample_log!$C1034="Seneca", "seneca_mon", "one"))))</f>
        <v/>
      </c>
    </row>
    <row r="1035" spans="6:6" s="2" customFormat="1" ht="15" x14ac:dyDescent="0.25">
      <c r="F1035" s="22" t="str">
        <f>IF(sample_log!$C1035="", "", IF(sample_log!$C1035="Chapin", "chapin_mon", IF(sample_log!$C1035="Oatka", "oatka_mon", IF(sample_log!$C1035="Seneca", "seneca_mon", "one"))))</f>
        <v/>
      </c>
    </row>
    <row r="1036" spans="6:6" s="2" customFormat="1" ht="15" x14ac:dyDescent="0.25">
      <c r="F1036" s="22" t="str">
        <f>IF(sample_log!$C1036="", "", IF(sample_log!$C1036="Chapin", "chapin_mon", IF(sample_log!$C1036="Oatka", "oatka_mon", IF(sample_log!$C1036="Seneca", "seneca_mon", "one"))))</f>
        <v/>
      </c>
    </row>
    <row r="1037" spans="6:6" s="2" customFormat="1" ht="15" x14ac:dyDescent="0.25">
      <c r="F1037" s="22" t="str">
        <f>IF(sample_log!$C1037="", "", IF(sample_log!$C1037="Chapin", "chapin_mon", IF(sample_log!$C1037="Oatka", "oatka_mon", IF(sample_log!$C1037="Seneca", "seneca_mon", "one"))))</f>
        <v/>
      </c>
    </row>
    <row r="1038" spans="6:6" s="2" customFormat="1" ht="15" x14ac:dyDescent="0.25">
      <c r="F1038" s="22" t="str">
        <f>IF(sample_log!$C1038="", "", IF(sample_log!$C1038="Chapin", "chapin_mon", IF(sample_log!$C1038="Oatka", "oatka_mon", IF(sample_log!$C1038="Seneca", "seneca_mon", "one"))))</f>
        <v/>
      </c>
    </row>
    <row r="1039" spans="6:6" s="2" customFormat="1" ht="15" x14ac:dyDescent="0.25">
      <c r="F1039" s="22" t="str">
        <f>IF(sample_log!$C1039="", "", IF(sample_log!$C1039="Chapin", "chapin_mon", IF(sample_log!$C1039="Oatka", "oatka_mon", IF(sample_log!$C1039="Seneca", "seneca_mon", "one"))))</f>
        <v/>
      </c>
    </row>
    <row r="1040" spans="6:6" s="2" customFormat="1" ht="15" x14ac:dyDescent="0.25">
      <c r="F1040" s="22" t="str">
        <f>IF(sample_log!$C1040="", "", IF(sample_log!$C1040="Chapin", "chapin_mon", IF(sample_log!$C1040="Oatka", "oatka_mon", IF(sample_log!$C1040="Seneca", "seneca_mon", "one"))))</f>
        <v/>
      </c>
    </row>
    <row r="1041" spans="6:6" s="2" customFormat="1" ht="15" x14ac:dyDescent="0.25">
      <c r="F1041" s="22" t="str">
        <f>IF(sample_log!$C1041="", "", IF(sample_log!$C1041="Chapin", "chapin_mon", IF(sample_log!$C1041="Oatka", "oatka_mon", IF(sample_log!$C1041="Seneca", "seneca_mon", "one"))))</f>
        <v/>
      </c>
    </row>
    <row r="1042" spans="6:6" s="2" customFormat="1" ht="15" x14ac:dyDescent="0.25">
      <c r="F1042" s="22" t="str">
        <f>IF(sample_log!$C1042="", "", IF(sample_log!$C1042="Chapin", "chapin_mon", IF(sample_log!$C1042="Oatka", "oatka_mon", IF(sample_log!$C1042="Seneca", "seneca_mon", "one"))))</f>
        <v/>
      </c>
    </row>
    <row r="1043" spans="6:6" s="2" customFormat="1" ht="15" x14ac:dyDescent="0.25">
      <c r="F1043" s="22" t="str">
        <f>IF(sample_log!$C1043="", "", IF(sample_log!$C1043="Chapin", "chapin_mon", IF(sample_log!$C1043="Oatka", "oatka_mon", IF(sample_log!$C1043="Seneca", "seneca_mon", "one"))))</f>
        <v/>
      </c>
    </row>
    <row r="1044" spans="6:6" s="2" customFormat="1" ht="15" x14ac:dyDescent="0.25">
      <c r="F1044" s="22" t="str">
        <f>IF(sample_log!$C1044="", "", IF(sample_log!$C1044="Chapin", "chapin_mon", IF(sample_log!$C1044="Oatka", "oatka_mon", IF(sample_log!$C1044="Seneca", "seneca_mon", "one"))))</f>
        <v/>
      </c>
    </row>
    <row r="1045" spans="6:6" s="2" customFormat="1" ht="15" x14ac:dyDescent="0.25">
      <c r="F1045" s="22" t="str">
        <f>IF(sample_log!$C1045="", "", IF(sample_log!$C1045="Chapin", "chapin_mon", IF(sample_log!$C1045="Oatka", "oatka_mon", IF(sample_log!$C1045="Seneca", "seneca_mon", "one"))))</f>
        <v/>
      </c>
    </row>
    <row r="1046" spans="6:6" s="2" customFormat="1" ht="15" x14ac:dyDescent="0.25">
      <c r="F1046" s="22" t="str">
        <f>IF(sample_log!$C1046="", "", IF(sample_log!$C1046="Chapin", "chapin_mon", IF(sample_log!$C1046="Oatka", "oatka_mon", IF(sample_log!$C1046="Seneca", "seneca_mon", "one"))))</f>
        <v/>
      </c>
    </row>
    <row r="1047" spans="6:6" s="2" customFormat="1" ht="15" x14ac:dyDescent="0.25">
      <c r="F1047" s="22" t="str">
        <f>IF(sample_log!$C1047="", "", IF(sample_log!$C1047="Chapin", "chapin_mon", IF(sample_log!$C1047="Oatka", "oatka_mon", IF(sample_log!$C1047="Seneca", "seneca_mon", "one"))))</f>
        <v/>
      </c>
    </row>
    <row r="1048" spans="6:6" s="2" customFormat="1" ht="15" x14ac:dyDescent="0.25">
      <c r="F1048" s="22" t="str">
        <f>IF(sample_log!$C1048="", "", IF(sample_log!$C1048="Chapin", "chapin_mon", IF(sample_log!$C1048="Oatka", "oatka_mon", IF(sample_log!$C1048="Seneca", "seneca_mon", "one"))))</f>
        <v/>
      </c>
    </row>
    <row r="1049" spans="6:6" s="2" customFormat="1" ht="15" x14ac:dyDescent="0.25">
      <c r="F1049" s="22" t="str">
        <f>IF(sample_log!$C1049="", "", IF(sample_log!$C1049="Chapin", "chapin_mon", IF(sample_log!$C1049="Oatka", "oatka_mon", IF(sample_log!$C1049="Seneca", "seneca_mon", "one"))))</f>
        <v/>
      </c>
    </row>
    <row r="1050" spans="6:6" s="2" customFormat="1" ht="15" x14ac:dyDescent="0.25">
      <c r="F1050" s="22" t="str">
        <f>IF(sample_log!$C1050="", "", IF(sample_log!$C1050="Chapin", "chapin_mon", IF(sample_log!$C1050="Oatka", "oatka_mon", IF(sample_log!$C1050="Seneca", "seneca_mon", "one"))))</f>
        <v/>
      </c>
    </row>
    <row r="1051" spans="6:6" s="2" customFormat="1" ht="15" x14ac:dyDescent="0.25">
      <c r="F1051" s="22" t="str">
        <f>IF(sample_log!$C1051="", "", IF(sample_log!$C1051="Chapin", "chapin_mon", IF(sample_log!$C1051="Oatka", "oatka_mon", IF(sample_log!$C1051="Seneca", "seneca_mon", "one"))))</f>
        <v/>
      </c>
    </row>
    <row r="1052" spans="6:6" s="2" customFormat="1" ht="15" x14ac:dyDescent="0.25">
      <c r="F1052" s="22" t="str">
        <f>IF(sample_log!$C1052="", "", IF(sample_log!$C1052="Chapin", "chapin_mon", IF(sample_log!$C1052="Oatka", "oatka_mon", IF(sample_log!$C1052="Seneca", "seneca_mon", "one"))))</f>
        <v/>
      </c>
    </row>
    <row r="1053" spans="6:6" s="2" customFormat="1" ht="15" x14ac:dyDescent="0.25">
      <c r="F1053" s="22" t="str">
        <f>IF(sample_log!$C1053="", "", IF(sample_log!$C1053="Chapin", "chapin_mon", IF(sample_log!$C1053="Oatka", "oatka_mon", IF(sample_log!$C1053="Seneca", "seneca_mon", "one"))))</f>
        <v/>
      </c>
    </row>
    <row r="1054" spans="6:6" s="2" customFormat="1" ht="15" x14ac:dyDescent="0.25">
      <c r="F1054" s="22" t="str">
        <f>IF(sample_log!$C1054="", "", IF(sample_log!$C1054="Chapin", "chapin_mon", IF(sample_log!$C1054="Oatka", "oatka_mon", IF(sample_log!$C1054="Seneca", "seneca_mon", "one"))))</f>
        <v/>
      </c>
    </row>
    <row r="1055" spans="6:6" s="2" customFormat="1" ht="15" x14ac:dyDescent="0.25">
      <c r="F1055" s="22" t="str">
        <f>IF(sample_log!$C1055="", "", IF(sample_log!$C1055="Chapin", "chapin_mon", IF(sample_log!$C1055="Oatka", "oatka_mon", IF(sample_log!$C1055="Seneca", "seneca_mon", "one"))))</f>
        <v/>
      </c>
    </row>
    <row r="1056" spans="6:6" s="2" customFormat="1" ht="15" x14ac:dyDescent="0.25">
      <c r="F1056" s="22" t="str">
        <f>IF(sample_log!$C1056="", "", IF(sample_log!$C1056="Chapin", "chapin_mon", IF(sample_log!$C1056="Oatka", "oatka_mon", IF(sample_log!$C1056="Seneca", "seneca_mon", "one"))))</f>
        <v/>
      </c>
    </row>
    <row r="1057" spans="6:6" s="2" customFormat="1" ht="15" x14ac:dyDescent="0.25">
      <c r="F1057" s="22" t="str">
        <f>IF(sample_log!$C1057="", "", IF(sample_log!$C1057="Chapin", "chapin_mon", IF(sample_log!$C1057="Oatka", "oatka_mon", IF(sample_log!$C1057="Seneca", "seneca_mon", "one"))))</f>
        <v/>
      </c>
    </row>
    <row r="1058" spans="6:6" s="2" customFormat="1" ht="15" x14ac:dyDescent="0.25">
      <c r="F1058" s="22" t="str">
        <f>IF(sample_log!$C1058="", "", IF(sample_log!$C1058="Chapin", "chapin_mon", IF(sample_log!$C1058="Oatka", "oatka_mon", IF(sample_log!$C1058="Seneca", "seneca_mon", "one"))))</f>
        <v/>
      </c>
    </row>
    <row r="1059" spans="6:6" s="2" customFormat="1" ht="15" x14ac:dyDescent="0.25">
      <c r="F1059" s="22" t="str">
        <f>IF(sample_log!$C1059="", "", IF(sample_log!$C1059="Chapin", "chapin_mon", IF(sample_log!$C1059="Oatka", "oatka_mon", IF(sample_log!$C1059="Seneca", "seneca_mon", "one"))))</f>
        <v/>
      </c>
    </row>
    <row r="1060" spans="6:6" s="2" customFormat="1" ht="15" x14ac:dyDescent="0.25">
      <c r="F1060" s="22" t="str">
        <f>IF(sample_log!$C1060="", "", IF(sample_log!$C1060="Chapin", "chapin_mon", IF(sample_log!$C1060="Oatka", "oatka_mon", IF(sample_log!$C1060="Seneca", "seneca_mon", "one"))))</f>
        <v/>
      </c>
    </row>
    <row r="1061" spans="6:6" s="2" customFormat="1" ht="15" x14ac:dyDescent="0.25">
      <c r="F1061" s="22" t="str">
        <f>IF(sample_log!$C1061="", "", IF(sample_log!$C1061="Chapin", "chapin_mon", IF(sample_log!$C1061="Oatka", "oatka_mon", IF(sample_log!$C1061="Seneca", "seneca_mon", "one"))))</f>
        <v/>
      </c>
    </row>
    <row r="1062" spans="6:6" s="2" customFormat="1" ht="15" x14ac:dyDescent="0.25">
      <c r="F1062" s="22" t="str">
        <f>IF(sample_log!$C1062="", "", IF(sample_log!$C1062="Chapin", "chapin_mon", IF(sample_log!$C1062="Oatka", "oatka_mon", IF(sample_log!$C1062="Seneca", "seneca_mon", "one"))))</f>
        <v/>
      </c>
    </row>
    <row r="1063" spans="6:6" s="2" customFormat="1" ht="15" x14ac:dyDescent="0.25">
      <c r="F1063" s="22" t="str">
        <f>IF(sample_log!$C1063="", "", IF(sample_log!$C1063="Chapin", "chapin_mon", IF(sample_log!$C1063="Oatka", "oatka_mon", IF(sample_log!$C1063="Seneca", "seneca_mon", "one"))))</f>
        <v/>
      </c>
    </row>
    <row r="1064" spans="6:6" s="2" customFormat="1" ht="15" x14ac:dyDescent="0.25">
      <c r="F1064" s="22" t="str">
        <f>IF(sample_log!$C1064="", "", IF(sample_log!$C1064="Chapin", "chapin_mon", IF(sample_log!$C1064="Oatka", "oatka_mon", IF(sample_log!$C1064="Seneca", "seneca_mon", "one"))))</f>
        <v/>
      </c>
    </row>
    <row r="1065" spans="6:6" s="2" customFormat="1" ht="15" x14ac:dyDescent="0.25">
      <c r="F1065" s="22" t="str">
        <f>IF(sample_log!$C1065="", "", IF(sample_log!$C1065="Chapin", "chapin_mon", IF(sample_log!$C1065="Oatka", "oatka_mon", IF(sample_log!$C1065="Seneca", "seneca_mon", "one"))))</f>
        <v/>
      </c>
    </row>
    <row r="1066" spans="6:6" s="2" customFormat="1" ht="15" x14ac:dyDescent="0.25">
      <c r="F1066" s="22" t="str">
        <f>IF(sample_log!$C1066="", "", IF(sample_log!$C1066="Chapin", "chapin_mon", IF(sample_log!$C1066="Oatka", "oatka_mon", IF(sample_log!$C1066="Seneca", "seneca_mon", "one"))))</f>
        <v/>
      </c>
    </row>
    <row r="1067" spans="6:6" s="2" customFormat="1" ht="15" x14ac:dyDescent="0.25">
      <c r="F1067" s="22" t="str">
        <f>IF(sample_log!$C1067="", "", IF(sample_log!$C1067="Chapin", "chapin_mon", IF(sample_log!$C1067="Oatka", "oatka_mon", IF(sample_log!$C1067="Seneca", "seneca_mon", "one"))))</f>
        <v/>
      </c>
    </row>
    <row r="1068" spans="6:6" s="2" customFormat="1" ht="15" x14ac:dyDescent="0.25">
      <c r="F1068" s="22" t="str">
        <f>IF(sample_log!$C1068="", "", IF(sample_log!$C1068="Chapin", "chapin_mon", IF(sample_log!$C1068="Oatka", "oatka_mon", IF(sample_log!$C1068="Seneca", "seneca_mon", "one"))))</f>
        <v/>
      </c>
    </row>
    <row r="1069" spans="6:6" s="2" customFormat="1" ht="15" x14ac:dyDescent="0.25">
      <c r="F1069" s="22" t="str">
        <f>IF(sample_log!$C1069="", "", IF(sample_log!$C1069="Chapin", "chapin_mon", IF(sample_log!$C1069="Oatka", "oatka_mon", IF(sample_log!$C1069="Seneca", "seneca_mon", "one"))))</f>
        <v/>
      </c>
    </row>
    <row r="1070" spans="6:6" s="2" customFormat="1" ht="15" x14ac:dyDescent="0.25">
      <c r="F1070" s="22" t="str">
        <f>IF(sample_log!$C1070="", "", IF(sample_log!$C1070="Chapin", "chapin_mon", IF(sample_log!$C1070="Oatka", "oatka_mon", IF(sample_log!$C1070="Seneca", "seneca_mon", "one"))))</f>
        <v/>
      </c>
    </row>
    <row r="1071" spans="6:6" s="2" customFormat="1" ht="15" x14ac:dyDescent="0.25">
      <c r="F1071" s="22" t="str">
        <f>IF(sample_log!$C1071="", "", IF(sample_log!$C1071="Chapin", "chapin_mon", IF(sample_log!$C1071="Oatka", "oatka_mon", IF(sample_log!$C1071="Seneca", "seneca_mon", "one"))))</f>
        <v/>
      </c>
    </row>
    <row r="1072" spans="6:6" s="2" customFormat="1" ht="15" x14ac:dyDescent="0.25">
      <c r="F1072" s="22" t="str">
        <f>IF(sample_log!$C1072="", "", IF(sample_log!$C1072="Chapin", "chapin_mon", IF(sample_log!$C1072="Oatka", "oatka_mon", IF(sample_log!$C1072="Seneca", "seneca_mon", "one"))))</f>
        <v/>
      </c>
    </row>
    <row r="1073" spans="6:6" s="2" customFormat="1" ht="15" x14ac:dyDescent="0.25">
      <c r="F1073" s="22" t="str">
        <f>IF(sample_log!$C1073="", "", IF(sample_log!$C1073="Chapin", "chapin_mon", IF(sample_log!$C1073="Oatka", "oatka_mon", IF(sample_log!$C1073="Seneca", "seneca_mon", "one"))))</f>
        <v/>
      </c>
    </row>
    <row r="1074" spans="6:6" s="2" customFormat="1" ht="15" x14ac:dyDescent="0.25">
      <c r="F1074" s="22" t="str">
        <f>IF(sample_log!$C1074="", "", IF(sample_log!$C1074="Chapin", "chapin_mon", IF(sample_log!$C1074="Oatka", "oatka_mon", IF(sample_log!$C1074="Seneca", "seneca_mon", "one"))))</f>
        <v/>
      </c>
    </row>
    <row r="1075" spans="6:6" s="2" customFormat="1" ht="15" x14ac:dyDescent="0.25">
      <c r="F1075" s="22" t="str">
        <f>IF(sample_log!$C1075="", "", IF(sample_log!$C1075="Chapin", "chapin_mon", IF(sample_log!$C1075="Oatka", "oatka_mon", IF(sample_log!$C1075="Seneca", "seneca_mon", "one"))))</f>
        <v/>
      </c>
    </row>
    <row r="1076" spans="6:6" s="2" customFormat="1" ht="15" x14ac:dyDescent="0.25">
      <c r="F1076" s="22" t="str">
        <f>IF(sample_log!$C1076="", "", IF(sample_log!$C1076="Chapin", "chapin_mon", IF(sample_log!$C1076="Oatka", "oatka_mon", IF(sample_log!$C1076="Seneca", "seneca_mon", "one"))))</f>
        <v/>
      </c>
    </row>
    <row r="1077" spans="6:6" s="2" customFormat="1" ht="15" x14ac:dyDescent="0.25">
      <c r="F1077" s="22" t="str">
        <f>IF(sample_log!$C1077="", "", IF(sample_log!$C1077="Chapin", "chapin_mon", IF(sample_log!$C1077="Oatka", "oatka_mon", IF(sample_log!$C1077="Seneca", "seneca_mon", "one"))))</f>
        <v/>
      </c>
    </row>
    <row r="1078" spans="6:6" s="2" customFormat="1" ht="15" x14ac:dyDescent="0.25">
      <c r="F1078" s="22" t="str">
        <f>IF(sample_log!$C1078="", "", IF(sample_log!$C1078="Chapin", "chapin_mon", IF(sample_log!$C1078="Oatka", "oatka_mon", IF(sample_log!$C1078="Seneca", "seneca_mon", "one"))))</f>
        <v/>
      </c>
    </row>
    <row r="1079" spans="6:6" s="2" customFormat="1" ht="15" x14ac:dyDescent="0.25">
      <c r="F1079" s="22" t="str">
        <f>IF(sample_log!$C1079="", "", IF(sample_log!$C1079="Chapin", "chapin_mon", IF(sample_log!$C1079="Oatka", "oatka_mon", IF(sample_log!$C1079="Seneca", "seneca_mon", "one"))))</f>
        <v/>
      </c>
    </row>
    <row r="1080" spans="6:6" s="2" customFormat="1" ht="15" x14ac:dyDescent="0.25">
      <c r="F1080" s="22" t="str">
        <f>IF(sample_log!$C1080="", "", IF(sample_log!$C1080="Chapin", "chapin_mon", IF(sample_log!$C1080="Oatka", "oatka_mon", IF(sample_log!$C1080="Seneca", "seneca_mon", "one"))))</f>
        <v/>
      </c>
    </row>
    <row r="1081" spans="6:6" s="2" customFormat="1" ht="15" x14ac:dyDescent="0.25">
      <c r="F1081" s="22" t="str">
        <f>IF(sample_log!$C1081="", "", IF(sample_log!$C1081="Chapin", "chapin_mon", IF(sample_log!$C1081="Oatka", "oatka_mon", IF(sample_log!$C1081="Seneca", "seneca_mon", "one"))))</f>
        <v/>
      </c>
    </row>
    <row r="1082" spans="6:6" s="2" customFormat="1" ht="15" x14ac:dyDescent="0.25">
      <c r="F1082" s="22" t="str">
        <f>IF(sample_log!$C1082="", "", IF(sample_log!$C1082="Chapin", "chapin_mon", IF(sample_log!$C1082="Oatka", "oatka_mon", IF(sample_log!$C1082="Seneca", "seneca_mon", "one"))))</f>
        <v/>
      </c>
    </row>
    <row r="1083" spans="6:6" s="2" customFormat="1" ht="15" x14ac:dyDescent="0.25">
      <c r="F1083" s="22" t="str">
        <f>IF(sample_log!$C1083="", "", IF(sample_log!$C1083="Chapin", "chapin_mon", IF(sample_log!$C1083="Oatka", "oatka_mon", IF(sample_log!$C1083="Seneca", "seneca_mon", "one"))))</f>
        <v/>
      </c>
    </row>
    <row r="1084" spans="6:6" s="2" customFormat="1" ht="15" x14ac:dyDescent="0.25">
      <c r="F1084" s="22" t="str">
        <f>IF(sample_log!$C1084="", "", IF(sample_log!$C1084="Chapin", "chapin_mon", IF(sample_log!$C1084="Oatka", "oatka_mon", IF(sample_log!$C1084="Seneca", "seneca_mon", "one"))))</f>
        <v/>
      </c>
    </row>
    <row r="1085" spans="6:6" s="2" customFormat="1" ht="15" x14ac:dyDescent="0.25">
      <c r="F1085" s="22" t="str">
        <f>IF(sample_log!$C1085="", "", IF(sample_log!$C1085="Chapin", "chapin_mon", IF(sample_log!$C1085="Oatka", "oatka_mon", IF(sample_log!$C1085="Seneca", "seneca_mon", "one"))))</f>
        <v/>
      </c>
    </row>
    <row r="1086" spans="6:6" s="2" customFormat="1" ht="15" x14ac:dyDescent="0.25">
      <c r="F1086" s="22" t="str">
        <f>IF(sample_log!$C1086="", "", IF(sample_log!$C1086="Chapin", "chapin_mon", IF(sample_log!$C1086="Oatka", "oatka_mon", IF(sample_log!$C1086="Seneca", "seneca_mon", "one"))))</f>
        <v/>
      </c>
    </row>
    <row r="1087" spans="6:6" s="2" customFormat="1" ht="15" x14ac:dyDescent="0.25">
      <c r="F1087" s="22" t="str">
        <f>IF(sample_log!$C1087="", "", IF(sample_log!$C1087="Chapin", "chapin_mon", IF(sample_log!$C1087="Oatka", "oatka_mon", IF(sample_log!$C1087="Seneca", "seneca_mon", "one"))))</f>
        <v/>
      </c>
    </row>
    <row r="1088" spans="6:6" s="2" customFormat="1" ht="15" x14ac:dyDescent="0.25">
      <c r="F1088" s="22" t="str">
        <f>IF(sample_log!$C1088="", "", IF(sample_log!$C1088="Chapin", "chapin_mon", IF(sample_log!$C1088="Oatka", "oatka_mon", IF(sample_log!$C1088="Seneca", "seneca_mon", "one"))))</f>
        <v/>
      </c>
    </row>
    <row r="1089" spans="6:6" s="2" customFormat="1" ht="15" x14ac:dyDescent="0.25">
      <c r="F1089" s="22" t="str">
        <f>IF(sample_log!$C1089="", "", IF(sample_log!$C1089="Chapin", "chapin_mon", IF(sample_log!$C1089="Oatka", "oatka_mon", IF(sample_log!$C1089="Seneca", "seneca_mon", "one"))))</f>
        <v/>
      </c>
    </row>
    <row r="1090" spans="6:6" s="2" customFormat="1" ht="15" x14ac:dyDescent="0.25">
      <c r="F1090" s="22" t="str">
        <f>IF(sample_log!$C1090="", "", IF(sample_log!$C1090="Chapin", "chapin_mon", IF(sample_log!$C1090="Oatka", "oatka_mon", IF(sample_log!$C1090="Seneca", "seneca_mon", "one"))))</f>
        <v/>
      </c>
    </row>
    <row r="1091" spans="6:6" s="2" customFormat="1" ht="15" x14ac:dyDescent="0.25">
      <c r="F1091" s="22" t="str">
        <f>IF(sample_log!$C1091="", "", IF(sample_log!$C1091="Chapin", "chapin_mon", IF(sample_log!$C1091="Oatka", "oatka_mon", IF(sample_log!$C1091="Seneca", "seneca_mon", "one"))))</f>
        <v/>
      </c>
    </row>
    <row r="1092" spans="6:6" s="2" customFormat="1" ht="15" x14ac:dyDescent="0.25">
      <c r="F1092" s="22" t="str">
        <f>IF(sample_log!$C1092="", "", IF(sample_log!$C1092="Chapin", "chapin_mon", IF(sample_log!$C1092="Oatka", "oatka_mon", IF(sample_log!$C1092="Seneca", "seneca_mon", "one"))))</f>
        <v/>
      </c>
    </row>
    <row r="1093" spans="6:6" s="2" customFormat="1" ht="15" x14ac:dyDescent="0.25">
      <c r="F1093" s="22" t="str">
        <f>IF(sample_log!$C1093="", "", IF(sample_log!$C1093="Chapin", "chapin_mon", IF(sample_log!$C1093="Oatka", "oatka_mon", IF(sample_log!$C1093="Seneca", "seneca_mon", "one"))))</f>
        <v/>
      </c>
    </row>
    <row r="1094" spans="6:6" s="2" customFormat="1" ht="15" x14ac:dyDescent="0.25">
      <c r="F1094" s="22" t="str">
        <f>IF(sample_log!$C1094="", "", IF(sample_log!$C1094="Chapin", "chapin_mon", IF(sample_log!$C1094="Oatka", "oatka_mon", IF(sample_log!$C1094="Seneca", "seneca_mon", "one"))))</f>
        <v/>
      </c>
    </row>
    <row r="1095" spans="6:6" s="2" customFormat="1" ht="15" x14ac:dyDescent="0.25">
      <c r="F1095" s="22" t="str">
        <f>IF(sample_log!$C1095="", "", IF(sample_log!$C1095="Chapin", "chapin_mon", IF(sample_log!$C1095="Oatka", "oatka_mon", IF(sample_log!$C1095="Seneca", "seneca_mon", "one"))))</f>
        <v/>
      </c>
    </row>
    <row r="1096" spans="6:6" s="2" customFormat="1" ht="15" x14ac:dyDescent="0.25">
      <c r="F1096" s="22" t="str">
        <f>IF(sample_log!$C1096="", "", IF(sample_log!$C1096="Chapin", "chapin_mon", IF(sample_log!$C1096="Oatka", "oatka_mon", IF(sample_log!$C1096="Seneca", "seneca_mon", "one"))))</f>
        <v/>
      </c>
    </row>
    <row r="1097" spans="6:6" s="2" customFormat="1" ht="15" x14ac:dyDescent="0.25">
      <c r="F1097" s="22" t="str">
        <f>IF(sample_log!$C1097="", "", IF(sample_log!$C1097="Chapin", "chapin_mon", IF(sample_log!$C1097="Oatka", "oatka_mon", IF(sample_log!$C1097="Seneca", "seneca_mon", "one"))))</f>
        <v/>
      </c>
    </row>
    <row r="1098" spans="6:6" s="2" customFormat="1" ht="15" x14ac:dyDescent="0.25">
      <c r="F1098" s="22" t="str">
        <f>IF(sample_log!$C1098="", "", IF(sample_log!$C1098="Chapin", "chapin_mon", IF(sample_log!$C1098="Oatka", "oatka_mon", IF(sample_log!$C1098="Seneca", "seneca_mon", "one"))))</f>
        <v/>
      </c>
    </row>
    <row r="1099" spans="6:6" s="2" customFormat="1" ht="15" x14ac:dyDescent="0.25">
      <c r="F1099" s="22" t="str">
        <f>IF(sample_log!$C1099="", "", IF(sample_log!$C1099="Chapin", "chapin_mon", IF(sample_log!$C1099="Oatka", "oatka_mon", IF(sample_log!$C1099="Seneca", "seneca_mon", "one"))))</f>
        <v/>
      </c>
    </row>
    <row r="1100" spans="6:6" s="2" customFormat="1" ht="15" x14ac:dyDescent="0.25">
      <c r="F1100" s="22" t="str">
        <f>IF(sample_log!$C1100="", "", IF(sample_log!$C1100="Chapin", "chapin_mon", IF(sample_log!$C1100="Oatka", "oatka_mon", IF(sample_log!$C1100="Seneca", "seneca_mon", "one"))))</f>
        <v/>
      </c>
    </row>
    <row r="1101" spans="6:6" s="2" customFormat="1" ht="15" x14ac:dyDescent="0.25">
      <c r="F1101" s="22" t="str">
        <f>IF(sample_log!$C1101="", "", IF(sample_log!$C1101="Chapin", "chapin_mon", IF(sample_log!$C1101="Oatka", "oatka_mon", IF(sample_log!$C1101="Seneca", "seneca_mon", "one"))))</f>
        <v/>
      </c>
    </row>
    <row r="1102" spans="6:6" s="2" customFormat="1" ht="15" x14ac:dyDescent="0.25">
      <c r="F1102" s="22" t="str">
        <f>IF(sample_log!$C1102="", "", IF(sample_log!$C1102="Chapin", "chapin_mon", IF(sample_log!$C1102="Oatka", "oatka_mon", IF(sample_log!$C1102="Seneca", "seneca_mon", "one"))))</f>
        <v/>
      </c>
    </row>
    <row r="1103" spans="6:6" s="2" customFormat="1" ht="15" x14ac:dyDescent="0.25">
      <c r="F1103" s="22" t="str">
        <f>IF(sample_log!$C1103="", "", IF(sample_log!$C1103="Chapin", "chapin_mon", IF(sample_log!$C1103="Oatka", "oatka_mon", IF(sample_log!$C1103="Seneca", "seneca_mon", "one"))))</f>
        <v/>
      </c>
    </row>
    <row r="1104" spans="6:6" s="2" customFormat="1" ht="15" x14ac:dyDescent="0.25">
      <c r="F1104" s="22" t="str">
        <f>IF(sample_log!$C1104="", "", IF(sample_log!$C1104="Chapin", "chapin_mon", IF(sample_log!$C1104="Oatka", "oatka_mon", IF(sample_log!$C1104="Seneca", "seneca_mon", "one"))))</f>
        <v/>
      </c>
    </row>
    <row r="1105" spans="6:6" s="2" customFormat="1" ht="15" x14ac:dyDescent="0.25">
      <c r="F1105" s="22" t="str">
        <f>IF(sample_log!$C1105="", "", IF(sample_log!$C1105="Chapin", "chapin_mon", IF(sample_log!$C1105="Oatka", "oatka_mon", IF(sample_log!$C1105="Seneca", "seneca_mon", "one"))))</f>
        <v/>
      </c>
    </row>
    <row r="1106" spans="6:6" s="2" customFormat="1" ht="15" x14ac:dyDescent="0.25">
      <c r="F1106" s="22" t="str">
        <f>IF(sample_log!$C1106="", "", IF(sample_log!$C1106="Chapin", "chapin_mon", IF(sample_log!$C1106="Oatka", "oatka_mon", IF(sample_log!$C1106="Seneca", "seneca_mon", "one"))))</f>
        <v/>
      </c>
    </row>
    <row r="1107" spans="6:6" s="2" customFormat="1" ht="15" x14ac:dyDescent="0.25">
      <c r="F1107" s="22" t="str">
        <f>IF(sample_log!$C1107="", "", IF(sample_log!$C1107="Chapin", "chapin_mon", IF(sample_log!$C1107="Oatka", "oatka_mon", IF(sample_log!$C1107="Seneca", "seneca_mon", "one"))))</f>
        <v/>
      </c>
    </row>
    <row r="1108" spans="6:6" s="2" customFormat="1" ht="15" x14ac:dyDescent="0.25">
      <c r="F1108" s="22" t="str">
        <f>IF(sample_log!$C1108="", "", IF(sample_log!$C1108="Chapin", "chapin_mon", IF(sample_log!$C1108="Oatka", "oatka_mon", IF(sample_log!$C1108="Seneca", "seneca_mon", "one"))))</f>
        <v/>
      </c>
    </row>
    <row r="1109" spans="6:6" s="2" customFormat="1" ht="15" x14ac:dyDescent="0.25">
      <c r="F1109" s="22" t="str">
        <f>IF(sample_log!$C1109="", "", IF(sample_log!$C1109="Chapin", "chapin_mon", IF(sample_log!$C1109="Oatka", "oatka_mon", IF(sample_log!$C1109="Seneca", "seneca_mon", "one"))))</f>
        <v/>
      </c>
    </row>
    <row r="1110" spans="6:6" s="2" customFormat="1" ht="15" x14ac:dyDescent="0.25">
      <c r="F1110" s="22" t="str">
        <f>IF(sample_log!$C1110="", "", IF(sample_log!$C1110="Chapin", "chapin_mon", IF(sample_log!$C1110="Oatka", "oatka_mon", IF(sample_log!$C1110="Seneca", "seneca_mon", "one"))))</f>
        <v/>
      </c>
    </row>
    <row r="1111" spans="6:6" s="2" customFormat="1" ht="15" x14ac:dyDescent="0.25">
      <c r="F1111" s="22" t="str">
        <f>IF(sample_log!$C1111="", "", IF(sample_log!$C1111="Chapin", "chapin_mon", IF(sample_log!$C1111="Oatka", "oatka_mon", IF(sample_log!$C1111="Seneca", "seneca_mon", "one"))))</f>
        <v/>
      </c>
    </row>
    <row r="1112" spans="6:6" s="2" customFormat="1" ht="15" x14ac:dyDescent="0.25">
      <c r="F1112" s="22" t="str">
        <f>IF(sample_log!$C1112="", "", IF(sample_log!$C1112="Chapin", "chapin_mon", IF(sample_log!$C1112="Oatka", "oatka_mon", IF(sample_log!$C1112="Seneca", "seneca_mon", "one"))))</f>
        <v/>
      </c>
    </row>
    <row r="1113" spans="6:6" s="2" customFormat="1" ht="15" x14ac:dyDescent="0.25">
      <c r="F1113" s="22" t="str">
        <f>IF(sample_log!$C1113="", "", IF(sample_log!$C1113="Chapin", "chapin_mon", IF(sample_log!$C1113="Oatka", "oatka_mon", IF(sample_log!$C1113="Seneca", "seneca_mon", "one"))))</f>
        <v/>
      </c>
    </row>
    <row r="1114" spans="6:6" s="2" customFormat="1" ht="15" x14ac:dyDescent="0.25">
      <c r="F1114" s="22" t="str">
        <f>IF(sample_log!$C1114="", "", IF(sample_log!$C1114="Chapin", "chapin_mon", IF(sample_log!$C1114="Oatka", "oatka_mon", IF(sample_log!$C1114="Seneca", "seneca_mon", "one"))))</f>
        <v/>
      </c>
    </row>
    <row r="1115" spans="6:6" s="2" customFormat="1" ht="15" x14ac:dyDescent="0.25">
      <c r="F1115" s="22" t="str">
        <f>IF(sample_log!$C1115="", "", IF(sample_log!$C1115="Chapin", "chapin_mon", IF(sample_log!$C1115="Oatka", "oatka_mon", IF(sample_log!$C1115="Seneca", "seneca_mon", "one"))))</f>
        <v/>
      </c>
    </row>
    <row r="1116" spans="6:6" s="2" customFormat="1" ht="15" x14ac:dyDescent="0.25">
      <c r="F1116" s="22" t="str">
        <f>IF(sample_log!$C1116="", "", IF(sample_log!$C1116="Chapin", "chapin_mon", IF(sample_log!$C1116="Oatka", "oatka_mon", IF(sample_log!$C1116="Seneca", "seneca_mon", "one"))))</f>
        <v/>
      </c>
    </row>
    <row r="1117" spans="6:6" s="2" customFormat="1" ht="15" x14ac:dyDescent="0.25">
      <c r="F1117" s="22" t="str">
        <f>IF(sample_log!$C1117="", "", IF(sample_log!$C1117="Chapin", "chapin_mon", IF(sample_log!$C1117="Oatka", "oatka_mon", IF(sample_log!$C1117="Seneca", "seneca_mon", "one"))))</f>
        <v/>
      </c>
    </row>
    <row r="1118" spans="6:6" s="2" customFormat="1" ht="15" x14ac:dyDescent="0.25">
      <c r="F1118" s="22" t="str">
        <f>IF(sample_log!$C1118="", "", IF(sample_log!$C1118="Chapin", "chapin_mon", IF(sample_log!$C1118="Oatka", "oatka_mon", IF(sample_log!$C1118="Seneca", "seneca_mon", "one"))))</f>
        <v/>
      </c>
    </row>
    <row r="1119" spans="6:6" s="2" customFormat="1" ht="15" x14ac:dyDescent="0.25">
      <c r="F1119" s="22" t="str">
        <f>IF(sample_log!$C1119="", "", IF(sample_log!$C1119="Chapin", "chapin_mon", IF(sample_log!$C1119="Oatka", "oatka_mon", IF(sample_log!$C1119="Seneca", "seneca_mon", "one"))))</f>
        <v/>
      </c>
    </row>
    <row r="1120" spans="6:6" s="2" customFormat="1" ht="15" x14ac:dyDescent="0.25">
      <c r="F1120" s="22" t="str">
        <f>IF(sample_log!$C1120="", "", IF(sample_log!$C1120="Chapin", "chapin_mon", IF(sample_log!$C1120="Oatka", "oatka_mon", IF(sample_log!$C1120="Seneca", "seneca_mon", "one"))))</f>
        <v/>
      </c>
    </row>
    <row r="1121" spans="6:6" s="2" customFormat="1" ht="15" x14ac:dyDescent="0.25">
      <c r="F1121" s="22" t="str">
        <f>IF(sample_log!$C1121="", "", IF(sample_log!$C1121="Chapin", "chapin_mon", IF(sample_log!$C1121="Oatka", "oatka_mon", IF(sample_log!$C1121="Seneca", "seneca_mon", "one"))))</f>
        <v/>
      </c>
    </row>
    <row r="1122" spans="6:6" s="2" customFormat="1" ht="15" x14ac:dyDescent="0.25">
      <c r="F1122" s="22" t="str">
        <f>IF(sample_log!$C1122="", "", IF(sample_log!$C1122="Chapin", "chapin_mon", IF(sample_log!$C1122="Oatka", "oatka_mon", IF(sample_log!$C1122="Seneca", "seneca_mon", "one"))))</f>
        <v/>
      </c>
    </row>
    <row r="1123" spans="6:6" s="2" customFormat="1" ht="15" x14ac:dyDescent="0.25">
      <c r="F1123" s="22" t="str">
        <f>IF(sample_log!$C1123="", "", IF(sample_log!$C1123="Chapin", "chapin_mon", IF(sample_log!$C1123="Oatka", "oatka_mon", IF(sample_log!$C1123="Seneca", "seneca_mon", "one"))))</f>
        <v/>
      </c>
    </row>
    <row r="1124" spans="6:6" s="2" customFormat="1" ht="15" x14ac:dyDescent="0.25">
      <c r="F1124" s="22" t="str">
        <f>IF(sample_log!$C1124="", "", IF(sample_log!$C1124="Chapin", "chapin_mon", IF(sample_log!$C1124="Oatka", "oatka_mon", IF(sample_log!$C1124="Seneca", "seneca_mon", "one"))))</f>
        <v/>
      </c>
    </row>
    <row r="1125" spans="6:6" s="2" customFormat="1" ht="15" x14ac:dyDescent="0.25">
      <c r="F1125" s="22" t="str">
        <f>IF(sample_log!$C1125="", "", IF(sample_log!$C1125="Chapin", "chapin_mon", IF(sample_log!$C1125="Oatka", "oatka_mon", IF(sample_log!$C1125="Seneca", "seneca_mon", "one"))))</f>
        <v/>
      </c>
    </row>
    <row r="1126" spans="6:6" s="2" customFormat="1" ht="15" x14ac:dyDescent="0.25">
      <c r="F1126" s="22" t="str">
        <f>IF(sample_log!$C1126="", "", IF(sample_log!$C1126="Chapin", "chapin_mon", IF(sample_log!$C1126="Oatka", "oatka_mon", IF(sample_log!$C1126="Seneca", "seneca_mon", "one"))))</f>
        <v/>
      </c>
    </row>
    <row r="1127" spans="6:6" s="2" customFormat="1" ht="15" x14ac:dyDescent="0.25">
      <c r="F1127" s="22" t="str">
        <f>IF(sample_log!$C1127="", "", IF(sample_log!$C1127="Chapin", "chapin_mon", IF(sample_log!$C1127="Oatka", "oatka_mon", IF(sample_log!$C1127="Seneca", "seneca_mon", "one"))))</f>
        <v/>
      </c>
    </row>
    <row r="1128" spans="6:6" s="2" customFormat="1" ht="15" x14ac:dyDescent="0.25">
      <c r="F1128" s="22" t="str">
        <f>IF(sample_log!$C1128="", "", IF(sample_log!$C1128="Chapin", "chapin_mon", IF(sample_log!$C1128="Oatka", "oatka_mon", IF(sample_log!$C1128="Seneca", "seneca_mon", "one"))))</f>
        <v/>
      </c>
    </row>
    <row r="1129" spans="6:6" s="2" customFormat="1" ht="15" x14ac:dyDescent="0.25">
      <c r="F1129" s="22" t="str">
        <f>IF(sample_log!$C1129="", "", IF(sample_log!$C1129="Chapin", "chapin_mon", IF(sample_log!$C1129="Oatka", "oatka_mon", IF(sample_log!$C1129="Seneca", "seneca_mon", "one"))))</f>
        <v/>
      </c>
    </row>
    <row r="1130" spans="6:6" s="2" customFormat="1" ht="15" x14ac:dyDescent="0.25">
      <c r="F1130" s="22" t="str">
        <f>IF(sample_log!$C1130="", "", IF(sample_log!$C1130="Chapin", "chapin_mon", IF(sample_log!$C1130="Oatka", "oatka_mon", IF(sample_log!$C1130="Seneca", "seneca_mon", "one"))))</f>
        <v/>
      </c>
    </row>
    <row r="1131" spans="6:6" s="2" customFormat="1" ht="15" x14ac:dyDescent="0.25">
      <c r="F1131" s="22" t="str">
        <f>IF(sample_log!$C1131="", "", IF(sample_log!$C1131="Chapin", "chapin_mon", IF(sample_log!$C1131="Oatka", "oatka_mon", IF(sample_log!$C1131="Seneca", "seneca_mon", "one"))))</f>
        <v/>
      </c>
    </row>
    <row r="1132" spans="6:6" s="2" customFormat="1" ht="15" x14ac:dyDescent="0.25">
      <c r="F1132" s="22" t="str">
        <f>IF(sample_log!$C1132="", "", IF(sample_log!$C1132="Chapin", "chapin_mon", IF(sample_log!$C1132="Oatka", "oatka_mon", IF(sample_log!$C1132="Seneca", "seneca_mon", "one"))))</f>
        <v/>
      </c>
    </row>
    <row r="1133" spans="6:6" s="2" customFormat="1" ht="15" x14ac:dyDescent="0.25">
      <c r="F1133" s="22" t="str">
        <f>IF(sample_log!$C1133="", "", IF(sample_log!$C1133="Chapin", "chapin_mon", IF(sample_log!$C1133="Oatka", "oatka_mon", IF(sample_log!$C1133="Seneca", "seneca_mon", "one"))))</f>
        <v/>
      </c>
    </row>
    <row r="1134" spans="6:6" s="2" customFormat="1" ht="15" x14ac:dyDescent="0.25">
      <c r="F1134" s="22" t="str">
        <f>IF(sample_log!$C1134="", "", IF(sample_log!$C1134="Chapin", "chapin_mon", IF(sample_log!$C1134="Oatka", "oatka_mon", IF(sample_log!$C1134="Seneca", "seneca_mon", "one"))))</f>
        <v/>
      </c>
    </row>
    <row r="1135" spans="6:6" s="2" customFormat="1" ht="15" x14ac:dyDescent="0.25">
      <c r="F1135" s="22" t="str">
        <f>IF(sample_log!$C1135="", "", IF(sample_log!$C1135="Chapin", "chapin_mon", IF(sample_log!$C1135="Oatka", "oatka_mon", IF(sample_log!$C1135="Seneca", "seneca_mon", "one"))))</f>
        <v/>
      </c>
    </row>
    <row r="1136" spans="6:6" s="2" customFormat="1" ht="15" x14ac:dyDescent="0.25">
      <c r="F1136" s="22" t="str">
        <f>IF(sample_log!$C1136="", "", IF(sample_log!$C1136="Chapin", "chapin_mon", IF(sample_log!$C1136="Oatka", "oatka_mon", IF(sample_log!$C1136="Seneca", "seneca_mon", "one"))))</f>
        <v/>
      </c>
    </row>
    <row r="1137" spans="6:6" s="2" customFormat="1" ht="15" x14ac:dyDescent="0.25">
      <c r="F1137" s="22" t="str">
        <f>IF(sample_log!$C1137="", "", IF(sample_log!$C1137="Chapin", "chapin_mon", IF(sample_log!$C1137="Oatka", "oatka_mon", IF(sample_log!$C1137="Seneca", "seneca_mon", "one"))))</f>
        <v/>
      </c>
    </row>
    <row r="1138" spans="6:6" s="2" customFormat="1" ht="15" x14ac:dyDescent="0.25">
      <c r="F1138" s="22" t="str">
        <f>IF(sample_log!$C1138="", "", IF(sample_log!$C1138="Chapin", "chapin_mon", IF(sample_log!$C1138="Oatka", "oatka_mon", IF(sample_log!$C1138="Seneca", "seneca_mon", "one"))))</f>
        <v/>
      </c>
    </row>
    <row r="1139" spans="6:6" s="2" customFormat="1" ht="15" x14ac:dyDescent="0.25">
      <c r="F1139" s="22" t="str">
        <f>IF(sample_log!$C1139="", "", IF(sample_log!$C1139="Chapin", "chapin_mon", IF(sample_log!$C1139="Oatka", "oatka_mon", IF(sample_log!$C1139="Seneca", "seneca_mon", "one"))))</f>
        <v/>
      </c>
    </row>
    <row r="1140" spans="6:6" s="2" customFormat="1" ht="15" x14ac:dyDescent="0.25">
      <c r="F1140" s="22" t="str">
        <f>IF(sample_log!$C1140="", "", IF(sample_log!$C1140="Chapin", "chapin_mon", IF(sample_log!$C1140="Oatka", "oatka_mon", IF(sample_log!$C1140="Seneca", "seneca_mon", "one"))))</f>
        <v/>
      </c>
    </row>
    <row r="1141" spans="6:6" s="2" customFormat="1" ht="15" x14ac:dyDescent="0.25">
      <c r="F1141" s="22" t="str">
        <f>IF(sample_log!$C1141="", "", IF(sample_log!$C1141="Chapin", "chapin_mon", IF(sample_log!$C1141="Oatka", "oatka_mon", IF(sample_log!$C1141="Seneca", "seneca_mon", "one"))))</f>
        <v/>
      </c>
    </row>
    <row r="1142" spans="6:6" s="2" customFormat="1" ht="15" x14ac:dyDescent="0.25">
      <c r="F1142" s="22" t="str">
        <f>IF(sample_log!$C1142="", "", IF(sample_log!$C1142="Chapin", "chapin_mon", IF(sample_log!$C1142="Oatka", "oatka_mon", IF(sample_log!$C1142="Seneca", "seneca_mon", "one"))))</f>
        <v/>
      </c>
    </row>
    <row r="1143" spans="6:6" s="2" customFormat="1" ht="15" x14ac:dyDescent="0.25">
      <c r="F1143" s="22" t="str">
        <f>IF(sample_log!$C1143="", "", IF(sample_log!$C1143="Chapin", "chapin_mon", IF(sample_log!$C1143="Oatka", "oatka_mon", IF(sample_log!$C1143="Seneca", "seneca_mon", "one"))))</f>
        <v/>
      </c>
    </row>
    <row r="1144" spans="6:6" s="2" customFormat="1" ht="15" x14ac:dyDescent="0.25">
      <c r="F1144" s="22" t="str">
        <f>IF(sample_log!$C1144="", "", IF(sample_log!$C1144="Chapin", "chapin_mon", IF(sample_log!$C1144="Oatka", "oatka_mon", IF(sample_log!$C1144="Seneca", "seneca_mon", "one"))))</f>
        <v/>
      </c>
    </row>
    <row r="1145" spans="6:6" s="2" customFormat="1" ht="15" x14ac:dyDescent="0.25">
      <c r="F1145" s="22" t="str">
        <f>IF(sample_log!$C1145="", "", IF(sample_log!$C1145="Chapin", "chapin_mon", IF(sample_log!$C1145="Oatka", "oatka_mon", IF(sample_log!$C1145="Seneca", "seneca_mon", "one"))))</f>
        <v/>
      </c>
    </row>
    <row r="1146" spans="6:6" s="2" customFormat="1" ht="15" x14ac:dyDescent="0.25">
      <c r="F1146" s="22" t="str">
        <f>IF(sample_log!$C1146="", "", IF(sample_log!$C1146="Chapin", "chapin_mon", IF(sample_log!$C1146="Oatka", "oatka_mon", IF(sample_log!$C1146="Seneca", "seneca_mon", "one"))))</f>
        <v/>
      </c>
    </row>
    <row r="1147" spans="6:6" s="2" customFormat="1" ht="15" x14ac:dyDescent="0.25">
      <c r="F1147" s="22" t="str">
        <f>IF(sample_log!$C1147="", "", IF(sample_log!$C1147="Chapin", "chapin_mon", IF(sample_log!$C1147="Oatka", "oatka_mon", IF(sample_log!$C1147="Seneca", "seneca_mon", "one"))))</f>
        <v/>
      </c>
    </row>
    <row r="1148" spans="6:6" s="2" customFormat="1" ht="15" x14ac:dyDescent="0.25">
      <c r="F1148" s="22" t="str">
        <f>IF(sample_log!$C1148="", "", IF(sample_log!$C1148="Chapin", "chapin_mon", IF(sample_log!$C1148="Oatka", "oatka_mon", IF(sample_log!$C1148="Seneca", "seneca_mon", "one"))))</f>
        <v/>
      </c>
    </row>
    <row r="1149" spans="6:6" s="2" customFormat="1" ht="15" x14ac:dyDescent="0.25">
      <c r="F1149" s="22" t="str">
        <f>IF(sample_log!$C1149="", "", IF(sample_log!$C1149="Chapin", "chapin_mon", IF(sample_log!$C1149="Oatka", "oatka_mon", IF(sample_log!$C1149="Seneca", "seneca_mon", "one"))))</f>
        <v/>
      </c>
    </row>
    <row r="1150" spans="6:6" s="2" customFormat="1" ht="15" x14ac:dyDescent="0.25">
      <c r="F1150" s="22" t="str">
        <f>IF(sample_log!$C1150="", "", IF(sample_log!$C1150="Chapin", "chapin_mon", IF(sample_log!$C1150="Oatka", "oatka_mon", IF(sample_log!$C1150="Seneca", "seneca_mon", "one"))))</f>
        <v/>
      </c>
    </row>
    <row r="1151" spans="6:6" s="2" customFormat="1" ht="15" x14ac:dyDescent="0.25">
      <c r="F1151" s="22" t="str">
        <f>IF(sample_log!$C1151="", "", IF(sample_log!$C1151="Chapin", "chapin_mon", IF(sample_log!$C1151="Oatka", "oatka_mon", IF(sample_log!$C1151="Seneca", "seneca_mon", "one"))))</f>
        <v/>
      </c>
    </row>
    <row r="1152" spans="6:6" s="2" customFormat="1" ht="15" x14ac:dyDescent="0.25">
      <c r="F1152" s="22" t="str">
        <f>IF(sample_log!$C1152="", "", IF(sample_log!$C1152="Chapin", "chapin_mon", IF(sample_log!$C1152="Oatka", "oatka_mon", IF(sample_log!$C1152="Seneca", "seneca_mon", "one"))))</f>
        <v/>
      </c>
    </row>
    <row r="1153" spans="6:6" s="2" customFormat="1" ht="15" x14ac:dyDescent="0.25">
      <c r="F1153" s="22" t="str">
        <f>IF(sample_log!$C1153="", "", IF(sample_log!$C1153="Chapin", "chapin_mon", IF(sample_log!$C1153="Oatka", "oatka_mon", IF(sample_log!$C1153="Seneca", "seneca_mon", "one"))))</f>
        <v/>
      </c>
    </row>
    <row r="1154" spans="6:6" s="2" customFormat="1" ht="15" x14ac:dyDescent="0.25">
      <c r="F1154" s="22" t="str">
        <f>IF(sample_log!$C1154="", "", IF(sample_log!$C1154="Chapin", "chapin_mon", IF(sample_log!$C1154="Oatka", "oatka_mon", IF(sample_log!$C1154="Seneca", "seneca_mon", "one"))))</f>
        <v/>
      </c>
    </row>
    <row r="1155" spans="6:6" s="2" customFormat="1" ht="15" x14ac:dyDescent="0.25">
      <c r="F1155" s="22" t="str">
        <f>IF(sample_log!$C1155="", "", IF(sample_log!$C1155="Chapin", "chapin_mon", IF(sample_log!$C1155="Oatka", "oatka_mon", IF(sample_log!$C1155="Seneca", "seneca_mon", "one"))))</f>
        <v/>
      </c>
    </row>
    <row r="1156" spans="6:6" s="2" customFormat="1" ht="15" x14ac:dyDescent="0.25">
      <c r="F1156" s="22" t="str">
        <f>IF(sample_log!$C1156="", "", IF(sample_log!$C1156="Chapin", "chapin_mon", IF(sample_log!$C1156="Oatka", "oatka_mon", IF(sample_log!$C1156="Seneca", "seneca_mon", "one"))))</f>
        <v/>
      </c>
    </row>
    <row r="1157" spans="6:6" s="2" customFormat="1" ht="15" x14ac:dyDescent="0.25">
      <c r="F1157" s="22" t="str">
        <f>IF(sample_log!$C1157="", "", IF(sample_log!$C1157="Chapin", "chapin_mon", IF(sample_log!$C1157="Oatka", "oatka_mon", IF(sample_log!$C1157="Seneca", "seneca_mon", "one"))))</f>
        <v/>
      </c>
    </row>
    <row r="1158" spans="6:6" s="2" customFormat="1" ht="15" x14ac:dyDescent="0.25">
      <c r="F1158" s="22" t="str">
        <f>IF(sample_log!$C1158="", "", IF(sample_log!$C1158="Chapin", "chapin_mon", IF(sample_log!$C1158="Oatka", "oatka_mon", IF(sample_log!$C1158="Seneca", "seneca_mon", "one"))))</f>
        <v/>
      </c>
    </row>
    <row r="1159" spans="6:6" s="2" customFormat="1" ht="15" x14ac:dyDescent="0.25">
      <c r="F1159" s="22" t="str">
        <f>IF(sample_log!$C1159="", "", IF(sample_log!$C1159="Chapin", "chapin_mon", IF(sample_log!$C1159="Oatka", "oatka_mon", IF(sample_log!$C1159="Seneca", "seneca_mon", "one"))))</f>
        <v/>
      </c>
    </row>
    <row r="1160" spans="6:6" s="2" customFormat="1" ht="15" x14ac:dyDescent="0.25">
      <c r="F1160" s="22" t="str">
        <f>IF(sample_log!$C1160="", "", IF(sample_log!$C1160="Chapin", "chapin_mon", IF(sample_log!$C1160="Oatka", "oatka_mon", IF(sample_log!$C1160="Seneca", "seneca_mon", "one"))))</f>
        <v/>
      </c>
    </row>
    <row r="1161" spans="6:6" s="2" customFormat="1" ht="15" x14ac:dyDescent="0.25">
      <c r="F1161" s="22" t="str">
        <f>IF(sample_log!$C1161="", "", IF(sample_log!$C1161="Chapin", "chapin_mon", IF(sample_log!$C1161="Oatka", "oatka_mon", IF(sample_log!$C1161="Seneca", "seneca_mon", "one"))))</f>
        <v/>
      </c>
    </row>
    <row r="1162" spans="6:6" s="2" customFormat="1" ht="15" x14ac:dyDescent="0.25">
      <c r="F1162" s="22" t="str">
        <f>IF(sample_log!$C1162="", "", IF(sample_log!$C1162="Chapin", "chapin_mon", IF(sample_log!$C1162="Oatka", "oatka_mon", IF(sample_log!$C1162="Seneca", "seneca_mon", "one"))))</f>
        <v/>
      </c>
    </row>
    <row r="1163" spans="6:6" s="2" customFormat="1" ht="15" x14ac:dyDescent="0.25">
      <c r="F1163" s="22" t="str">
        <f>IF(sample_log!$C1163="", "", IF(sample_log!$C1163="Chapin", "chapin_mon", IF(sample_log!$C1163="Oatka", "oatka_mon", IF(sample_log!$C1163="Seneca", "seneca_mon", "one"))))</f>
        <v/>
      </c>
    </row>
    <row r="1164" spans="6:6" s="2" customFormat="1" ht="15" x14ac:dyDescent="0.25">
      <c r="F1164" s="22" t="str">
        <f>IF(sample_log!$C1164="", "", IF(sample_log!$C1164="Chapin", "chapin_mon", IF(sample_log!$C1164="Oatka", "oatka_mon", IF(sample_log!$C1164="Seneca", "seneca_mon", "one"))))</f>
        <v/>
      </c>
    </row>
    <row r="1165" spans="6:6" s="2" customFormat="1" ht="15" x14ac:dyDescent="0.25">
      <c r="F1165" s="22" t="str">
        <f>IF(sample_log!$C1165="", "", IF(sample_log!$C1165="Chapin", "chapin_mon", IF(sample_log!$C1165="Oatka", "oatka_mon", IF(sample_log!$C1165="Seneca", "seneca_mon", "one"))))</f>
        <v/>
      </c>
    </row>
    <row r="1166" spans="6:6" s="2" customFormat="1" ht="15" x14ac:dyDescent="0.25">
      <c r="F1166" s="22" t="str">
        <f>IF(sample_log!$C1166="", "", IF(sample_log!$C1166="Chapin", "chapin_mon", IF(sample_log!$C1166="Oatka", "oatka_mon", IF(sample_log!$C1166="Seneca", "seneca_mon", "one"))))</f>
        <v/>
      </c>
    </row>
    <row r="1167" spans="6:6" s="2" customFormat="1" ht="15" x14ac:dyDescent="0.25">
      <c r="F1167" s="22" t="str">
        <f>IF(sample_log!$C1167="", "", IF(sample_log!$C1167="Chapin", "chapin_mon", IF(sample_log!$C1167="Oatka", "oatka_mon", IF(sample_log!$C1167="Seneca", "seneca_mon", "one"))))</f>
        <v/>
      </c>
    </row>
    <row r="1168" spans="6:6" s="2" customFormat="1" ht="15" x14ac:dyDescent="0.25">
      <c r="F1168" s="22" t="str">
        <f>IF(sample_log!$C1168="", "", IF(sample_log!$C1168="Chapin", "chapin_mon", IF(sample_log!$C1168="Oatka", "oatka_mon", IF(sample_log!$C1168="Seneca", "seneca_mon", "one"))))</f>
        <v/>
      </c>
    </row>
    <row r="1169" spans="6:6" s="2" customFormat="1" ht="15" x14ac:dyDescent="0.25">
      <c r="F1169" s="22" t="str">
        <f>IF(sample_log!$C1169="", "", IF(sample_log!$C1169="Chapin", "chapin_mon", IF(sample_log!$C1169="Oatka", "oatka_mon", IF(sample_log!$C1169="Seneca", "seneca_mon", "one"))))</f>
        <v/>
      </c>
    </row>
    <row r="1170" spans="6:6" s="2" customFormat="1" ht="15" x14ac:dyDescent="0.25">
      <c r="F1170" s="22" t="str">
        <f>IF(sample_log!$C1170="", "", IF(sample_log!$C1170="Chapin", "chapin_mon", IF(sample_log!$C1170="Oatka", "oatka_mon", IF(sample_log!$C1170="Seneca", "seneca_mon", "one"))))</f>
        <v/>
      </c>
    </row>
    <row r="1171" spans="6:6" s="2" customFormat="1" ht="15" x14ac:dyDescent="0.25">
      <c r="F1171" s="22" t="str">
        <f>IF(sample_log!$C1171="", "", IF(sample_log!$C1171="Chapin", "chapin_mon", IF(sample_log!$C1171="Oatka", "oatka_mon", IF(sample_log!$C1171="Seneca", "seneca_mon", "one"))))</f>
        <v/>
      </c>
    </row>
    <row r="1172" spans="6:6" s="2" customFormat="1" ht="15" x14ac:dyDescent="0.25">
      <c r="F1172" s="22" t="str">
        <f>IF(sample_log!$C1172="", "", IF(sample_log!$C1172="Chapin", "chapin_mon", IF(sample_log!$C1172="Oatka", "oatka_mon", IF(sample_log!$C1172="Seneca", "seneca_mon", "one"))))</f>
        <v/>
      </c>
    </row>
    <row r="1173" spans="6:6" s="2" customFormat="1" ht="15" x14ac:dyDescent="0.25">
      <c r="F1173" s="22" t="str">
        <f>IF(sample_log!$C1173="", "", IF(sample_log!$C1173="Chapin", "chapin_mon", IF(sample_log!$C1173="Oatka", "oatka_mon", IF(sample_log!$C1173="Seneca", "seneca_mon", "one"))))</f>
        <v/>
      </c>
    </row>
    <row r="1174" spans="6:6" s="2" customFormat="1" ht="15" x14ac:dyDescent="0.25">
      <c r="F1174" s="22" t="str">
        <f>IF(sample_log!$C1174="", "", IF(sample_log!$C1174="Chapin", "chapin_mon", IF(sample_log!$C1174="Oatka", "oatka_mon", IF(sample_log!$C1174="Seneca", "seneca_mon", "one"))))</f>
        <v/>
      </c>
    </row>
    <row r="1175" spans="6:6" s="2" customFormat="1" ht="15" x14ac:dyDescent="0.25">
      <c r="F1175" s="22" t="str">
        <f>IF(sample_log!$C1175="", "", IF(sample_log!$C1175="Chapin", "chapin_mon", IF(sample_log!$C1175="Oatka", "oatka_mon", IF(sample_log!$C1175="Seneca", "seneca_mon", "one"))))</f>
        <v/>
      </c>
    </row>
    <row r="1176" spans="6:6" s="2" customFormat="1" ht="15" x14ac:dyDescent="0.25">
      <c r="F1176" s="22" t="str">
        <f>IF(sample_log!$C1176="", "", IF(sample_log!$C1176="Chapin", "chapin_mon", IF(sample_log!$C1176="Oatka", "oatka_mon", IF(sample_log!$C1176="Seneca", "seneca_mon", "one"))))</f>
        <v/>
      </c>
    </row>
    <row r="1177" spans="6:6" s="2" customFormat="1" ht="15" x14ac:dyDescent="0.25">
      <c r="F1177" s="22" t="str">
        <f>IF(sample_log!$C1177="", "", IF(sample_log!$C1177="Chapin", "chapin_mon", IF(sample_log!$C1177="Oatka", "oatka_mon", IF(sample_log!$C1177="Seneca", "seneca_mon", "one"))))</f>
        <v/>
      </c>
    </row>
    <row r="1178" spans="6:6" s="2" customFormat="1" ht="15" x14ac:dyDescent="0.25">
      <c r="F1178" s="22" t="str">
        <f>IF(sample_log!$C1178="", "", IF(sample_log!$C1178="Chapin", "chapin_mon", IF(sample_log!$C1178="Oatka", "oatka_mon", IF(sample_log!$C1178="Seneca", "seneca_mon", "one"))))</f>
        <v/>
      </c>
    </row>
    <row r="1179" spans="6:6" s="2" customFormat="1" ht="15" x14ac:dyDescent="0.25">
      <c r="F1179" s="22" t="str">
        <f>IF(sample_log!$C1179="", "", IF(sample_log!$C1179="Chapin", "chapin_mon", IF(sample_log!$C1179="Oatka", "oatka_mon", IF(sample_log!$C1179="Seneca", "seneca_mon", "one"))))</f>
        <v/>
      </c>
    </row>
    <row r="1180" spans="6:6" s="2" customFormat="1" ht="15" x14ac:dyDescent="0.25">
      <c r="F1180" s="22" t="str">
        <f>IF(sample_log!$C1180="", "", IF(sample_log!$C1180="Chapin", "chapin_mon", IF(sample_log!$C1180="Oatka", "oatka_mon", IF(sample_log!$C1180="Seneca", "seneca_mon", "one"))))</f>
        <v/>
      </c>
    </row>
    <row r="1181" spans="6:6" s="2" customFormat="1" ht="15" x14ac:dyDescent="0.25">
      <c r="F1181" s="22" t="str">
        <f>IF(sample_log!$C1181="", "", IF(sample_log!$C1181="Chapin", "chapin_mon", IF(sample_log!$C1181="Oatka", "oatka_mon", IF(sample_log!$C1181="Seneca", "seneca_mon", "one"))))</f>
        <v/>
      </c>
    </row>
    <row r="1182" spans="6:6" s="2" customFormat="1" ht="15" x14ac:dyDescent="0.25">
      <c r="F1182" s="22" t="str">
        <f>IF(sample_log!$C1182="", "", IF(sample_log!$C1182="Chapin", "chapin_mon", IF(sample_log!$C1182="Oatka", "oatka_mon", IF(sample_log!$C1182="Seneca", "seneca_mon", "one"))))</f>
        <v/>
      </c>
    </row>
    <row r="1183" spans="6:6" s="2" customFormat="1" ht="15" x14ac:dyDescent="0.25">
      <c r="F1183" s="22" t="str">
        <f>IF(sample_log!$C1183="", "", IF(sample_log!$C1183="Chapin", "chapin_mon", IF(sample_log!$C1183="Oatka", "oatka_mon", IF(sample_log!$C1183="Seneca", "seneca_mon", "one"))))</f>
        <v/>
      </c>
    </row>
    <row r="1184" spans="6:6" s="2" customFormat="1" ht="15" x14ac:dyDescent="0.25">
      <c r="F1184" s="22" t="str">
        <f>IF(sample_log!$C1184="", "", IF(sample_log!$C1184="Chapin", "chapin_mon", IF(sample_log!$C1184="Oatka", "oatka_mon", IF(sample_log!$C1184="Seneca", "seneca_mon", "one"))))</f>
        <v/>
      </c>
    </row>
    <row r="1185" spans="6:6" s="2" customFormat="1" ht="15" x14ac:dyDescent="0.25">
      <c r="F1185" s="22" t="str">
        <f>IF(sample_log!$C1185="", "", IF(sample_log!$C1185="Chapin", "chapin_mon", IF(sample_log!$C1185="Oatka", "oatka_mon", IF(sample_log!$C1185="Seneca", "seneca_mon", "one"))))</f>
        <v/>
      </c>
    </row>
    <row r="1186" spans="6:6" s="2" customFormat="1" ht="15" x14ac:dyDescent="0.25">
      <c r="F1186" s="22" t="str">
        <f>IF(sample_log!$C1186="", "", IF(sample_log!$C1186="Chapin", "chapin_mon", IF(sample_log!$C1186="Oatka", "oatka_mon", IF(sample_log!$C1186="Seneca", "seneca_mon", "one"))))</f>
        <v/>
      </c>
    </row>
    <row r="1187" spans="6:6" s="2" customFormat="1" ht="15" x14ac:dyDescent="0.25">
      <c r="F1187" s="22" t="str">
        <f>IF(sample_log!$C1187="", "", IF(sample_log!$C1187="Chapin", "chapin_mon", IF(sample_log!$C1187="Oatka", "oatka_mon", IF(sample_log!$C1187="Seneca", "seneca_mon", "one"))))</f>
        <v/>
      </c>
    </row>
    <row r="1188" spans="6:6" s="2" customFormat="1" ht="15" x14ac:dyDescent="0.25">
      <c r="F1188" s="22" t="str">
        <f>IF(sample_log!$C1188="", "", IF(sample_log!$C1188="Chapin", "chapin_mon", IF(sample_log!$C1188="Oatka", "oatka_mon", IF(sample_log!$C1188="Seneca", "seneca_mon", "one"))))</f>
        <v/>
      </c>
    </row>
    <row r="1189" spans="6:6" s="2" customFormat="1" ht="15" x14ac:dyDescent="0.25">
      <c r="F1189" s="22" t="str">
        <f>IF(sample_log!$C1189="", "", IF(sample_log!$C1189="Chapin", "chapin_mon", IF(sample_log!$C1189="Oatka", "oatka_mon", IF(sample_log!$C1189="Seneca", "seneca_mon", "one"))))</f>
        <v/>
      </c>
    </row>
    <row r="1190" spans="6:6" s="2" customFormat="1" ht="15" x14ac:dyDescent="0.25">
      <c r="F1190" s="22" t="str">
        <f>IF(sample_log!$C1190="", "", IF(sample_log!$C1190="Chapin", "chapin_mon", IF(sample_log!$C1190="Oatka", "oatka_mon", IF(sample_log!$C1190="Seneca", "seneca_mon", "one"))))</f>
        <v/>
      </c>
    </row>
    <row r="1191" spans="6:6" s="2" customFormat="1" ht="15" x14ac:dyDescent="0.25">
      <c r="F1191" s="22" t="str">
        <f>IF(sample_log!$C1191="", "", IF(sample_log!$C1191="Chapin", "chapin_mon", IF(sample_log!$C1191="Oatka", "oatka_mon", IF(sample_log!$C1191="Seneca", "seneca_mon", "one"))))</f>
        <v/>
      </c>
    </row>
    <row r="1192" spans="6:6" s="2" customFormat="1" ht="15" x14ac:dyDescent="0.25">
      <c r="F1192" s="22" t="str">
        <f>IF(sample_log!$C1192="", "", IF(sample_log!$C1192="Chapin", "chapin_mon", IF(sample_log!$C1192="Oatka", "oatka_mon", IF(sample_log!$C1192="Seneca", "seneca_mon", "one"))))</f>
        <v/>
      </c>
    </row>
    <row r="1193" spans="6:6" s="2" customFormat="1" ht="15" x14ac:dyDescent="0.25">
      <c r="F1193" s="22" t="str">
        <f>IF(sample_log!$C1193="", "", IF(sample_log!$C1193="Chapin", "chapin_mon", IF(sample_log!$C1193="Oatka", "oatka_mon", IF(sample_log!$C1193="Seneca", "seneca_mon", "one"))))</f>
        <v/>
      </c>
    </row>
    <row r="1194" spans="6:6" s="2" customFormat="1" ht="15" x14ac:dyDescent="0.25">
      <c r="F1194" s="22" t="str">
        <f>IF(sample_log!$C1194="", "", IF(sample_log!$C1194="Chapin", "chapin_mon", IF(sample_log!$C1194="Oatka", "oatka_mon", IF(sample_log!$C1194="Seneca", "seneca_mon", "one"))))</f>
        <v/>
      </c>
    </row>
    <row r="1195" spans="6:6" s="2" customFormat="1" ht="15" x14ac:dyDescent="0.25">
      <c r="F1195" s="22" t="str">
        <f>IF(sample_log!$C1195="", "", IF(sample_log!$C1195="Chapin", "chapin_mon", IF(sample_log!$C1195="Oatka", "oatka_mon", IF(sample_log!$C1195="Seneca", "seneca_mon", "one"))))</f>
        <v/>
      </c>
    </row>
    <row r="1196" spans="6:6" s="2" customFormat="1" ht="15" x14ac:dyDescent="0.25">
      <c r="F1196" s="22" t="str">
        <f>IF(sample_log!$C1196="", "", IF(sample_log!$C1196="Chapin", "chapin_mon", IF(sample_log!$C1196="Oatka", "oatka_mon", IF(sample_log!$C1196="Seneca", "seneca_mon", "one"))))</f>
        <v/>
      </c>
    </row>
    <row r="1197" spans="6:6" s="2" customFormat="1" ht="15" x14ac:dyDescent="0.25">
      <c r="F1197" s="22" t="str">
        <f>IF(sample_log!$C1197="", "", IF(sample_log!$C1197="Chapin", "chapin_mon", IF(sample_log!$C1197="Oatka", "oatka_mon", IF(sample_log!$C1197="Seneca", "seneca_mon", "one"))))</f>
        <v/>
      </c>
    </row>
    <row r="1198" spans="6:6" s="2" customFormat="1" ht="15" x14ac:dyDescent="0.25">
      <c r="F1198" s="22" t="str">
        <f>IF(sample_log!$C1198="", "", IF(sample_log!$C1198="Chapin", "chapin_mon", IF(sample_log!$C1198="Oatka", "oatka_mon", IF(sample_log!$C1198="Seneca", "seneca_mon", "one"))))</f>
        <v/>
      </c>
    </row>
    <row r="1199" spans="6:6" s="2" customFormat="1" ht="15" x14ac:dyDescent="0.25">
      <c r="F1199" s="22" t="str">
        <f>IF(sample_log!$C1199="", "", IF(sample_log!$C1199="Chapin", "chapin_mon", IF(sample_log!$C1199="Oatka", "oatka_mon", IF(sample_log!$C1199="Seneca", "seneca_mon", "one"))))</f>
        <v/>
      </c>
    </row>
    <row r="1200" spans="6:6" s="2" customFormat="1" ht="15" x14ac:dyDescent="0.25">
      <c r="F1200" s="22" t="str">
        <f>IF(sample_log!$C1200="", "", IF(sample_log!$C1200="Chapin", "chapin_mon", IF(sample_log!$C1200="Oatka", "oatka_mon", IF(sample_log!$C1200="Seneca", "seneca_mon", "one"))))</f>
        <v/>
      </c>
    </row>
    <row r="1201" spans="6:6" s="2" customFormat="1" ht="15" x14ac:dyDescent="0.25">
      <c r="F1201" s="22" t="str">
        <f>IF(sample_log!$C1201="", "", IF(sample_log!$C1201="Chapin", "chapin_mon", IF(sample_log!$C1201="Oatka", "oatka_mon", IF(sample_log!$C1201="Seneca", "seneca_mon", "one"))))</f>
        <v/>
      </c>
    </row>
    <row r="1202" spans="6:6" s="2" customFormat="1" ht="15" x14ac:dyDescent="0.25">
      <c r="F1202" s="22" t="str">
        <f>IF(sample_log!$C1202="", "", IF(sample_log!$C1202="Chapin", "chapin_mon", IF(sample_log!$C1202="Oatka", "oatka_mon", IF(sample_log!$C1202="Seneca", "seneca_mon", "one"))))</f>
        <v/>
      </c>
    </row>
    <row r="1203" spans="6:6" s="2" customFormat="1" ht="15" x14ac:dyDescent="0.25">
      <c r="F1203" s="22" t="str">
        <f>IF(sample_log!$C1203="", "", IF(sample_log!$C1203="Chapin", "chapin_mon", IF(sample_log!$C1203="Oatka", "oatka_mon", IF(sample_log!$C1203="Seneca", "seneca_mon", "one"))))</f>
        <v/>
      </c>
    </row>
    <row r="1204" spans="6:6" s="2" customFormat="1" ht="15" x14ac:dyDescent="0.25">
      <c r="F1204" s="22" t="str">
        <f>IF(sample_log!$C1204="", "", IF(sample_log!$C1204="Chapin", "chapin_mon", IF(sample_log!$C1204="Oatka", "oatka_mon", IF(sample_log!$C1204="Seneca", "seneca_mon", "one"))))</f>
        <v/>
      </c>
    </row>
    <row r="1205" spans="6:6" s="2" customFormat="1" ht="15" x14ac:dyDescent="0.25">
      <c r="F1205" s="22" t="str">
        <f>IF(sample_log!$C1205="", "", IF(sample_log!$C1205="Chapin", "chapin_mon", IF(sample_log!$C1205="Oatka", "oatka_mon", IF(sample_log!$C1205="Seneca", "seneca_mon", "one"))))</f>
        <v/>
      </c>
    </row>
    <row r="1206" spans="6:6" s="2" customFormat="1" ht="15" x14ac:dyDescent="0.25">
      <c r="F1206" s="22" t="str">
        <f>IF(sample_log!$C1206="", "", IF(sample_log!$C1206="Chapin", "chapin_mon", IF(sample_log!$C1206="Oatka", "oatka_mon", IF(sample_log!$C1206="Seneca", "seneca_mon", "one"))))</f>
        <v/>
      </c>
    </row>
    <row r="1207" spans="6:6" s="2" customFormat="1" ht="15" x14ac:dyDescent="0.25">
      <c r="F1207" s="22" t="str">
        <f>IF(sample_log!$C1207="", "", IF(sample_log!$C1207="Chapin", "chapin_mon", IF(sample_log!$C1207="Oatka", "oatka_mon", IF(sample_log!$C1207="Seneca", "seneca_mon", "one"))))</f>
        <v/>
      </c>
    </row>
    <row r="1208" spans="6:6" s="2" customFormat="1" ht="15" x14ac:dyDescent="0.25">
      <c r="F1208" s="22" t="str">
        <f>IF(sample_log!$C1208="", "", IF(sample_log!$C1208="Chapin", "chapin_mon", IF(sample_log!$C1208="Oatka", "oatka_mon", IF(sample_log!$C1208="Seneca", "seneca_mon", "one"))))</f>
        <v/>
      </c>
    </row>
    <row r="1209" spans="6:6" s="2" customFormat="1" ht="15" x14ac:dyDescent="0.25">
      <c r="F1209" s="22" t="str">
        <f>IF(sample_log!$C1209="", "", IF(sample_log!$C1209="Chapin", "chapin_mon", IF(sample_log!$C1209="Oatka", "oatka_mon", IF(sample_log!$C1209="Seneca", "seneca_mon", "one"))))</f>
        <v/>
      </c>
    </row>
    <row r="1210" spans="6:6" s="2" customFormat="1" ht="15" x14ac:dyDescent="0.25">
      <c r="F1210" s="22" t="str">
        <f>IF(sample_log!$C1210="", "", IF(sample_log!$C1210="Chapin", "chapin_mon", IF(sample_log!$C1210="Oatka", "oatka_mon", IF(sample_log!$C1210="Seneca", "seneca_mon", "one"))))</f>
        <v/>
      </c>
    </row>
    <row r="1211" spans="6:6" s="2" customFormat="1" ht="15" x14ac:dyDescent="0.25">
      <c r="F1211" s="22" t="str">
        <f>IF(sample_log!$C1211="", "", IF(sample_log!$C1211="Chapin", "chapin_mon", IF(sample_log!$C1211="Oatka", "oatka_mon", IF(sample_log!$C1211="Seneca", "seneca_mon", "one"))))</f>
        <v/>
      </c>
    </row>
    <row r="1212" spans="6:6" s="2" customFormat="1" ht="15" x14ac:dyDescent="0.25">
      <c r="F1212" s="22" t="str">
        <f>IF(sample_log!$C1212="", "", IF(sample_log!$C1212="Chapin", "chapin_mon", IF(sample_log!$C1212="Oatka", "oatka_mon", IF(sample_log!$C1212="Seneca", "seneca_mon", "one"))))</f>
        <v/>
      </c>
    </row>
    <row r="1213" spans="6:6" s="2" customFormat="1" ht="15" x14ac:dyDescent="0.25">
      <c r="F1213" s="22" t="str">
        <f>IF(sample_log!$C1213="", "", IF(sample_log!$C1213="Chapin", "chapin_mon", IF(sample_log!$C1213="Oatka", "oatka_mon", IF(sample_log!$C1213="Seneca", "seneca_mon", "one"))))</f>
        <v/>
      </c>
    </row>
    <row r="1214" spans="6:6" s="2" customFormat="1" ht="15" x14ac:dyDescent="0.25">
      <c r="F1214" s="22" t="str">
        <f>IF(sample_log!$C1214="", "", IF(sample_log!$C1214="Chapin", "chapin_mon", IF(sample_log!$C1214="Oatka", "oatka_mon", IF(sample_log!$C1214="Seneca", "seneca_mon", "one"))))</f>
        <v/>
      </c>
    </row>
    <row r="1215" spans="6:6" s="2" customFormat="1" ht="15" x14ac:dyDescent="0.25">
      <c r="F1215" s="22" t="str">
        <f>IF(sample_log!$C1215="", "", IF(sample_log!$C1215="Chapin", "chapin_mon", IF(sample_log!$C1215="Oatka", "oatka_mon", IF(sample_log!$C1215="Seneca", "seneca_mon", "one"))))</f>
        <v/>
      </c>
    </row>
    <row r="1216" spans="6:6" s="2" customFormat="1" ht="15" x14ac:dyDescent="0.25">
      <c r="F1216" s="22" t="str">
        <f>IF(sample_log!$C1216="", "", IF(sample_log!$C1216="Chapin", "chapin_mon", IF(sample_log!$C1216="Oatka", "oatka_mon", IF(sample_log!$C1216="Seneca", "seneca_mon", "one"))))</f>
        <v/>
      </c>
    </row>
    <row r="1217" spans="6:6" s="2" customFormat="1" ht="15" x14ac:dyDescent="0.25">
      <c r="F1217" s="22" t="str">
        <f>IF(sample_log!$C1217="", "", IF(sample_log!$C1217="Chapin", "chapin_mon", IF(sample_log!$C1217="Oatka", "oatka_mon", IF(sample_log!$C1217="Seneca", "seneca_mon", "one"))))</f>
        <v/>
      </c>
    </row>
    <row r="1218" spans="6:6" s="2" customFormat="1" ht="15" x14ac:dyDescent="0.25">
      <c r="F1218" s="22" t="str">
        <f>IF(sample_log!$C1218="", "", IF(sample_log!$C1218="Chapin", "chapin_mon", IF(sample_log!$C1218="Oatka", "oatka_mon", IF(sample_log!$C1218="Seneca", "seneca_mon", "one"))))</f>
        <v/>
      </c>
    </row>
    <row r="1219" spans="6:6" s="2" customFormat="1" ht="15" x14ac:dyDescent="0.25">
      <c r="F1219" s="22" t="str">
        <f>IF(sample_log!$C1219="", "", IF(sample_log!$C1219="Chapin", "chapin_mon", IF(sample_log!$C1219="Oatka", "oatka_mon", IF(sample_log!$C1219="Seneca", "seneca_mon", "one"))))</f>
        <v/>
      </c>
    </row>
    <row r="1220" spans="6:6" s="2" customFormat="1" ht="15" x14ac:dyDescent="0.25">
      <c r="F1220" s="22" t="str">
        <f>IF(sample_log!$C1220="", "", IF(sample_log!$C1220="Chapin", "chapin_mon", IF(sample_log!$C1220="Oatka", "oatka_mon", IF(sample_log!$C1220="Seneca", "seneca_mon", "one"))))</f>
        <v/>
      </c>
    </row>
    <row r="1221" spans="6:6" s="2" customFormat="1" ht="15" x14ac:dyDescent="0.25">
      <c r="F1221" s="22" t="str">
        <f>IF(sample_log!$C1221="", "", IF(sample_log!$C1221="Chapin", "chapin_mon", IF(sample_log!$C1221="Oatka", "oatka_mon", IF(sample_log!$C1221="Seneca", "seneca_mon", "one"))))</f>
        <v/>
      </c>
    </row>
    <row r="1222" spans="6:6" s="2" customFormat="1" ht="15" x14ac:dyDescent="0.25">
      <c r="F1222" s="22" t="str">
        <f>IF(sample_log!$C1222="", "", IF(sample_log!$C1222="Chapin", "chapin_mon", IF(sample_log!$C1222="Oatka", "oatka_mon", IF(sample_log!$C1222="Seneca", "seneca_mon", "one"))))</f>
        <v/>
      </c>
    </row>
    <row r="1223" spans="6:6" s="2" customFormat="1" ht="15" x14ac:dyDescent="0.25">
      <c r="F1223" s="22" t="str">
        <f>IF(sample_log!$C1223="", "", IF(sample_log!$C1223="Chapin", "chapin_mon", IF(sample_log!$C1223="Oatka", "oatka_mon", IF(sample_log!$C1223="Seneca", "seneca_mon", "one"))))</f>
        <v/>
      </c>
    </row>
    <row r="1224" spans="6:6" s="2" customFormat="1" ht="15" x14ac:dyDescent="0.25">
      <c r="F1224" s="22" t="str">
        <f>IF(sample_log!$C1224="", "", IF(sample_log!$C1224="Chapin", "chapin_mon", IF(sample_log!$C1224="Oatka", "oatka_mon", IF(sample_log!$C1224="Seneca", "seneca_mon", "one"))))</f>
        <v/>
      </c>
    </row>
    <row r="1225" spans="6:6" s="2" customFormat="1" ht="15" x14ac:dyDescent="0.25">
      <c r="F1225" s="22" t="str">
        <f>IF(sample_log!$C1225="", "", IF(sample_log!$C1225="Chapin", "chapin_mon", IF(sample_log!$C1225="Oatka", "oatka_mon", IF(sample_log!$C1225="Seneca", "seneca_mon", "one"))))</f>
        <v/>
      </c>
    </row>
    <row r="1226" spans="6:6" s="2" customFormat="1" ht="15" x14ac:dyDescent="0.25">
      <c r="F1226" s="22" t="str">
        <f>IF(sample_log!$C1226="", "", IF(sample_log!$C1226="Chapin", "chapin_mon", IF(sample_log!$C1226="Oatka", "oatka_mon", IF(sample_log!$C1226="Seneca", "seneca_mon", "one"))))</f>
        <v/>
      </c>
    </row>
    <row r="1227" spans="6:6" s="2" customFormat="1" ht="15" x14ac:dyDescent="0.25">
      <c r="F1227" s="22" t="str">
        <f>IF(sample_log!$C1227="", "", IF(sample_log!$C1227="Chapin", "chapin_mon", IF(sample_log!$C1227="Oatka", "oatka_mon", IF(sample_log!$C1227="Seneca", "seneca_mon", "one"))))</f>
        <v/>
      </c>
    </row>
    <row r="1228" spans="6:6" s="2" customFormat="1" ht="15" x14ac:dyDescent="0.25">
      <c r="F1228" s="22" t="str">
        <f>IF(sample_log!$C1228="", "", IF(sample_log!$C1228="Chapin", "chapin_mon", IF(sample_log!$C1228="Oatka", "oatka_mon", IF(sample_log!$C1228="Seneca", "seneca_mon", "one"))))</f>
        <v/>
      </c>
    </row>
    <row r="1229" spans="6:6" s="2" customFormat="1" ht="15" x14ac:dyDescent="0.25">
      <c r="F1229" s="22" t="str">
        <f>IF(sample_log!$C1229="", "", IF(sample_log!$C1229="Chapin", "chapin_mon", IF(sample_log!$C1229="Oatka", "oatka_mon", IF(sample_log!$C1229="Seneca", "seneca_mon", "one"))))</f>
        <v/>
      </c>
    </row>
    <row r="1230" spans="6:6" s="2" customFormat="1" ht="15" x14ac:dyDescent="0.25">
      <c r="F1230" s="22" t="str">
        <f>IF(sample_log!$C1230="", "", IF(sample_log!$C1230="Chapin", "chapin_mon", IF(sample_log!$C1230="Oatka", "oatka_mon", IF(sample_log!$C1230="Seneca", "seneca_mon", "one"))))</f>
        <v/>
      </c>
    </row>
    <row r="1231" spans="6:6" s="2" customFormat="1" ht="15" x14ac:dyDescent="0.25">
      <c r="F1231" s="22" t="str">
        <f>IF(sample_log!$C1231="", "", IF(sample_log!$C1231="Chapin", "chapin_mon", IF(sample_log!$C1231="Oatka", "oatka_mon", IF(sample_log!$C1231="Seneca", "seneca_mon", "one"))))</f>
        <v/>
      </c>
    </row>
    <row r="1232" spans="6:6" s="2" customFormat="1" ht="15" x14ac:dyDescent="0.25">
      <c r="F1232" s="22" t="str">
        <f>IF(sample_log!$C1232="", "", IF(sample_log!$C1232="Chapin", "chapin_mon", IF(sample_log!$C1232="Oatka", "oatka_mon", IF(sample_log!$C1232="Seneca", "seneca_mon", "one"))))</f>
        <v/>
      </c>
    </row>
    <row r="1233" spans="6:6" s="2" customFormat="1" ht="15" x14ac:dyDescent="0.25">
      <c r="F1233" s="22" t="str">
        <f>IF(sample_log!$C1233="", "", IF(sample_log!$C1233="Chapin", "chapin_mon", IF(sample_log!$C1233="Oatka", "oatka_mon", IF(sample_log!$C1233="Seneca", "seneca_mon", "one"))))</f>
        <v/>
      </c>
    </row>
    <row r="1234" spans="6:6" s="2" customFormat="1" ht="15" x14ac:dyDescent="0.25">
      <c r="F1234" s="22" t="str">
        <f>IF(sample_log!$C1234="", "", IF(sample_log!$C1234="Chapin", "chapin_mon", IF(sample_log!$C1234="Oatka", "oatka_mon", IF(sample_log!$C1234="Seneca", "seneca_mon", "one"))))</f>
        <v/>
      </c>
    </row>
    <row r="1235" spans="6:6" s="2" customFormat="1" ht="15" x14ac:dyDescent="0.25">
      <c r="F1235" s="22" t="str">
        <f>IF(sample_log!$C1235="", "", IF(sample_log!$C1235="Chapin", "chapin_mon", IF(sample_log!$C1235="Oatka", "oatka_mon", IF(sample_log!$C1235="Seneca", "seneca_mon", "one"))))</f>
        <v/>
      </c>
    </row>
    <row r="1236" spans="6:6" s="2" customFormat="1" ht="15" x14ac:dyDescent="0.25">
      <c r="F1236" s="22" t="str">
        <f>IF(sample_log!$C1236="", "", IF(sample_log!$C1236="Chapin", "chapin_mon", IF(sample_log!$C1236="Oatka", "oatka_mon", IF(sample_log!$C1236="Seneca", "seneca_mon", "one"))))</f>
        <v/>
      </c>
    </row>
    <row r="1237" spans="6:6" s="2" customFormat="1" ht="15" x14ac:dyDescent="0.25">
      <c r="F1237" s="22" t="str">
        <f>IF(sample_log!$C1237="", "", IF(sample_log!$C1237="Chapin", "chapin_mon", IF(sample_log!$C1237="Oatka", "oatka_mon", IF(sample_log!$C1237="Seneca", "seneca_mon", "one"))))</f>
        <v/>
      </c>
    </row>
    <row r="1238" spans="6:6" s="2" customFormat="1" ht="15" x14ac:dyDescent="0.25">
      <c r="F1238" s="22" t="str">
        <f>IF(sample_log!$C1238="", "", IF(sample_log!$C1238="Chapin", "chapin_mon", IF(sample_log!$C1238="Oatka", "oatka_mon", IF(sample_log!$C1238="Seneca", "seneca_mon", "one"))))</f>
        <v/>
      </c>
    </row>
    <row r="1239" spans="6:6" s="2" customFormat="1" ht="15" x14ac:dyDescent="0.25">
      <c r="F1239" s="22" t="str">
        <f>IF(sample_log!$C1239="", "", IF(sample_log!$C1239="Chapin", "chapin_mon", IF(sample_log!$C1239="Oatka", "oatka_mon", IF(sample_log!$C1239="Seneca", "seneca_mon", "one"))))</f>
        <v/>
      </c>
    </row>
    <row r="1240" spans="6:6" s="2" customFormat="1" ht="15" x14ac:dyDescent="0.25">
      <c r="F1240" s="22" t="str">
        <f>IF(sample_log!$C1240="", "", IF(sample_log!$C1240="Chapin", "chapin_mon", IF(sample_log!$C1240="Oatka", "oatka_mon", IF(sample_log!$C1240="Seneca", "seneca_mon", "one"))))</f>
        <v/>
      </c>
    </row>
    <row r="1241" spans="6:6" s="2" customFormat="1" ht="15" x14ac:dyDescent="0.25">
      <c r="F1241" s="22" t="str">
        <f>IF(sample_log!$C1241="", "", IF(sample_log!$C1241="Chapin", "chapin_mon", IF(sample_log!$C1241="Oatka", "oatka_mon", IF(sample_log!$C1241="Seneca", "seneca_mon", "one"))))</f>
        <v/>
      </c>
    </row>
    <row r="1242" spans="6:6" s="2" customFormat="1" ht="15" x14ac:dyDescent="0.25">
      <c r="F1242" s="22" t="str">
        <f>IF(sample_log!$C1242="", "", IF(sample_log!$C1242="Chapin", "chapin_mon", IF(sample_log!$C1242="Oatka", "oatka_mon", IF(sample_log!$C1242="Seneca", "seneca_mon", "one"))))</f>
        <v/>
      </c>
    </row>
    <row r="1243" spans="6:6" s="2" customFormat="1" ht="15" x14ac:dyDescent="0.25">
      <c r="F1243" s="22" t="str">
        <f>IF(sample_log!$C1243="", "", IF(sample_log!$C1243="Chapin", "chapin_mon", IF(sample_log!$C1243="Oatka", "oatka_mon", IF(sample_log!$C1243="Seneca", "seneca_mon", "one"))))</f>
        <v/>
      </c>
    </row>
    <row r="1244" spans="6:6" s="2" customFormat="1" ht="15" x14ac:dyDescent="0.25">
      <c r="F1244" s="22" t="str">
        <f>IF(sample_log!$C1244="", "", IF(sample_log!$C1244="Chapin", "chapin_mon", IF(sample_log!$C1244="Oatka", "oatka_mon", IF(sample_log!$C1244="Seneca", "seneca_mon", "one"))))</f>
        <v/>
      </c>
    </row>
    <row r="1245" spans="6:6" s="2" customFormat="1" ht="15" x14ac:dyDescent="0.25">
      <c r="F1245" s="22" t="str">
        <f>IF(sample_log!$C1245="", "", IF(sample_log!$C1245="Chapin", "chapin_mon", IF(sample_log!$C1245="Oatka", "oatka_mon", IF(sample_log!$C1245="Seneca", "seneca_mon", "one"))))</f>
        <v/>
      </c>
    </row>
    <row r="1246" spans="6:6" s="2" customFormat="1" ht="15" x14ac:dyDescent="0.25">
      <c r="F1246" s="22" t="str">
        <f>IF(sample_log!$C1246="", "", IF(sample_log!$C1246="Chapin", "chapin_mon", IF(sample_log!$C1246="Oatka", "oatka_mon", IF(sample_log!$C1246="Seneca", "seneca_mon", "one"))))</f>
        <v/>
      </c>
    </row>
    <row r="1247" spans="6:6" s="2" customFormat="1" ht="15" x14ac:dyDescent="0.25">
      <c r="F1247" s="22" t="str">
        <f>IF(sample_log!$C1247="", "", IF(sample_log!$C1247="Chapin", "chapin_mon", IF(sample_log!$C1247="Oatka", "oatka_mon", IF(sample_log!$C1247="Seneca", "seneca_mon", "one"))))</f>
        <v/>
      </c>
    </row>
    <row r="1248" spans="6:6" s="2" customFormat="1" ht="15" x14ac:dyDescent="0.25">
      <c r="F1248" s="22" t="str">
        <f>IF(sample_log!$C1248="", "", IF(sample_log!$C1248="Chapin", "chapin_mon", IF(sample_log!$C1248="Oatka", "oatka_mon", IF(sample_log!$C1248="Seneca", "seneca_mon", "one"))))</f>
        <v/>
      </c>
    </row>
    <row r="1249" spans="6:6" s="2" customFormat="1" ht="15" x14ac:dyDescent="0.25">
      <c r="F1249" s="22" t="str">
        <f>IF(sample_log!$C1249="", "", IF(sample_log!$C1249="Chapin", "chapin_mon", IF(sample_log!$C1249="Oatka", "oatka_mon", IF(sample_log!$C1249="Seneca", "seneca_mon", "one"))))</f>
        <v/>
      </c>
    </row>
    <row r="1250" spans="6:6" s="2" customFormat="1" ht="15" x14ac:dyDescent="0.25">
      <c r="F1250" s="22" t="str">
        <f>IF(sample_log!$C1250="", "", IF(sample_log!$C1250="Chapin", "chapin_mon", IF(sample_log!$C1250="Oatka", "oatka_mon", IF(sample_log!$C1250="Seneca", "seneca_mon", "one"))))</f>
        <v/>
      </c>
    </row>
    <row r="1251" spans="6:6" s="2" customFormat="1" ht="15" x14ac:dyDescent="0.25">
      <c r="F1251" s="22" t="str">
        <f>IF(sample_log!$C1251="", "", IF(sample_log!$C1251="Chapin", "chapin_mon", IF(sample_log!$C1251="Oatka", "oatka_mon", IF(sample_log!$C1251="Seneca", "seneca_mon", "one"))))</f>
        <v/>
      </c>
    </row>
    <row r="1252" spans="6:6" s="2" customFormat="1" ht="15" x14ac:dyDescent="0.25">
      <c r="F1252" s="22" t="str">
        <f>IF(sample_log!$C1252="", "", IF(sample_log!$C1252="Chapin", "chapin_mon", IF(sample_log!$C1252="Oatka", "oatka_mon", IF(sample_log!$C1252="Seneca", "seneca_mon", "one"))))</f>
        <v/>
      </c>
    </row>
    <row r="1253" spans="6:6" s="2" customFormat="1" ht="15" x14ac:dyDescent="0.25">
      <c r="F1253" s="22" t="str">
        <f>IF(sample_log!$C1253="", "", IF(sample_log!$C1253="Chapin", "chapin_mon", IF(sample_log!$C1253="Oatka", "oatka_mon", IF(sample_log!$C1253="Seneca", "seneca_mon", "one"))))</f>
        <v/>
      </c>
    </row>
    <row r="1254" spans="6:6" s="2" customFormat="1" ht="15" x14ac:dyDescent="0.25">
      <c r="F1254" s="22" t="str">
        <f>IF(sample_log!$C1254="", "", IF(sample_log!$C1254="Chapin", "chapin_mon", IF(sample_log!$C1254="Oatka", "oatka_mon", IF(sample_log!$C1254="Seneca", "seneca_mon", "one"))))</f>
        <v/>
      </c>
    </row>
    <row r="1255" spans="6:6" s="2" customFormat="1" ht="15" x14ac:dyDescent="0.25">
      <c r="F1255" s="22" t="str">
        <f>IF(sample_log!$C1255="", "", IF(sample_log!$C1255="Chapin", "chapin_mon", IF(sample_log!$C1255="Oatka", "oatka_mon", IF(sample_log!$C1255="Seneca", "seneca_mon", "one"))))</f>
        <v/>
      </c>
    </row>
    <row r="1256" spans="6:6" s="2" customFormat="1" ht="15" x14ac:dyDescent="0.25">
      <c r="F1256" s="22" t="str">
        <f>IF(sample_log!$C1256="", "", IF(sample_log!$C1256="Chapin", "chapin_mon", IF(sample_log!$C1256="Oatka", "oatka_mon", IF(sample_log!$C1256="Seneca", "seneca_mon", "one"))))</f>
        <v/>
      </c>
    </row>
    <row r="1257" spans="6:6" s="2" customFormat="1" ht="15" x14ac:dyDescent="0.25">
      <c r="F1257" s="22" t="str">
        <f>IF(sample_log!$C1257="", "", IF(sample_log!$C1257="Chapin", "chapin_mon", IF(sample_log!$C1257="Oatka", "oatka_mon", IF(sample_log!$C1257="Seneca", "seneca_mon", "one"))))</f>
        <v/>
      </c>
    </row>
    <row r="1258" spans="6:6" s="2" customFormat="1" ht="15" x14ac:dyDescent="0.25">
      <c r="F1258" s="22" t="str">
        <f>IF(sample_log!$C1258="", "", IF(sample_log!$C1258="Chapin", "chapin_mon", IF(sample_log!$C1258="Oatka", "oatka_mon", IF(sample_log!$C1258="Seneca", "seneca_mon", "one"))))</f>
        <v/>
      </c>
    </row>
    <row r="1259" spans="6:6" s="2" customFormat="1" ht="15" x14ac:dyDescent="0.25">
      <c r="F1259" s="22" t="str">
        <f>IF(sample_log!$C1259="", "", IF(sample_log!$C1259="Chapin", "chapin_mon", IF(sample_log!$C1259="Oatka", "oatka_mon", IF(sample_log!$C1259="Seneca", "seneca_mon", "one"))))</f>
        <v/>
      </c>
    </row>
    <row r="1260" spans="6:6" s="2" customFormat="1" ht="15" x14ac:dyDescent="0.25">
      <c r="F1260" s="22" t="str">
        <f>IF(sample_log!$C1260="", "", IF(sample_log!$C1260="Chapin", "chapin_mon", IF(sample_log!$C1260="Oatka", "oatka_mon", IF(sample_log!$C1260="Seneca", "seneca_mon", "one"))))</f>
        <v/>
      </c>
    </row>
    <row r="1261" spans="6:6" s="2" customFormat="1" ht="15" x14ac:dyDescent="0.25">
      <c r="F1261" s="22" t="str">
        <f>IF(sample_log!$C1261="", "", IF(sample_log!$C1261="Chapin", "chapin_mon", IF(sample_log!$C1261="Oatka", "oatka_mon", IF(sample_log!$C1261="Seneca", "seneca_mon", "one"))))</f>
        <v/>
      </c>
    </row>
    <row r="1262" spans="6:6" s="2" customFormat="1" ht="15" x14ac:dyDescent="0.25">
      <c r="F1262" s="22" t="str">
        <f>IF(sample_log!$C1262="", "", IF(sample_log!$C1262="Chapin", "chapin_mon", IF(sample_log!$C1262="Oatka", "oatka_mon", IF(sample_log!$C1262="Seneca", "seneca_mon", "one"))))</f>
        <v/>
      </c>
    </row>
    <row r="1263" spans="6:6" s="2" customFormat="1" ht="15" x14ac:dyDescent="0.25">
      <c r="F1263" s="22" t="str">
        <f>IF(sample_log!$C1263="", "", IF(sample_log!$C1263="Chapin", "chapin_mon", IF(sample_log!$C1263="Oatka", "oatka_mon", IF(sample_log!$C1263="Seneca", "seneca_mon", "one"))))</f>
        <v/>
      </c>
    </row>
    <row r="1264" spans="6:6" s="2" customFormat="1" ht="15" x14ac:dyDescent="0.25">
      <c r="F1264" s="22" t="str">
        <f>IF(sample_log!$C1264="", "", IF(sample_log!$C1264="Chapin", "chapin_mon", IF(sample_log!$C1264="Oatka", "oatka_mon", IF(sample_log!$C1264="Seneca", "seneca_mon", "one"))))</f>
        <v/>
      </c>
    </row>
    <row r="1265" spans="6:6" s="2" customFormat="1" ht="15" x14ac:dyDescent="0.25">
      <c r="F1265" s="22" t="str">
        <f>IF(sample_log!$C1265="", "", IF(sample_log!$C1265="Chapin", "chapin_mon", IF(sample_log!$C1265="Oatka", "oatka_mon", IF(sample_log!$C1265="Seneca", "seneca_mon", "one"))))</f>
        <v/>
      </c>
    </row>
    <row r="1266" spans="6:6" s="2" customFormat="1" ht="15" x14ac:dyDescent="0.25">
      <c r="F1266" s="22" t="str">
        <f>IF(sample_log!$C1266="", "", IF(sample_log!$C1266="Chapin", "chapin_mon", IF(sample_log!$C1266="Oatka", "oatka_mon", IF(sample_log!$C1266="Seneca", "seneca_mon", "one"))))</f>
        <v/>
      </c>
    </row>
    <row r="1267" spans="6:6" s="2" customFormat="1" ht="15" x14ac:dyDescent="0.25">
      <c r="F1267" s="22" t="str">
        <f>IF(sample_log!$C1267="", "", IF(sample_log!$C1267="Chapin", "chapin_mon", IF(sample_log!$C1267="Oatka", "oatka_mon", IF(sample_log!$C1267="Seneca", "seneca_mon", "one"))))</f>
        <v/>
      </c>
    </row>
    <row r="1268" spans="6:6" s="2" customFormat="1" ht="15" x14ac:dyDescent="0.25">
      <c r="F1268" s="22" t="str">
        <f>IF(sample_log!$C1268="", "", IF(sample_log!$C1268="Chapin", "chapin_mon", IF(sample_log!$C1268="Oatka", "oatka_mon", IF(sample_log!$C1268="Seneca", "seneca_mon", "one"))))</f>
        <v/>
      </c>
    </row>
    <row r="1269" spans="6:6" s="2" customFormat="1" ht="15" x14ac:dyDescent="0.25">
      <c r="F1269" s="22" t="str">
        <f>IF(sample_log!$C1269="", "", IF(sample_log!$C1269="Chapin", "chapin_mon", IF(sample_log!$C1269="Oatka", "oatka_mon", IF(sample_log!$C1269="Seneca", "seneca_mon", "one"))))</f>
        <v/>
      </c>
    </row>
    <row r="1270" spans="6:6" s="2" customFormat="1" ht="15" x14ac:dyDescent="0.25">
      <c r="F1270" s="22" t="str">
        <f>IF(sample_log!$C1270="", "", IF(sample_log!$C1270="Chapin", "chapin_mon", IF(sample_log!$C1270="Oatka", "oatka_mon", IF(sample_log!$C1270="Seneca", "seneca_mon", "one"))))</f>
        <v/>
      </c>
    </row>
    <row r="1271" spans="6:6" s="2" customFormat="1" ht="15" x14ac:dyDescent="0.25">
      <c r="F1271" s="22" t="str">
        <f>IF(sample_log!$C1271="", "", IF(sample_log!$C1271="Chapin", "chapin_mon", IF(sample_log!$C1271="Oatka", "oatka_mon", IF(sample_log!$C1271="Seneca", "seneca_mon", "one"))))</f>
        <v/>
      </c>
    </row>
    <row r="1272" spans="6:6" s="2" customFormat="1" ht="15" x14ac:dyDescent="0.25">
      <c r="F1272" s="22" t="str">
        <f>IF(sample_log!$C1272="", "", IF(sample_log!$C1272="Chapin", "chapin_mon", IF(sample_log!$C1272="Oatka", "oatka_mon", IF(sample_log!$C1272="Seneca", "seneca_mon", "one"))))</f>
        <v/>
      </c>
    </row>
    <row r="1273" spans="6:6" s="2" customFormat="1" ht="15" x14ac:dyDescent="0.25">
      <c r="F1273" s="22" t="str">
        <f>IF(sample_log!$C1273="", "", IF(sample_log!$C1273="Chapin", "chapin_mon", IF(sample_log!$C1273="Oatka", "oatka_mon", IF(sample_log!$C1273="Seneca", "seneca_mon", "one"))))</f>
        <v/>
      </c>
    </row>
    <row r="1274" spans="6:6" s="2" customFormat="1" ht="15" x14ac:dyDescent="0.25">
      <c r="F1274" s="22" t="str">
        <f>IF(sample_log!$C1274="", "", IF(sample_log!$C1274="Chapin", "chapin_mon", IF(sample_log!$C1274="Oatka", "oatka_mon", IF(sample_log!$C1274="Seneca", "seneca_mon", "one"))))</f>
        <v/>
      </c>
    </row>
    <row r="1275" spans="6:6" s="2" customFormat="1" ht="15" x14ac:dyDescent="0.25">
      <c r="F1275" s="22" t="str">
        <f>IF(sample_log!$C1275="", "", IF(sample_log!$C1275="Chapin", "chapin_mon", IF(sample_log!$C1275="Oatka", "oatka_mon", IF(sample_log!$C1275="Seneca", "seneca_mon", "one"))))</f>
        <v/>
      </c>
    </row>
    <row r="1276" spans="6:6" s="2" customFormat="1" ht="15" x14ac:dyDescent="0.25">
      <c r="F1276" s="22" t="str">
        <f>IF(sample_log!$C1276="", "", IF(sample_log!$C1276="Chapin", "chapin_mon", IF(sample_log!$C1276="Oatka", "oatka_mon", IF(sample_log!$C1276="Seneca", "seneca_mon", "one"))))</f>
        <v/>
      </c>
    </row>
    <row r="1277" spans="6:6" s="2" customFormat="1" ht="15" x14ac:dyDescent="0.25">
      <c r="F1277" s="22" t="str">
        <f>IF(sample_log!$C1277="", "", IF(sample_log!$C1277="Chapin", "chapin_mon", IF(sample_log!$C1277="Oatka", "oatka_mon", IF(sample_log!$C1277="Seneca", "seneca_mon", "one"))))</f>
        <v/>
      </c>
    </row>
    <row r="1278" spans="6:6" s="2" customFormat="1" ht="15" x14ac:dyDescent="0.25">
      <c r="F1278" s="22" t="str">
        <f>IF(sample_log!$C1278="", "", IF(sample_log!$C1278="Chapin", "chapin_mon", IF(sample_log!$C1278="Oatka", "oatka_mon", IF(sample_log!$C1278="Seneca", "seneca_mon", "one"))))</f>
        <v/>
      </c>
    </row>
    <row r="1279" spans="6:6" s="2" customFormat="1" ht="15" x14ac:dyDescent="0.25">
      <c r="F1279" s="22" t="str">
        <f>IF(sample_log!$C1279="", "", IF(sample_log!$C1279="Chapin", "chapin_mon", IF(sample_log!$C1279="Oatka", "oatka_mon", IF(sample_log!$C1279="Seneca", "seneca_mon", "one"))))</f>
        <v/>
      </c>
    </row>
    <row r="1280" spans="6:6" s="2" customFormat="1" ht="15" x14ac:dyDescent="0.25">
      <c r="F1280" s="22" t="str">
        <f>IF(sample_log!$C1280="", "", IF(sample_log!$C1280="Chapin", "chapin_mon", IF(sample_log!$C1280="Oatka", "oatka_mon", IF(sample_log!$C1280="Seneca", "seneca_mon", "one"))))</f>
        <v/>
      </c>
    </row>
    <row r="1281" spans="6:6" s="2" customFormat="1" ht="15" x14ac:dyDescent="0.25">
      <c r="F1281" s="22" t="str">
        <f>IF(sample_log!$C1281="", "", IF(sample_log!$C1281="Chapin", "chapin_mon", IF(sample_log!$C1281="Oatka", "oatka_mon", IF(sample_log!$C1281="Seneca", "seneca_mon", "one"))))</f>
        <v/>
      </c>
    </row>
    <row r="1282" spans="6:6" s="2" customFormat="1" ht="15" x14ac:dyDescent="0.25">
      <c r="F1282" s="22" t="str">
        <f>IF(sample_log!$C1282="", "", IF(sample_log!$C1282="Chapin", "chapin_mon", IF(sample_log!$C1282="Oatka", "oatka_mon", IF(sample_log!$C1282="Seneca", "seneca_mon", "one"))))</f>
        <v/>
      </c>
    </row>
    <row r="1283" spans="6:6" s="2" customFormat="1" ht="15" x14ac:dyDescent="0.25">
      <c r="F1283" s="22" t="str">
        <f>IF(sample_log!$C1283="", "", IF(sample_log!$C1283="Chapin", "chapin_mon", IF(sample_log!$C1283="Oatka", "oatka_mon", IF(sample_log!$C1283="Seneca", "seneca_mon", "one"))))</f>
        <v/>
      </c>
    </row>
    <row r="1284" spans="6:6" s="2" customFormat="1" ht="15" x14ac:dyDescent="0.25">
      <c r="F1284" s="22" t="str">
        <f>IF(sample_log!$C1284="", "", IF(sample_log!$C1284="Chapin", "chapin_mon", IF(sample_log!$C1284="Oatka", "oatka_mon", IF(sample_log!$C1284="Seneca", "seneca_mon", "one"))))</f>
        <v/>
      </c>
    </row>
    <row r="1285" spans="6:6" s="2" customFormat="1" ht="15" x14ac:dyDescent="0.25">
      <c r="F1285" s="22" t="str">
        <f>IF(sample_log!$C1285="", "", IF(sample_log!$C1285="Chapin", "chapin_mon", IF(sample_log!$C1285="Oatka", "oatka_mon", IF(sample_log!$C1285="Seneca", "seneca_mon", "one"))))</f>
        <v/>
      </c>
    </row>
    <row r="1286" spans="6:6" s="2" customFormat="1" ht="15" x14ac:dyDescent="0.25">
      <c r="F1286" s="22" t="str">
        <f>IF(sample_log!$C1286="", "", IF(sample_log!$C1286="Chapin", "chapin_mon", IF(sample_log!$C1286="Oatka", "oatka_mon", IF(sample_log!$C1286="Seneca", "seneca_mon", "one"))))</f>
        <v/>
      </c>
    </row>
    <row r="1287" spans="6:6" s="2" customFormat="1" ht="15" x14ac:dyDescent="0.25">
      <c r="F1287" s="22" t="str">
        <f>IF(sample_log!$C1287="", "", IF(sample_log!$C1287="Chapin", "chapin_mon", IF(sample_log!$C1287="Oatka", "oatka_mon", IF(sample_log!$C1287="Seneca", "seneca_mon", "one"))))</f>
        <v/>
      </c>
    </row>
    <row r="1288" spans="6:6" s="2" customFormat="1" ht="15" x14ac:dyDescent="0.25">
      <c r="F1288" s="22" t="str">
        <f>IF(sample_log!$C1288="", "", IF(sample_log!$C1288="Chapin", "chapin_mon", IF(sample_log!$C1288="Oatka", "oatka_mon", IF(sample_log!$C1288="Seneca", "seneca_mon", "one"))))</f>
        <v/>
      </c>
    </row>
    <row r="1289" spans="6:6" s="2" customFormat="1" ht="15" x14ac:dyDescent="0.25">
      <c r="F1289" s="22" t="str">
        <f>IF(sample_log!$C1289="", "", IF(sample_log!$C1289="Chapin", "chapin_mon", IF(sample_log!$C1289="Oatka", "oatka_mon", IF(sample_log!$C1289="Seneca", "seneca_mon", "one"))))</f>
        <v/>
      </c>
    </row>
    <row r="1290" spans="6:6" s="2" customFormat="1" ht="15" x14ac:dyDescent="0.25">
      <c r="F1290" s="22" t="str">
        <f>IF(sample_log!$C1290="", "", IF(sample_log!$C1290="Chapin", "chapin_mon", IF(sample_log!$C1290="Oatka", "oatka_mon", IF(sample_log!$C1290="Seneca", "seneca_mon", "one"))))</f>
        <v/>
      </c>
    </row>
    <row r="1291" spans="6:6" s="2" customFormat="1" ht="15" x14ac:dyDescent="0.25">
      <c r="F1291" s="22" t="str">
        <f>IF(sample_log!$C1291="", "", IF(sample_log!$C1291="Chapin", "chapin_mon", IF(sample_log!$C1291="Oatka", "oatka_mon", IF(sample_log!$C1291="Seneca", "seneca_mon", "one"))))</f>
        <v/>
      </c>
    </row>
    <row r="1292" spans="6:6" s="2" customFormat="1" ht="15" x14ac:dyDescent="0.25">
      <c r="F1292" s="22" t="str">
        <f>IF(sample_log!$C1292="", "", IF(sample_log!$C1292="Chapin", "chapin_mon", IF(sample_log!$C1292="Oatka", "oatka_mon", IF(sample_log!$C1292="Seneca", "seneca_mon", "one"))))</f>
        <v/>
      </c>
    </row>
    <row r="1293" spans="6:6" s="2" customFormat="1" ht="15" x14ac:dyDescent="0.25">
      <c r="F1293" s="22" t="str">
        <f>IF(sample_log!$C1293="", "", IF(sample_log!$C1293="Chapin", "chapin_mon", IF(sample_log!$C1293="Oatka", "oatka_mon", IF(sample_log!$C1293="Seneca", "seneca_mon", "one"))))</f>
        <v/>
      </c>
    </row>
    <row r="1294" spans="6:6" s="2" customFormat="1" ht="15" x14ac:dyDescent="0.25">
      <c r="F1294" s="22" t="str">
        <f>IF(sample_log!$C1294="", "", IF(sample_log!$C1294="Chapin", "chapin_mon", IF(sample_log!$C1294="Oatka", "oatka_mon", IF(sample_log!$C1294="Seneca", "seneca_mon", "one"))))</f>
        <v/>
      </c>
    </row>
    <row r="1295" spans="6:6" s="2" customFormat="1" ht="15" x14ac:dyDescent="0.25">
      <c r="F1295" s="22" t="str">
        <f>IF(sample_log!$C1295="", "", IF(sample_log!$C1295="Chapin", "chapin_mon", IF(sample_log!$C1295="Oatka", "oatka_mon", IF(sample_log!$C1295="Seneca", "seneca_mon", "one"))))</f>
        <v/>
      </c>
    </row>
    <row r="1296" spans="6:6" s="2" customFormat="1" ht="15" x14ac:dyDescent="0.25">
      <c r="F1296" s="22" t="str">
        <f>IF(sample_log!$C1296="", "", IF(sample_log!$C1296="Chapin", "chapin_mon", IF(sample_log!$C1296="Oatka", "oatka_mon", IF(sample_log!$C1296="Seneca", "seneca_mon", "one"))))</f>
        <v/>
      </c>
    </row>
    <row r="1297" spans="6:6" s="2" customFormat="1" ht="15" x14ac:dyDescent="0.25">
      <c r="F1297" s="22" t="str">
        <f>IF(sample_log!$C1297="", "", IF(sample_log!$C1297="Chapin", "chapin_mon", IF(sample_log!$C1297="Oatka", "oatka_mon", IF(sample_log!$C1297="Seneca", "seneca_mon", "one"))))</f>
        <v/>
      </c>
    </row>
    <row r="1298" spans="6:6" s="2" customFormat="1" ht="15" x14ac:dyDescent="0.25">
      <c r="F1298" s="22" t="str">
        <f>IF(sample_log!$C1298="", "", IF(sample_log!$C1298="Chapin", "chapin_mon", IF(sample_log!$C1298="Oatka", "oatka_mon", IF(sample_log!$C1298="Seneca", "seneca_mon", "one"))))</f>
        <v/>
      </c>
    </row>
    <row r="1299" spans="6:6" s="2" customFormat="1" ht="15" x14ac:dyDescent="0.25">
      <c r="F1299" s="22" t="str">
        <f>IF(sample_log!$C1299="", "", IF(sample_log!$C1299="Chapin", "chapin_mon", IF(sample_log!$C1299="Oatka", "oatka_mon", IF(sample_log!$C1299="Seneca", "seneca_mon", "one"))))</f>
        <v/>
      </c>
    </row>
    <row r="1300" spans="6:6" s="2" customFormat="1" ht="15" x14ac:dyDescent="0.25">
      <c r="F1300" s="22" t="str">
        <f>IF(sample_log!$C1300="", "", IF(sample_log!$C1300="Chapin", "chapin_mon", IF(sample_log!$C1300="Oatka", "oatka_mon", IF(sample_log!$C1300="Seneca", "seneca_mon", "one"))))</f>
        <v/>
      </c>
    </row>
    <row r="1301" spans="6:6" s="2" customFormat="1" ht="15" x14ac:dyDescent="0.25">
      <c r="F1301" s="22" t="str">
        <f>IF(sample_log!$C1301="", "", IF(sample_log!$C1301="Chapin", "chapin_mon", IF(sample_log!$C1301="Oatka", "oatka_mon", IF(sample_log!$C1301="Seneca", "seneca_mon", "one"))))</f>
        <v/>
      </c>
    </row>
    <row r="1302" spans="6:6" s="2" customFormat="1" ht="15" x14ac:dyDescent="0.25">
      <c r="F1302" s="22" t="str">
        <f>IF(sample_log!$C1302="", "", IF(sample_log!$C1302="Chapin", "chapin_mon", IF(sample_log!$C1302="Oatka", "oatka_mon", IF(sample_log!$C1302="Seneca", "seneca_mon", "one"))))</f>
        <v/>
      </c>
    </row>
    <row r="1303" spans="6:6" s="2" customFormat="1" ht="15" x14ac:dyDescent="0.25">
      <c r="F1303" s="22" t="str">
        <f>IF(sample_log!$C1303="", "", IF(sample_log!$C1303="Chapin", "chapin_mon", IF(sample_log!$C1303="Oatka", "oatka_mon", IF(sample_log!$C1303="Seneca", "seneca_mon", "one"))))</f>
        <v/>
      </c>
    </row>
    <row r="1304" spans="6:6" s="2" customFormat="1" ht="15" x14ac:dyDescent="0.25">
      <c r="F1304" s="22" t="str">
        <f>IF(sample_log!$C1304="", "", IF(sample_log!$C1304="Chapin", "chapin_mon", IF(sample_log!$C1304="Oatka", "oatka_mon", IF(sample_log!$C1304="Seneca", "seneca_mon", "one"))))</f>
        <v/>
      </c>
    </row>
    <row r="1305" spans="6:6" s="2" customFormat="1" ht="15" x14ac:dyDescent="0.25">
      <c r="F1305" s="22" t="str">
        <f>IF(sample_log!$C1305="", "", IF(sample_log!$C1305="Chapin", "chapin_mon", IF(sample_log!$C1305="Oatka", "oatka_mon", IF(sample_log!$C1305="Seneca", "seneca_mon", "one"))))</f>
        <v/>
      </c>
    </row>
    <row r="1306" spans="6:6" s="2" customFormat="1" ht="15" x14ac:dyDescent="0.25">
      <c r="F1306" s="22" t="str">
        <f>IF(sample_log!$C1306="", "", IF(sample_log!$C1306="Chapin", "chapin_mon", IF(sample_log!$C1306="Oatka", "oatka_mon", IF(sample_log!$C1306="Seneca", "seneca_mon", "one"))))</f>
        <v/>
      </c>
    </row>
    <row r="1307" spans="6:6" s="2" customFormat="1" ht="15" x14ac:dyDescent="0.25">
      <c r="F1307" s="22" t="str">
        <f>IF(sample_log!$C1307="", "", IF(sample_log!$C1307="Chapin", "chapin_mon", IF(sample_log!$C1307="Oatka", "oatka_mon", IF(sample_log!$C1307="Seneca", "seneca_mon", "one"))))</f>
        <v/>
      </c>
    </row>
    <row r="1308" spans="6:6" s="2" customFormat="1" ht="15" x14ac:dyDescent="0.25">
      <c r="F1308" s="22" t="str">
        <f>IF(sample_log!$C1308="", "", IF(sample_log!$C1308="Chapin", "chapin_mon", IF(sample_log!$C1308="Oatka", "oatka_mon", IF(sample_log!$C1308="Seneca", "seneca_mon", "one"))))</f>
        <v/>
      </c>
    </row>
    <row r="1309" spans="6:6" s="2" customFormat="1" ht="15" x14ac:dyDescent="0.25">
      <c r="F1309" s="22" t="str">
        <f>IF(sample_log!$C1309="", "", IF(sample_log!$C1309="Chapin", "chapin_mon", IF(sample_log!$C1309="Oatka", "oatka_mon", IF(sample_log!$C1309="Seneca", "seneca_mon", "one"))))</f>
        <v/>
      </c>
    </row>
    <row r="1310" spans="6:6" s="2" customFormat="1" ht="15" x14ac:dyDescent="0.25">
      <c r="F1310" s="22" t="str">
        <f>IF(sample_log!$C1310="", "", IF(sample_log!$C1310="Chapin", "chapin_mon", IF(sample_log!$C1310="Oatka", "oatka_mon", IF(sample_log!$C1310="Seneca", "seneca_mon", "one"))))</f>
        <v/>
      </c>
    </row>
    <row r="1311" spans="6:6" s="2" customFormat="1" ht="15" x14ac:dyDescent="0.25">
      <c r="F1311" s="22" t="str">
        <f>IF(sample_log!$C1311="", "", IF(sample_log!$C1311="Chapin", "chapin_mon", IF(sample_log!$C1311="Oatka", "oatka_mon", IF(sample_log!$C1311="Seneca", "seneca_mon", "one"))))</f>
        <v/>
      </c>
    </row>
    <row r="1312" spans="6:6" s="2" customFormat="1" ht="15" x14ac:dyDescent="0.25">
      <c r="F1312" s="22" t="str">
        <f>IF(sample_log!$C1312="", "", IF(sample_log!$C1312="Chapin", "chapin_mon", IF(sample_log!$C1312="Oatka", "oatka_mon", IF(sample_log!$C1312="Seneca", "seneca_mon", "one"))))</f>
        <v/>
      </c>
    </row>
    <row r="1313" spans="6:6" s="2" customFormat="1" ht="15" x14ac:dyDescent="0.25">
      <c r="F1313" s="22" t="str">
        <f>IF(sample_log!$C1313="", "", IF(sample_log!$C1313="Chapin", "chapin_mon", IF(sample_log!$C1313="Oatka", "oatka_mon", IF(sample_log!$C1313="Seneca", "seneca_mon", "one"))))</f>
        <v/>
      </c>
    </row>
    <row r="1314" spans="6:6" s="2" customFormat="1" ht="15" x14ac:dyDescent="0.25">
      <c r="F1314" s="22" t="str">
        <f>IF(sample_log!$C1314="", "", IF(sample_log!$C1314="Chapin", "chapin_mon", IF(sample_log!$C1314="Oatka", "oatka_mon", IF(sample_log!$C1314="Seneca", "seneca_mon", "one"))))</f>
        <v/>
      </c>
    </row>
    <row r="1315" spans="6:6" s="2" customFormat="1" ht="15" x14ac:dyDescent="0.25">
      <c r="F1315" s="22" t="str">
        <f>IF(sample_log!$C1315="", "", IF(sample_log!$C1315="Chapin", "chapin_mon", IF(sample_log!$C1315="Oatka", "oatka_mon", IF(sample_log!$C1315="Seneca", "seneca_mon", "one"))))</f>
        <v/>
      </c>
    </row>
    <row r="1316" spans="6:6" s="2" customFormat="1" ht="15" x14ac:dyDescent="0.25">
      <c r="F1316" s="22" t="str">
        <f>IF(sample_log!$C1316="", "", IF(sample_log!$C1316="Chapin", "chapin_mon", IF(sample_log!$C1316="Oatka", "oatka_mon", IF(sample_log!$C1316="Seneca", "seneca_mon", "one"))))</f>
        <v/>
      </c>
    </row>
    <row r="1317" spans="6:6" s="2" customFormat="1" ht="15" x14ac:dyDescent="0.25">
      <c r="F1317" s="22" t="str">
        <f>IF(sample_log!$C1317="", "", IF(sample_log!$C1317="Chapin", "chapin_mon", IF(sample_log!$C1317="Oatka", "oatka_mon", IF(sample_log!$C1317="Seneca", "seneca_mon", "one"))))</f>
        <v/>
      </c>
    </row>
    <row r="1318" spans="6:6" s="2" customFormat="1" ht="15" x14ac:dyDescent="0.25">
      <c r="F1318" s="22" t="str">
        <f>IF(sample_log!$C1318="", "", IF(sample_log!$C1318="Chapin", "chapin_mon", IF(sample_log!$C1318="Oatka", "oatka_mon", IF(sample_log!$C1318="Seneca", "seneca_mon", "one"))))</f>
        <v/>
      </c>
    </row>
    <row r="1319" spans="6:6" s="2" customFormat="1" ht="15" x14ac:dyDescent="0.25">
      <c r="F1319" s="22" t="str">
        <f>IF(sample_log!$C1319="", "", IF(sample_log!$C1319="Chapin", "chapin_mon", IF(sample_log!$C1319="Oatka", "oatka_mon", IF(sample_log!$C1319="Seneca", "seneca_mon", "one"))))</f>
        <v/>
      </c>
    </row>
    <row r="1320" spans="6:6" s="2" customFormat="1" ht="15" x14ac:dyDescent="0.25">
      <c r="F1320" s="22" t="str">
        <f>IF(sample_log!$C1320="", "", IF(sample_log!$C1320="Chapin", "chapin_mon", IF(sample_log!$C1320="Oatka", "oatka_mon", IF(sample_log!$C1320="Seneca", "seneca_mon", "one"))))</f>
        <v/>
      </c>
    </row>
    <row r="1321" spans="6:6" s="2" customFormat="1" ht="15" x14ac:dyDescent="0.25">
      <c r="F1321" s="22" t="str">
        <f>IF(sample_log!$C1321="", "", IF(sample_log!$C1321="Chapin", "chapin_mon", IF(sample_log!$C1321="Oatka", "oatka_mon", IF(sample_log!$C1321="Seneca", "seneca_mon", "one"))))</f>
        <v/>
      </c>
    </row>
    <row r="1322" spans="6:6" s="2" customFormat="1" ht="15" x14ac:dyDescent="0.25">
      <c r="F1322" s="22" t="str">
        <f>IF(sample_log!$C1322="", "", IF(sample_log!$C1322="Chapin", "chapin_mon", IF(sample_log!$C1322="Oatka", "oatka_mon", IF(sample_log!$C1322="Seneca", "seneca_mon", "one"))))</f>
        <v/>
      </c>
    </row>
    <row r="1323" spans="6:6" s="2" customFormat="1" ht="15" x14ac:dyDescent="0.25">
      <c r="F1323" s="22" t="str">
        <f>IF(sample_log!$C1323="", "", IF(sample_log!$C1323="Chapin", "chapin_mon", IF(sample_log!$C1323="Oatka", "oatka_mon", IF(sample_log!$C1323="Seneca", "seneca_mon", "one"))))</f>
        <v/>
      </c>
    </row>
    <row r="1324" spans="6:6" s="2" customFormat="1" ht="15" x14ac:dyDescent="0.25">
      <c r="F1324" s="22" t="str">
        <f>IF(sample_log!$C1324="", "", IF(sample_log!$C1324="Chapin", "chapin_mon", IF(sample_log!$C1324="Oatka", "oatka_mon", IF(sample_log!$C1324="Seneca", "seneca_mon", "one"))))</f>
        <v/>
      </c>
    </row>
    <row r="1325" spans="6:6" s="2" customFormat="1" ht="15" x14ac:dyDescent="0.25">
      <c r="F1325" s="22" t="str">
        <f>IF(sample_log!$C1325="", "", IF(sample_log!$C1325="Chapin", "chapin_mon", IF(sample_log!$C1325="Oatka", "oatka_mon", IF(sample_log!$C1325="Seneca", "seneca_mon", "one"))))</f>
        <v/>
      </c>
    </row>
    <row r="1326" spans="6:6" s="2" customFormat="1" ht="15" x14ac:dyDescent="0.25">
      <c r="F1326" s="22" t="str">
        <f>IF(sample_log!$C1326="", "", IF(sample_log!$C1326="Chapin", "chapin_mon", IF(sample_log!$C1326="Oatka", "oatka_mon", IF(sample_log!$C1326="Seneca", "seneca_mon", "one"))))</f>
        <v/>
      </c>
    </row>
    <row r="1327" spans="6:6" s="2" customFormat="1" ht="15" x14ac:dyDescent="0.25">
      <c r="F1327" s="22" t="str">
        <f>IF(sample_log!$C1327="", "", IF(sample_log!$C1327="Chapin", "chapin_mon", IF(sample_log!$C1327="Oatka", "oatka_mon", IF(sample_log!$C1327="Seneca", "seneca_mon", "one"))))</f>
        <v/>
      </c>
    </row>
    <row r="1328" spans="6:6" s="2" customFormat="1" ht="15" x14ac:dyDescent="0.25">
      <c r="F1328" s="22" t="str">
        <f>IF(sample_log!$C1328="", "", IF(sample_log!$C1328="Chapin", "chapin_mon", IF(sample_log!$C1328="Oatka", "oatka_mon", IF(sample_log!$C1328="Seneca", "seneca_mon", "one"))))</f>
        <v/>
      </c>
    </row>
    <row r="1329" spans="6:6" s="2" customFormat="1" ht="15" x14ac:dyDescent="0.25">
      <c r="F1329" s="22" t="str">
        <f>IF(sample_log!$C1329="", "", IF(sample_log!$C1329="Chapin", "chapin_mon", IF(sample_log!$C1329="Oatka", "oatka_mon", IF(sample_log!$C1329="Seneca", "seneca_mon", "one"))))</f>
        <v/>
      </c>
    </row>
    <row r="1330" spans="6:6" s="2" customFormat="1" ht="15" x14ac:dyDescent="0.25">
      <c r="F1330" s="22" t="str">
        <f>IF(sample_log!$C1330="", "", IF(sample_log!$C1330="Chapin", "chapin_mon", IF(sample_log!$C1330="Oatka", "oatka_mon", IF(sample_log!$C1330="Seneca", "seneca_mon", "one"))))</f>
        <v/>
      </c>
    </row>
    <row r="1331" spans="6:6" s="2" customFormat="1" ht="15" x14ac:dyDescent="0.25">
      <c r="F1331" s="22" t="str">
        <f>IF(sample_log!$C1331="", "", IF(sample_log!$C1331="Chapin", "chapin_mon", IF(sample_log!$C1331="Oatka", "oatka_mon", IF(sample_log!$C1331="Seneca", "seneca_mon", "one"))))</f>
        <v/>
      </c>
    </row>
    <row r="1332" spans="6:6" s="2" customFormat="1" ht="15" x14ac:dyDescent="0.25">
      <c r="F1332" s="22" t="str">
        <f>IF(sample_log!$C1332="", "", IF(sample_log!$C1332="Chapin", "chapin_mon", IF(sample_log!$C1332="Oatka", "oatka_mon", IF(sample_log!$C1332="Seneca", "seneca_mon", "one"))))</f>
        <v/>
      </c>
    </row>
    <row r="1333" spans="6:6" s="2" customFormat="1" ht="15" x14ac:dyDescent="0.25">
      <c r="F1333" s="22" t="str">
        <f>IF(sample_log!$C1333="", "", IF(sample_log!$C1333="Chapin", "chapin_mon", IF(sample_log!$C1333="Oatka", "oatka_mon", IF(sample_log!$C1333="Seneca", "seneca_mon", "one"))))</f>
        <v/>
      </c>
    </row>
    <row r="1334" spans="6:6" s="2" customFormat="1" ht="15" x14ac:dyDescent="0.25">
      <c r="F1334" s="22" t="str">
        <f>IF(sample_log!$C1334="", "", IF(sample_log!$C1334="Chapin", "chapin_mon", IF(sample_log!$C1334="Oatka", "oatka_mon", IF(sample_log!$C1334="Seneca", "seneca_mon", "one"))))</f>
        <v/>
      </c>
    </row>
    <row r="1335" spans="6:6" s="2" customFormat="1" ht="15" x14ac:dyDescent="0.25">
      <c r="F1335" s="22" t="str">
        <f>IF(sample_log!$C1335="", "", IF(sample_log!$C1335="Chapin", "chapin_mon", IF(sample_log!$C1335="Oatka", "oatka_mon", IF(sample_log!$C1335="Seneca", "seneca_mon", "one"))))</f>
        <v/>
      </c>
    </row>
    <row r="1336" spans="6:6" s="2" customFormat="1" ht="15" x14ac:dyDescent="0.25">
      <c r="F1336" s="22" t="str">
        <f>IF(sample_log!$C1336="", "", IF(sample_log!$C1336="Chapin", "chapin_mon", IF(sample_log!$C1336="Oatka", "oatka_mon", IF(sample_log!$C1336="Seneca", "seneca_mon", "one"))))</f>
        <v/>
      </c>
    </row>
    <row r="1337" spans="6:6" s="2" customFormat="1" ht="15" x14ac:dyDescent="0.25">
      <c r="F1337" s="22" t="str">
        <f>IF(sample_log!$C1337="", "", IF(sample_log!$C1337="Chapin", "chapin_mon", IF(sample_log!$C1337="Oatka", "oatka_mon", IF(sample_log!$C1337="Seneca", "seneca_mon", "one"))))</f>
        <v/>
      </c>
    </row>
    <row r="1338" spans="6:6" s="2" customFormat="1" ht="15" x14ac:dyDescent="0.25">
      <c r="F1338" s="22" t="str">
        <f>IF(sample_log!$C1338="", "", IF(sample_log!$C1338="Chapin", "chapin_mon", IF(sample_log!$C1338="Oatka", "oatka_mon", IF(sample_log!$C1338="Seneca", "seneca_mon", "one"))))</f>
        <v/>
      </c>
    </row>
    <row r="1339" spans="6:6" s="2" customFormat="1" ht="15" x14ac:dyDescent="0.25">
      <c r="F1339" s="22" t="str">
        <f>IF(sample_log!$C1339="", "", IF(sample_log!$C1339="Chapin", "chapin_mon", IF(sample_log!$C1339="Oatka", "oatka_mon", IF(sample_log!$C1339="Seneca", "seneca_mon", "one"))))</f>
        <v/>
      </c>
    </row>
    <row r="1340" spans="6:6" s="2" customFormat="1" ht="15" x14ac:dyDescent="0.25">
      <c r="F1340" s="22" t="str">
        <f>IF(sample_log!$C1340="", "", IF(sample_log!$C1340="Chapin", "chapin_mon", IF(sample_log!$C1340="Oatka", "oatka_mon", IF(sample_log!$C1340="Seneca", "seneca_mon", "one"))))</f>
        <v/>
      </c>
    </row>
    <row r="1341" spans="6:6" s="2" customFormat="1" ht="15" x14ac:dyDescent="0.25">
      <c r="F1341" s="22" t="str">
        <f>IF(sample_log!$C1341="", "", IF(sample_log!$C1341="Chapin", "chapin_mon", IF(sample_log!$C1341="Oatka", "oatka_mon", IF(sample_log!$C1341="Seneca", "seneca_mon", "one"))))</f>
        <v/>
      </c>
    </row>
    <row r="1342" spans="6:6" s="2" customFormat="1" ht="15" x14ac:dyDescent="0.25">
      <c r="F1342" s="22" t="str">
        <f>IF(sample_log!$C1342="", "", IF(sample_log!$C1342="Chapin", "chapin_mon", IF(sample_log!$C1342="Oatka", "oatka_mon", IF(sample_log!$C1342="Seneca", "seneca_mon", "one"))))</f>
        <v/>
      </c>
    </row>
    <row r="1343" spans="6:6" s="2" customFormat="1" ht="15" x14ac:dyDescent="0.25">
      <c r="F1343" s="22" t="str">
        <f>IF(sample_log!$C1343="", "", IF(sample_log!$C1343="Chapin", "chapin_mon", IF(sample_log!$C1343="Oatka", "oatka_mon", IF(sample_log!$C1343="Seneca", "seneca_mon", "one"))))</f>
        <v/>
      </c>
    </row>
    <row r="1344" spans="6:6" s="2" customFormat="1" ht="15" x14ac:dyDescent="0.25">
      <c r="F1344" s="22" t="str">
        <f>IF(sample_log!$C1344="", "", IF(sample_log!$C1344="Chapin", "chapin_mon", IF(sample_log!$C1344="Oatka", "oatka_mon", IF(sample_log!$C1344="Seneca", "seneca_mon", "one"))))</f>
        <v/>
      </c>
    </row>
    <row r="1345" spans="6:6" s="2" customFormat="1" ht="15" x14ac:dyDescent="0.25">
      <c r="F1345" s="22" t="str">
        <f>IF(sample_log!$C1345="", "", IF(sample_log!$C1345="Chapin", "chapin_mon", IF(sample_log!$C1345="Oatka", "oatka_mon", IF(sample_log!$C1345="Seneca", "seneca_mon", "one"))))</f>
        <v/>
      </c>
    </row>
    <row r="1346" spans="6:6" s="2" customFormat="1" ht="15" x14ac:dyDescent="0.25">
      <c r="F1346" s="22" t="str">
        <f>IF(sample_log!$C1346="", "", IF(sample_log!$C1346="Chapin", "chapin_mon", IF(sample_log!$C1346="Oatka", "oatka_mon", IF(sample_log!$C1346="Seneca", "seneca_mon", "one"))))</f>
        <v/>
      </c>
    </row>
    <row r="1347" spans="6:6" s="2" customFormat="1" ht="15" x14ac:dyDescent="0.25">
      <c r="F1347" s="22" t="str">
        <f>IF(sample_log!$C1347="", "", IF(sample_log!$C1347="Chapin", "chapin_mon", IF(sample_log!$C1347="Oatka", "oatka_mon", IF(sample_log!$C1347="Seneca", "seneca_mon", "one"))))</f>
        <v/>
      </c>
    </row>
    <row r="1348" spans="6:6" s="2" customFormat="1" ht="15" x14ac:dyDescent="0.25">
      <c r="F1348" s="22" t="str">
        <f>IF(sample_log!$C1348="", "", IF(sample_log!$C1348="Chapin", "chapin_mon", IF(sample_log!$C1348="Oatka", "oatka_mon", IF(sample_log!$C1348="Seneca", "seneca_mon", "one"))))</f>
        <v/>
      </c>
    </row>
    <row r="1349" spans="6:6" s="2" customFormat="1" ht="15" x14ac:dyDescent="0.25">
      <c r="F1349" s="22" t="str">
        <f>IF(sample_log!$C1349="", "", IF(sample_log!$C1349="Chapin", "chapin_mon", IF(sample_log!$C1349="Oatka", "oatka_mon", IF(sample_log!$C1349="Seneca", "seneca_mon", "one"))))</f>
        <v/>
      </c>
    </row>
    <row r="1350" spans="6:6" s="2" customFormat="1" ht="15" x14ac:dyDescent="0.25">
      <c r="F1350" s="22" t="str">
        <f>IF(sample_log!$C1350="", "", IF(sample_log!$C1350="Chapin", "chapin_mon", IF(sample_log!$C1350="Oatka", "oatka_mon", IF(sample_log!$C1350="Seneca", "seneca_mon", "one"))))</f>
        <v/>
      </c>
    </row>
    <row r="1351" spans="6:6" s="2" customFormat="1" ht="15" x14ac:dyDescent="0.25">
      <c r="F1351" s="22" t="str">
        <f>IF(sample_log!$C1351="", "", IF(sample_log!$C1351="Chapin", "chapin_mon", IF(sample_log!$C1351="Oatka", "oatka_mon", IF(sample_log!$C1351="Seneca", "seneca_mon", "one"))))</f>
        <v/>
      </c>
    </row>
    <row r="1352" spans="6:6" s="2" customFormat="1" ht="15" x14ac:dyDescent="0.25">
      <c r="F1352" s="22" t="str">
        <f>IF(sample_log!$C1352="", "", IF(sample_log!$C1352="Chapin", "chapin_mon", IF(sample_log!$C1352="Oatka", "oatka_mon", IF(sample_log!$C1352="Seneca", "seneca_mon", "one"))))</f>
        <v/>
      </c>
    </row>
    <row r="1353" spans="6:6" s="2" customFormat="1" ht="15" x14ac:dyDescent="0.25">
      <c r="F1353" s="22" t="str">
        <f>IF(sample_log!$C1353="", "", IF(sample_log!$C1353="Chapin", "chapin_mon", IF(sample_log!$C1353="Oatka", "oatka_mon", IF(sample_log!$C1353="Seneca", "seneca_mon", "one"))))</f>
        <v/>
      </c>
    </row>
    <row r="1354" spans="6:6" s="2" customFormat="1" ht="15" x14ac:dyDescent="0.25">
      <c r="F1354" s="22" t="str">
        <f>IF(sample_log!$C1354="", "", IF(sample_log!$C1354="Chapin", "chapin_mon", IF(sample_log!$C1354="Oatka", "oatka_mon", IF(sample_log!$C1354="Seneca", "seneca_mon", "one"))))</f>
        <v/>
      </c>
    </row>
    <row r="1355" spans="6:6" s="2" customFormat="1" ht="15" x14ac:dyDescent="0.25">
      <c r="F1355" s="22" t="str">
        <f>IF(sample_log!$C1355="", "", IF(sample_log!$C1355="Chapin", "chapin_mon", IF(sample_log!$C1355="Oatka", "oatka_mon", IF(sample_log!$C1355="Seneca", "seneca_mon", "one"))))</f>
        <v/>
      </c>
    </row>
    <row r="1356" spans="6:6" s="2" customFormat="1" ht="15" x14ac:dyDescent="0.25">
      <c r="F1356" s="22" t="str">
        <f>IF(sample_log!$C1356="", "", IF(sample_log!$C1356="Chapin", "chapin_mon", IF(sample_log!$C1356="Oatka", "oatka_mon", IF(sample_log!$C1356="Seneca", "seneca_mon", "one"))))</f>
        <v/>
      </c>
    </row>
    <row r="1357" spans="6:6" s="2" customFormat="1" ht="15" x14ac:dyDescent="0.25">
      <c r="F1357" s="22" t="str">
        <f>IF(sample_log!$C1357="", "", IF(sample_log!$C1357="Chapin", "chapin_mon", IF(sample_log!$C1357="Oatka", "oatka_mon", IF(sample_log!$C1357="Seneca", "seneca_mon", "one"))))</f>
        <v/>
      </c>
    </row>
    <row r="1358" spans="6:6" s="2" customFormat="1" ht="15" x14ac:dyDescent="0.25">
      <c r="F1358" s="22" t="str">
        <f>IF(sample_log!$C1358="", "", IF(sample_log!$C1358="Chapin", "chapin_mon", IF(sample_log!$C1358="Oatka", "oatka_mon", IF(sample_log!$C1358="Seneca", "seneca_mon", "one"))))</f>
        <v/>
      </c>
    </row>
    <row r="1359" spans="6:6" s="2" customFormat="1" ht="15" x14ac:dyDescent="0.25">
      <c r="F1359" s="22" t="str">
        <f>IF(sample_log!$C1359="", "", IF(sample_log!$C1359="Chapin", "chapin_mon", IF(sample_log!$C1359="Oatka", "oatka_mon", IF(sample_log!$C1359="Seneca", "seneca_mon", "one"))))</f>
        <v/>
      </c>
    </row>
    <row r="1360" spans="6:6" s="2" customFormat="1" ht="15" x14ac:dyDescent="0.25">
      <c r="F1360" s="22" t="str">
        <f>IF(sample_log!$C1360="", "", IF(sample_log!$C1360="Chapin", "chapin_mon", IF(sample_log!$C1360="Oatka", "oatka_mon", IF(sample_log!$C1360="Seneca", "seneca_mon", "one"))))</f>
        <v/>
      </c>
    </row>
    <row r="1361" spans="6:6" s="2" customFormat="1" ht="15" x14ac:dyDescent="0.25">
      <c r="F1361" s="22" t="str">
        <f>IF(sample_log!$C1361="", "", IF(sample_log!$C1361="Chapin", "chapin_mon", IF(sample_log!$C1361="Oatka", "oatka_mon", IF(sample_log!$C1361="Seneca", "seneca_mon", "one"))))</f>
        <v/>
      </c>
    </row>
    <row r="1362" spans="6:6" s="2" customFormat="1" ht="15" x14ac:dyDescent="0.25">
      <c r="F1362" s="22" t="str">
        <f>IF(sample_log!$C1362="", "", IF(sample_log!$C1362="Chapin", "chapin_mon", IF(sample_log!$C1362="Oatka", "oatka_mon", IF(sample_log!$C1362="Seneca", "seneca_mon", "one"))))</f>
        <v/>
      </c>
    </row>
    <row r="1363" spans="6:6" s="2" customFormat="1" ht="15" x14ac:dyDescent="0.25">
      <c r="F1363" s="22" t="str">
        <f>IF(sample_log!$C1363="", "", IF(sample_log!$C1363="Chapin", "chapin_mon", IF(sample_log!$C1363="Oatka", "oatka_mon", IF(sample_log!$C1363="Seneca", "seneca_mon", "one"))))</f>
        <v/>
      </c>
    </row>
    <row r="1364" spans="6:6" s="2" customFormat="1" ht="15" x14ac:dyDescent="0.25">
      <c r="F1364" s="22" t="str">
        <f>IF(sample_log!$C1364="", "", IF(sample_log!$C1364="Chapin", "chapin_mon", IF(sample_log!$C1364="Oatka", "oatka_mon", IF(sample_log!$C1364="Seneca", "seneca_mon", "one"))))</f>
        <v/>
      </c>
    </row>
    <row r="1365" spans="6:6" s="2" customFormat="1" ht="15" x14ac:dyDescent="0.25">
      <c r="F1365" s="22" t="str">
        <f>IF(sample_log!$C1365="", "", IF(sample_log!$C1365="Chapin", "chapin_mon", IF(sample_log!$C1365="Oatka", "oatka_mon", IF(sample_log!$C1365="Seneca", "seneca_mon", "one"))))</f>
        <v/>
      </c>
    </row>
    <row r="1366" spans="6:6" s="2" customFormat="1" ht="15" x14ac:dyDescent="0.25">
      <c r="F1366" s="22" t="str">
        <f>IF(sample_log!$C1366="", "", IF(sample_log!$C1366="Chapin", "chapin_mon", IF(sample_log!$C1366="Oatka", "oatka_mon", IF(sample_log!$C1366="Seneca", "seneca_mon", "one"))))</f>
        <v/>
      </c>
    </row>
    <row r="1367" spans="6:6" s="2" customFormat="1" ht="15" x14ac:dyDescent="0.25">
      <c r="F1367" s="22" t="str">
        <f>IF(sample_log!$C1367="", "", IF(sample_log!$C1367="Chapin", "chapin_mon", IF(sample_log!$C1367="Oatka", "oatka_mon", IF(sample_log!$C1367="Seneca", "seneca_mon", "one"))))</f>
        <v/>
      </c>
    </row>
    <row r="1368" spans="6:6" s="2" customFormat="1" ht="15" x14ac:dyDescent="0.25">
      <c r="F1368" s="22" t="str">
        <f>IF(sample_log!$C1368="", "", IF(sample_log!$C1368="Chapin", "chapin_mon", IF(sample_log!$C1368="Oatka", "oatka_mon", IF(sample_log!$C1368="Seneca", "seneca_mon", "one"))))</f>
        <v/>
      </c>
    </row>
    <row r="1369" spans="6:6" s="2" customFormat="1" ht="15" x14ac:dyDescent="0.25">
      <c r="F1369" s="22" t="str">
        <f>IF(sample_log!$C1369="", "", IF(sample_log!$C1369="Chapin", "chapin_mon", IF(sample_log!$C1369="Oatka", "oatka_mon", IF(sample_log!$C1369="Seneca", "seneca_mon", "one"))))</f>
        <v/>
      </c>
    </row>
    <row r="1370" spans="6:6" s="2" customFormat="1" ht="15" x14ac:dyDescent="0.25">
      <c r="F1370" s="22" t="str">
        <f>IF(sample_log!$C1370="", "", IF(sample_log!$C1370="Chapin", "chapin_mon", IF(sample_log!$C1370="Oatka", "oatka_mon", IF(sample_log!$C1370="Seneca", "seneca_mon", "one"))))</f>
        <v/>
      </c>
    </row>
    <row r="1371" spans="6:6" s="2" customFormat="1" ht="15" x14ac:dyDescent="0.25">
      <c r="F1371" s="22" t="str">
        <f>IF(sample_log!$C1371="", "", IF(sample_log!$C1371="Chapin", "chapin_mon", IF(sample_log!$C1371="Oatka", "oatka_mon", IF(sample_log!$C1371="Seneca", "seneca_mon", "one"))))</f>
        <v/>
      </c>
    </row>
    <row r="1372" spans="6:6" s="2" customFormat="1" ht="15" x14ac:dyDescent="0.25">
      <c r="F1372" s="22" t="str">
        <f>IF(sample_log!$C1372="", "", IF(sample_log!$C1372="Chapin", "chapin_mon", IF(sample_log!$C1372="Oatka", "oatka_mon", IF(sample_log!$C1372="Seneca", "seneca_mon", "one"))))</f>
        <v/>
      </c>
    </row>
    <row r="1373" spans="6:6" s="2" customFormat="1" ht="15" x14ac:dyDescent="0.25">
      <c r="F1373" s="22" t="str">
        <f>IF(sample_log!$C1373="", "", IF(sample_log!$C1373="Chapin", "chapin_mon", IF(sample_log!$C1373="Oatka", "oatka_mon", IF(sample_log!$C1373="Seneca", "seneca_mon", "one"))))</f>
        <v/>
      </c>
    </row>
    <row r="1374" spans="6:6" s="2" customFormat="1" ht="15" x14ac:dyDescent="0.25">
      <c r="F1374" s="22" t="str">
        <f>IF(sample_log!$C1374="", "", IF(sample_log!$C1374="Chapin", "chapin_mon", IF(sample_log!$C1374="Oatka", "oatka_mon", IF(sample_log!$C1374="Seneca", "seneca_mon", "one"))))</f>
        <v/>
      </c>
    </row>
    <row r="1375" spans="6:6" s="2" customFormat="1" ht="15" x14ac:dyDescent="0.25">
      <c r="F1375" s="22" t="str">
        <f>IF(sample_log!$C1375="", "", IF(sample_log!$C1375="Chapin", "chapin_mon", IF(sample_log!$C1375="Oatka", "oatka_mon", IF(sample_log!$C1375="Seneca", "seneca_mon", "one"))))</f>
        <v/>
      </c>
    </row>
    <row r="1376" spans="6:6" s="2" customFormat="1" ht="15" x14ac:dyDescent="0.25">
      <c r="F1376" s="22" t="str">
        <f>IF(sample_log!$C1376="", "", IF(sample_log!$C1376="Chapin", "chapin_mon", IF(sample_log!$C1376="Oatka", "oatka_mon", IF(sample_log!$C1376="Seneca", "seneca_mon", "one"))))</f>
        <v/>
      </c>
    </row>
    <row r="1377" spans="6:6" s="2" customFormat="1" ht="15" x14ac:dyDescent="0.25">
      <c r="F1377" s="22" t="str">
        <f>IF(sample_log!$C1377="", "", IF(sample_log!$C1377="Chapin", "chapin_mon", IF(sample_log!$C1377="Oatka", "oatka_mon", IF(sample_log!$C1377="Seneca", "seneca_mon", "one"))))</f>
        <v/>
      </c>
    </row>
    <row r="1378" spans="6:6" s="2" customFormat="1" ht="15" x14ac:dyDescent="0.25">
      <c r="F1378" s="22" t="str">
        <f>IF(sample_log!$C1378="", "", IF(sample_log!$C1378="Chapin", "chapin_mon", IF(sample_log!$C1378="Oatka", "oatka_mon", IF(sample_log!$C1378="Seneca", "seneca_mon", "one"))))</f>
        <v/>
      </c>
    </row>
    <row r="1379" spans="6:6" s="2" customFormat="1" ht="15" x14ac:dyDescent="0.25">
      <c r="F1379" s="22" t="str">
        <f>IF(sample_log!$C1379="", "", IF(sample_log!$C1379="Chapin", "chapin_mon", IF(sample_log!$C1379="Oatka", "oatka_mon", IF(sample_log!$C1379="Seneca", "seneca_mon", "one"))))</f>
        <v/>
      </c>
    </row>
    <row r="1380" spans="6:6" s="2" customFormat="1" ht="15" x14ac:dyDescent="0.25">
      <c r="F1380" s="22" t="str">
        <f>IF(sample_log!$C1380="", "", IF(sample_log!$C1380="Chapin", "chapin_mon", IF(sample_log!$C1380="Oatka", "oatka_mon", IF(sample_log!$C1380="Seneca", "seneca_mon", "one"))))</f>
        <v/>
      </c>
    </row>
    <row r="1381" spans="6:6" s="2" customFormat="1" ht="15" x14ac:dyDescent="0.25">
      <c r="F1381" s="22" t="str">
        <f>IF(sample_log!$C1381="", "", IF(sample_log!$C1381="Chapin", "chapin_mon", IF(sample_log!$C1381="Oatka", "oatka_mon", IF(sample_log!$C1381="Seneca", "seneca_mon", "one"))))</f>
        <v/>
      </c>
    </row>
    <row r="1382" spans="6:6" s="2" customFormat="1" ht="15" x14ac:dyDescent="0.25">
      <c r="F1382" s="22" t="str">
        <f>IF(sample_log!$C1382="", "", IF(sample_log!$C1382="Chapin", "chapin_mon", IF(sample_log!$C1382="Oatka", "oatka_mon", IF(sample_log!$C1382="Seneca", "seneca_mon", "one"))))</f>
        <v/>
      </c>
    </row>
    <row r="1383" spans="6:6" s="2" customFormat="1" ht="15" x14ac:dyDescent="0.25">
      <c r="F1383" s="22" t="str">
        <f>IF(sample_log!$C1383="", "", IF(sample_log!$C1383="Chapin", "chapin_mon", IF(sample_log!$C1383="Oatka", "oatka_mon", IF(sample_log!$C1383="Seneca", "seneca_mon", "one"))))</f>
        <v/>
      </c>
    </row>
    <row r="1384" spans="6:6" s="2" customFormat="1" ht="15" x14ac:dyDescent="0.25">
      <c r="F1384" s="22" t="str">
        <f>IF(sample_log!$C1384="", "", IF(sample_log!$C1384="Chapin", "chapin_mon", IF(sample_log!$C1384="Oatka", "oatka_mon", IF(sample_log!$C1384="Seneca", "seneca_mon", "one"))))</f>
        <v/>
      </c>
    </row>
    <row r="1385" spans="6:6" s="2" customFormat="1" ht="15" x14ac:dyDescent="0.25">
      <c r="F1385" s="22" t="str">
        <f>IF(sample_log!$C1385="", "", IF(sample_log!$C1385="Chapin", "chapin_mon", IF(sample_log!$C1385="Oatka", "oatka_mon", IF(sample_log!$C1385="Seneca", "seneca_mon", "one"))))</f>
        <v/>
      </c>
    </row>
    <row r="1386" spans="6:6" s="2" customFormat="1" ht="15" x14ac:dyDescent="0.25">
      <c r="F1386" s="22" t="str">
        <f>IF(sample_log!$C1386="", "", IF(sample_log!$C1386="Chapin", "chapin_mon", IF(sample_log!$C1386="Oatka", "oatka_mon", IF(sample_log!$C1386="Seneca", "seneca_mon", "one"))))</f>
        <v/>
      </c>
    </row>
    <row r="1387" spans="6:6" s="2" customFormat="1" ht="15" x14ac:dyDescent="0.25">
      <c r="F1387" s="22" t="str">
        <f>IF(sample_log!$C1387="", "", IF(sample_log!$C1387="Chapin", "chapin_mon", IF(sample_log!$C1387="Oatka", "oatka_mon", IF(sample_log!$C1387="Seneca", "seneca_mon", "one"))))</f>
        <v/>
      </c>
    </row>
    <row r="1388" spans="6:6" s="2" customFormat="1" ht="15" x14ac:dyDescent="0.25">
      <c r="F1388" s="22" t="str">
        <f>IF(sample_log!$C1388="", "", IF(sample_log!$C1388="Chapin", "chapin_mon", IF(sample_log!$C1388="Oatka", "oatka_mon", IF(sample_log!$C1388="Seneca", "seneca_mon", "one"))))</f>
        <v/>
      </c>
    </row>
    <row r="1389" spans="6:6" s="2" customFormat="1" ht="15" x14ac:dyDescent="0.25">
      <c r="F1389" s="22" t="str">
        <f>IF(sample_log!$C1389="", "", IF(sample_log!$C1389="Chapin", "chapin_mon", IF(sample_log!$C1389="Oatka", "oatka_mon", IF(sample_log!$C1389="Seneca", "seneca_mon", "one"))))</f>
        <v/>
      </c>
    </row>
    <row r="1390" spans="6:6" s="2" customFormat="1" ht="15" x14ac:dyDescent="0.25">
      <c r="F1390" s="22" t="str">
        <f>IF(sample_log!$C1390="", "", IF(sample_log!$C1390="Chapin", "chapin_mon", IF(sample_log!$C1390="Oatka", "oatka_mon", IF(sample_log!$C1390="Seneca", "seneca_mon", "one"))))</f>
        <v/>
      </c>
    </row>
    <row r="1391" spans="6:6" s="2" customFormat="1" ht="15" x14ac:dyDescent="0.25">
      <c r="F1391" s="22" t="str">
        <f>IF(sample_log!$C1391="", "", IF(sample_log!$C1391="Chapin", "chapin_mon", IF(sample_log!$C1391="Oatka", "oatka_mon", IF(sample_log!$C1391="Seneca", "seneca_mon", "one"))))</f>
        <v/>
      </c>
    </row>
    <row r="1392" spans="6:6" s="2" customFormat="1" ht="15" x14ac:dyDescent="0.25">
      <c r="F1392" s="22" t="str">
        <f>IF(sample_log!$C1392="", "", IF(sample_log!$C1392="Chapin", "chapin_mon", IF(sample_log!$C1392="Oatka", "oatka_mon", IF(sample_log!$C1392="Seneca", "seneca_mon", "one"))))</f>
        <v/>
      </c>
    </row>
    <row r="1393" spans="6:6" s="2" customFormat="1" ht="15" x14ac:dyDescent="0.25">
      <c r="F1393" s="22" t="str">
        <f>IF(sample_log!$C1393="", "", IF(sample_log!$C1393="Chapin", "chapin_mon", IF(sample_log!$C1393="Oatka", "oatka_mon", IF(sample_log!$C1393="Seneca", "seneca_mon", "one"))))</f>
        <v/>
      </c>
    </row>
    <row r="1394" spans="6:6" s="2" customFormat="1" ht="15" x14ac:dyDescent="0.25">
      <c r="F1394" s="22" t="str">
        <f>IF(sample_log!$C1394="", "", IF(sample_log!$C1394="Chapin", "chapin_mon", IF(sample_log!$C1394="Oatka", "oatka_mon", IF(sample_log!$C1394="Seneca", "seneca_mon", "one"))))</f>
        <v/>
      </c>
    </row>
    <row r="1395" spans="6:6" s="2" customFormat="1" ht="15" x14ac:dyDescent="0.25">
      <c r="F1395" s="22" t="str">
        <f>IF(sample_log!$C1395="", "", IF(sample_log!$C1395="Chapin", "chapin_mon", IF(sample_log!$C1395="Oatka", "oatka_mon", IF(sample_log!$C1395="Seneca", "seneca_mon", "one"))))</f>
        <v/>
      </c>
    </row>
    <row r="1396" spans="6:6" s="2" customFormat="1" ht="15" x14ac:dyDescent="0.25">
      <c r="F1396" s="22" t="str">
        <f>IF(sample_log!$C1396="", "", IF(sample_log!$C1396="Chapin", "chapin_mon", IF(sample_log!$C1396="Oatka", "oatka_mon", IF(sample_log!$C1396="Seneca", "seneca_mon", "one"))))</f>
        <v/>
      </c>
    </row>
    <row r="1397" spans="6:6" s="2" customFormat="1" ht="15" x14ac:dyDescent="0.25">
      <c r="F1397" s="22" t="str">
        <f>IF(sample_log!$C1397="", "", IF(sample_log!$C1397="Chapin", "chapin_mon", IF(sample_log!$C1397="Oatka", "oatka_mon", IF(sample_log!$C1397="Seneca", "seneca_mon", "one"))))</f>
        <v/>
      </c>
    </row>
    <row r="1398" spans="6:6" s="2" customFormat="1" ht="15" x14ac:dyDescent="0.25">
      <c r="F1398" s="22" t="str">
        <f>IF(sample_log!$C1398="", "", IF(sample_log!$C1398="Chapin", "chapin_mon", IF(sample_log!$C1398="Oatka", "oatka_mon", IF(sample_log!$C1398="Seneca", "seneca_mon", "one"))))</f>
        <v/>
      </c>
    </row>
    <row r="1399" spans="6:6" s="2" customFormat="1" ht="15" x14ac:dyDescent="0.25">
      <c r="F1399" s="22" t="str">
        <f>IF(sample_log!$C1399="", "", IF(sample_log!$C1399="Chapin", "chapin_mon", IF(sample_log!$C1399="Oatka", "oatka_mon", IF(sample_log!$C1399="Seneca", "seneca_mon", "one"))))</f>
        <v/>
      </c>
    </row>
    <row r="1400" spans="6:6" s="2" customFormat="1" ht="15" x14ac:dyDescent="0.25">
      <c r="F1400" s="22" t="str">
        <f>IF(sample_log!$C1400="", "", IF(sample_log!$C1400="Chapin", "chapin_mon", IF(sample_log!$C1400="Oatka", "oatka_mon", IF(sample_log!$C1400="Seneca", "seneca_mon", "one"))))</f>
        <v/>
      </c>
    </row>
    <row r="1401" spans="6:6" s="2" customFormat="1" ht="15" x14ac:dyDescent="0.25">
      <c r="F1401" s="22" t="str">
        <f>IF(sample_log!$C1401="", "", IF(sample_log!$C1401="Chapin", "chapin_mon", IF(sample_log!$C1401="Oatka", "oatka_mon", IF(sample_log!$C1401="Seneca", "seneca_mon", "one"))))</f>
        <v/>
      </c>
    </row>
    <row r="1402" spans="6:6" s="2" customFormat="1" ht="15" x14ac:dyDescent="0.25">
      <c r="F1402" s="22" t="str">
        <f>IF(sample_log!$C1402="", "", IF(sample_log!$C1402="Chapin", "chapin_mon", IF(sample_log!$C1402="Oatka", "oatka_mon", IF(sample_log!$C1402="Seneca", "seneca_mon", "one"))))</f>
        <v/>
      </c>
    </row>
    <row r="1403" spans="6:6" s="2" customFormat="1" ht="15" x14ac:dyDescent="0.25">
      <c r="F1403" s="22" t="str">
        <f>IF(sample_log!$C1403="", "", IF(sample_log!$C1403="Chapin", "chapin_mon", IF(sample_log!$C1403="Oatka", "oatka_mon", IF(sample_log!$C1403="Seneca", "seneca_mon", "one"))))</f>
        <v/>
      </c>
    </row>
    <row r="1404" spans="6:6" s="2" customFormat="1" ht="15" x14ac:dyDescent="0.25">
      <c r="F1404" s="22" t="str">
        <f>IF(sample_log!$C1404="", "", IF(sample_log!$C1404="Chapin", "chapin_mon", IF(sample_log!$C1404="Oatka", "oatka_mon", IF(sample_log!$C1404="Seneca", "seneca_mon", "one"))))</f>
        <v/>
      </c>
    </row>
    <row r="1405" spans="6:6" s="2" customFormat="1" ht="15" x14ac:dyDescent="0.25">
      <c r="F1405" s="22" t="str">
        <f>IF(sample_log!$C1405="", "", IF(sample_log!$C1405="Chapin", "chapin_mon", IF(sample_log!$C1405="Oatka", "oatka_mon", IF(sample_log!$C1405="Seneca", "seneca_mon", "one"))))</f>
        <v/>
      </c>
    </row>
    <row r="1406" spans="6:6" s="2" customFormat="1" ht="15" x14ac:dyDescent="0.25">
      <c r="F1406" s="22" t="str">
        <f>IF(sample_log!$C1406="", "", IF(sample_log!$C1406="Chapin", "chapin_mon", IF(sample_log!$C1406="Oatka", "oatka_mon", IF(sample_log!$C1406="Seneca", "seneca_mon", "one"))))</f>
        <v/>
      </c>
    </row>
    <row r="1407" spans="6:6" s="2" customFormat="1" ht="15" x14ac:dyDescent="0.25">
      <c r="F1407" s="22" t="str">
        <f>IF(sample_log!$C1407="", "", IF(sample_log!$C1407="Chapin", "chapin_mon", IF(sample_log!$C1407="Oatka", "oatka_mon", IF(sample_log!$C1407="Seneca", "seneca_mon", "one"))))</f>
        <v/>
      </c>
    </row>
    <row r="1408" spans="6:6" s="2" customFormat="1" ht="15" x14ac:dyDescent="0.25">
      <c r="F1408" s="22" t="str">
        <f>IF(sample_log!$C1408="", "", IF(sample_log!$C1408="Chapin", "chapin_mon", IF(sample_log!$C1408="Oatka", "oatka_mon", IF(sample_log!$C1408="Seneca", "seneca_mon", "one"))))</f>
        <v/>
      </c>
    </row>
    <row r="1409" spans="6:6" s="2" customFormat="1" ht="15" x14ac:dyDescent="0.25">
      <c r="F1409" s="22" t="str">
        <f>IF(sample_log!$C1409="", "", IF(sample_log!$C1409="Chapin", "chapin_mon", IF(sample_log!$C1409="Oatka", "oatka_mon", IF(sample_log!$C1409="Seneca", "seneca_mon", "one"))))</f>
        <v/>
      </c>
    </row>
    <row r="1410" spans="6:6" s="2" customFormat="1" ht="15" x14ac:dyDescent="0.25">
      <c r="F1410" s="22" t="str">
        <f>IF(sample_log!$C1410="", "", IF(sample_log!$C1410="Chapin", "chapin_mon", IF(sample_log!$C1410="Oatka", "oatka_mon", IF(sample_log!$C1410="Seneca", "seneca_mon", "one"))))</f>
        <v/>
      </c>
    </row>
    <row r="1411" spans="6:6" s="2" customFormat="1" ht="15" x14ac:dyDescent="0.25">
      <c r="F1411" s="22" t="str">
        <f>IF(sample_log!$C1411="", "", IF(sample_log!$C1411="Chapin", "chapin_mon", IF(sample_log!$C1411="Oatka", "oatka_mon", IF(sample_log!$C1411="Seneca", "seneca_mon", "one"))))</f>
        <v/>
      </c>
    </row>
    <row r="1412" spans="6:6" s="2" customFormat="1" ht="15" x14ac:dyDescent="0.25">
      <c r="F1412" s="22" t="str">
        <f>IF(sample_log!$C1412="", "", IF(sample_log!$C1412="Chapin", "chapin_mon", IF(sample_log!$C1412="Oatka", "oatka_mon", IF(sample_log!$C1412="Seneca", "seneca_mon", "one"))))</f>
        <v/>
      </c>
    </row>
    <row r="1413" spans="6:6" s="2" customFormat="1" ht="15" x14ac:dyDescent="0.25">
      <c r="F1413" s="22" t="str">
        <f>IF(sample_log!$C1413="", "", IF(sample_log!$C1413="Chapin", "chapin_mon", IF(sample_log!$C1413="Oatka", "oatka_mon", IF(sample_log!$C1413="Seneca", "seneca_mon", "one"))))</f>
        <v/>
      </c>
    </row>
    <row r="1414" spans="6:6" s="2" customFormat="1" ht="15" x14ac:dyDescent="0.25">
      <c r="F1414" s="22" t="str">
        <f>IF(sample_log!$C1414="", "", IF(sample_log!$C1414="Chapin", "chapin_mon", IF(sample_log!$C1414="Oatka", "oatka_mon", IF(sample_log!$C1414="Seneca", "seneca_mon", "one"))))</f>
        <v/>
      </c>
    </row>
    <row r="1415" spans="6:6" s="2" customFormat="1" ht="15" x14ac:dyDescent="0.25">
      <c r="F1415" s="22" t="str">
        <f>IF(sample_log!$C1415="", "", IF(sample_log!$C1415="Chapin", "chapin_mon", IF(sample_log!$C1415="Oatka", "oatka_mon", IF(sample_log!$C1415="Seneca", "seneca_mon", "one"))))</f>
        <v/>
      </c>
    </row>
    <row r="1416" spans="6:6" s="2" customFormat="1" ht="15" x14ac:dyDescent="0.25">
      <c r="F1416" s="22" t="str">
        <f>IF(sample_log!$C1416="", "", IF(sample_log!$C1416="Chapin", "chapin_mon", IF(sample_log!$C1416="Oatka", "oatka_mon", IF(sample_log!$C1416="Seneca", "seneca_mon", "one"))))</f>
        <v/>
      </c>
    </row>
    <row r="1417" spans="6:6" s="2" customFormat="1" ht="15" x14ac:dyDescent="0.25">
      <c r="F1417" s="22" t="str">
        <f>IF(sample_log!$C1417="", "", IF(sample_log!$C1417="Chapin", "chapin_mon", IF(sample_log!$C1417="Oatka", "oatka_mon", IF(sample_log!$C1417="Seneca", "seneca_mon", "one"))))</f>
        <v/>
      </c>
    </row>
    <row r="1418" spans="6:6" s="2" customFormat="1" ht="15" x14ac:dyDescent="0.25">
      <c r="F1418" s="22" t="str">
        <f>IF(sample_log!$C1418="", "", IF(sample_log!$C1418="Chapin", "chapin_mon", IF(sample_log!$C1418="Oatka", "oatka_mon", IF(sample_log!$C1418="Seneca", "seneca_mon", "one"))))</f>
        <v/>
      </c>
    </row>
    <row r="1419" spans="6:6" s="2" customFormat="1" ht="15" x14ac:dyDescent="0.25">
      <c r="F1419" s="22" t="str">
        <f>IF(sample_log!$C1419="", "", IF(sample_log!$C1419="Chapin", "chapin_mon", IF(sample_log!$C1419="Oatka", "oatka_mon", IF(sample_log!$C1419="Seneca", "seneca_mon", "one"))))</f>
        <v/>
      </c>
    </row>
    <row r="1420" spans="6:6" s="2" customFormat="1" ht="15" x14ac:dyDescent="0.25">
      <c r="F1420" s="22" t="str">
        <f>IF(sample_log!$C1420="", "", IF(sample_log!$C1420="Chapin", "chapin_mon", IF(sample_log!$C1420="Oatka", "oatka_mon", IF(sample_log!$C1420="Seneca", "seneca_mon", "one"))))</f>
        <v/>
      </c>
    </row>
    <row r="1421" spans="6:6" s="2" customFormat="1" ht="15" x14ac:dyDescent="0.25">
      <c r="F1421" s="22" t="str">
        <f>IF(sample_log!$C1421="", "", IF(sample_log!$C1421="Chapin", "chapin_mon", IF(sample_log!$C1421="Oatka", "oatka_mon", IF(sample_log!$C1421="Seneca", "seneca_mon", "one"))))</f>
        <v/>
      </c>
    </row>
    <row r="1422" spans="6:6" s="2" customFormat="1" ht="15" x14ac:dyDescent="0.25">
      <c r="F1422" s="22" t="str">
        <f>IF(sample_log!$C1422="", "", IF(sample_log!$C1422="Chapin", "chapin_mon", IF(sample_log!$C1422="Oatka", "oatka_mon", IF(sample_log!$C1422="Seneca", "seneca_mon", "one"))))</f>
        <v/>
      </c>
    </row>
    <row r="1423" spans="6:6" s="2" customFormat="1" ht="15" x14ac:dyDescent="0.25">
      <c r="F1423" s="22" t="str">
        <f>IF(sample_log!$C1423="", "", IF(sample_log!$C1423="Chapin", "chapin_mon", IF(sample_log!$C1423="Oatka", "oatka_mon", IF(sample_log!$C1423="Seneca", "seneca_mon", "one"))))</f>
        <v/>
      </c>
    </row>
    <row r="1424" spans="6:6" s="2" customFormat="1" ht="15" x14ac:dyDescent="0.25">
      <c r="F1424" s="22" t="str">
        <f>IF(sample_log!$C1424="", "", IF(sample_log!$C1424="Chapin", "chapin_mon", IF(sample_log!$C1424="Oatka", "oatka_mon", IF(sample_log!$C1424="Seneca", "seneca_mon", "one"))))</f>
        <v/>
      </c>
    </row>
    <row r="1425" spans="6:6" s="2" customFormat="1" ht="15" x14ac:dyDescent="0.25">
      <c r="F1425" s="22" t="str">
        <f>IF(sample_log!$C1425="", "", IF(sample_log!$C1425="Chapin", "chapin_mon", IF(sample_log!$C1425="Oatka", "oatka_mon", IF(sample_log!$C1425="Seneca", "seneca_mon", "one"))))</f>
        <v/>
      </c>
    </row>
    <row r="1426" spans="6:6" s="2" customFormat="1" ht="15" x14ac:dyDescent="0.25">
      <c r="F1426" s="22" t="str">
        <f>IF(sample_log!$C1426="", "", IF(sample_log!$C1426="Chapin", "chapin_mon", IF(sample_log!$C1426="Oatka", "oatka_mon", IF(sample_log!$C1426="Seneca", "seneca_mon", "one"))))</f>
        <v/>
      </c>
    </row>
    <row r="1427" spans="6:6" s="2" customFormat="1" ht="15" x14ac:dyDescent="0.25">
      <c r="F1427" s="22" t="str">
        <f>IF(sample_log!$C1427="", "", IF(sample_log!$C1427="Chapin", "chapin_mon", IF(sample_log!$C1427="Oatka", "oatka_mon", IF(sample_log!$C1427="Seneca", "seneca_mon", "one"))))</f>
        <v/>
      </c>
    </row>
    <row r="1428" spans="6:6" s="2" customFormat="1" ht="15" x14ac:dyDescent="0.25">
      <c r="F1428" s="22" t="str">
        <f>IF(sample_log!$C1428="", "", IF(sample_log!$C1428="Chapin", "chapin_mon", IF(sample_log!$C1428="Oatka", "oatka_mon", IF(sample_log!$C1428="Seneca", "seneca_mon", "one"))))</f>
        <v/>
      </c>
    </row>
    <row r="1429" spans="6:6" s="2" customFormat="1" ht="15" x14ac:dyDescent="0.25">
      <c r="F1429" s="22" t="str">
        <f>IF(sample_log!$C1429="", "", IF(sample_log!$C1429="Chapin", "chapin_mon", IF(sample_log!$C1429="Oatka", "oatka_mon", IF(sample_log!$C1429="Seneca", "seneca_mon", "one"))))</f>
        <v/>
      </c>
    </row>
    <row r="1430" spans="6:6" s="2" customFormat="1" ht="15" x14ac:dyDescent="0.25">
      <c r="F1430" s="22" t="str">
        <f>IF(sample_log!$C1430="", "", IF(sample_log!$C1430="Chapin", "chapin_mon", IF(sample_log!$C1430="Oatka", "oatka_mon", IF(sample_log!$C1430="Seneca", "seneca_mon", "one"))))</f>
        <v/>
      </c>
    </row>
    <row r="1431" spans="6:6" s="2" customFormat="1" ht="15" x14ac:dyDescent="0.25">
      <c r="F1431" s="22" t="str">
        <f>IF(sample_log!$C1431="", "", IF(sample_log!$C1431="Chapin", "chapin_mon", IF(sample_log!$C1431="Oatka", "oatka_mon", IF(sample_log!$C1431="Seneca", "seneca_mon", "one"))))</f>
        <v/>
      </c>
    </row>
    <row r="1432" spans="6:6" s="2" customFormat="1" ht="15" x14ac:dyDescent="0.25">
      <c r="F1432" s="22" t="str">
        <f>IF(sample_log!$C1432="", "", IF(sample_log!$C1432="Chapin", "chapin_mon", IF(sample_log!$C1432="Oatka", "oatka_mon", IF(sample_log!$C1432="Seneca", "seneca_mon", "one"))))</f>
        <v/>
      </c>
    </row>
    <row r="1433" spans="6:6" s="2" customFormat="1" ht="15" x14ac:dyDescent="0.25">
      <c r="F1433" s="22" t="str">
        <f>IF(sample_log!$C1433="", "", IF(sample_log!$C1433="Chapin", "chapin_mon", IF(sample_log!$C1433="Oatka", "oatka_mon", IF(sample_log!$C1433="Seneca", "seneca_mon", "one"))))</f>
        <v/>
      </c>
    </row>
    <row r="1434" spans="6:6" s="2" customFormat="1" ht="15" x14ac:dyDescent="0.25">
      <c r="F1434" s="22" t="str">
        <f>IF(sample_log!$C1434="", "", IF(sample_log!$C1434="Chapin", "chapin_mon", IF(sample_log!$C1434="Oatka", "oatka_mon", IF(sample_log!$C1434="Seneca", "seneca_mon", "one"))))</f>
        <v/>
      </c>
    </row>
    <row r="1435" spans="6:6" s="2" customFormat="1" ht="15" x14ac:dyDescent="0.25">
      <c r="F1435" s="22" t="str">
        <f>IF(sample_log!$C1435="", "", IF(sample_log!$C1435="Chapin", "chapin_mon", IF(sample_log!$C1435="Oatka", "oatka_mon", IF(sample_log!$C1435="Seneca", "seneca_mon", "one"))))</f>
        <v/>
      </c>
    </row>
    <row r="1436" spans="6:6" s="2" customFormat="1" ht="15" x14ac:dyDescent="0.25">
      <c r="F1436" s="22" t="str">
        <f>IF(sample_log!$C1436="", "", IF(sample_log!$C1436="Chapin", "chapin_mon", IF(sample_log!$C1436="Oatka", "oatka_mon", IF(sample_log!$C1436="Seneca", "seneca_mon", "one"))))</f>
        <v/>
      </c>
    </row>
    <row r="1437" spans="6:6" s="2" customFormat="1" ht="15" x14ac:dyDescent="0.25">
      <c r="F1437" s="22" t="str">
        <f>IF(sample_log!$C1437="", "", IF(sample_log!$C1437="Chapin", "chapin_mon", IF(sample_log!$C1437="Oatka", "oatka_mon", IF(sample_log!$C1437="Seneca", "seneca_mon", "one"))))</f>
        <v/>
      </c>
    </row>
    <row r="1438" spans="6:6" s="2" customFormat="1" ht="15" x14ac:dyDescent="0.25">
      <c r="F1438" s="22" t="str">
        <f>IF(sample_log!$C1438="", "", IF(sample_log!$C1438="Chapin", "chapin_mon", IF(sample_log!$C1438="Oatka", "oatka_mon", IF(sample_log!$C1438="Seneca", "seneca_mon", "one"))))</f>
        <v/>
      </c>
    </row>
    <row r="1439" spans="6:6" s="2" customFormat="1" ht="15" x14ac:dyDescent="0.25">
      <c r="F1439" s="22" t="str">
        <f>IF(sample_log!$C1439="", "", IF(sample_log!$C1439="Chapin", "chapin_mon", IF(sample_log!$C1439="Oatka", "oatka_mon", IF(sample_log!$C1439="Seneca", "seneca_mon", "one"))))</f>
        <v/>
      </c>
    </row>
    <row r="1440" spans="6:6" s="2" customFormat="1" ht="15" x14ac:dyDescent="0.25">
      <c r="F1440" s="22" t="str">
        <f>IF(sample_log!$C1440="", "", IF(sample_log!$C1440="Chapin", "chapin_mon", IF(sample_log!$C1440="Oatka", "oatka_mon", IF(sample_log!$C1440="Seneca", "seneca_mon", "one"))))</f>
        <v/>
      </c>
    </row>
    <row r="1441" spans="6:6" s="2" customFormat="1" ht="15" x14ac:dyDescent="0.25">
      <c r="F1441" s="22" t="str">
        <f>IF(sample_log!$C1441="", "", IF(sample_log!$C1441="Chapin", "chapin_mon", IF(sample_log!$C1441="Oatka", "oatka_mon", IF(sample_log!$C1441="Seneca", "seneca_mon", "one"))))</f>
        <v/>
      </c>
    </row>
    <row r="1442" spans="6:6" s="2" customFormat="1" ht="15" x14ac:dyDescent="0.25">
      <c r="F1442" s="22" t="str">
        <f>IF(sample_log!$C1442="", "", IF(sample_log!$C1442="Chapin", "chapin_mon", IF(sample_log!$C1442="Oatka", "oatka_mon", IF(sample_log!$C1442="Seneca", "seneca_mon", "one"))))</f>
        <v/>
      </c>
    </row>
    <row r="1443" spans="6:6" s="2" customFormat="1" ht="15" x14ac:dyDescent="0.25">
      <c r="F1443" s="22" t="str">
        <f>IF(sample_log!$C1443="", "", IF(sample_log!$C1443="Chapin", "chapin_mon", IF(sample_log!$C1443="Oatka", "oatka_mon", IF(sample_log!$C1443="Seneca", "seneca_mon", "one"))))</f>
        <v/>
      </c>
    </row>
    <row r="1444" spans="6:6" s="2" customFormat="1" ht="15" x14ac:dyDescent="0.25">
      <c r="F1444" s="22" t="str">
        <f>IF(sample_log!$C1444="", "", IF(sample_log!$C1444="Chapin", "chapin_mon", IF(sample_log!$C1444="Oatka", "oatka_mon", IF(sample_log!$C1444="Seneca", "seneca_mon", "one"))))</f>
        <v/>
      </c>
    </row>
    <row r="1445" spans="6:6" s="2" customFormat="1" ht="15" x14ac:dyDescent="0.25">
      <c r="F1445" s="22" t="str">
        <f>IF(sample_log!$C1445="", "", IF(sample_log!$C1445="Chapin", "chapin_mon", IF(sample_log!$C1445="Oatka", "oatka_mon", IF(sample_log!$C1445="Seneca", "seneca_mon", "one"))))</f>
        <v/>
      </c>
    </row>
    <row r="1446" spans="6:6" s="2" customFormat="1" ht="15" x14ac:dyDescent="0.25">
      <c r="F1446" s="22" t="str">
        <f>IF(sample_log!$C1446="", "", IF(sample_log!$C1446="Chapin", "chapin_mon", IF(sample_log!$C1446="Oatka", "oatka_mon", IF(sample_log!$C1446="Seneca", "seneca_mon", "one"))))</f>
        <v/>
      </c>
    </row>
    <row r="1447" spans="6:6" s="2" customFormat="1" ht="15" x14ac:dyDescent="0.25">
      <c r="F1447" s="22" t="str">
        <f>IF(sample_log!$C1447="", "", IF(sample_log!$C1447="Chapin", "chapin_mon", IF(sample_log!$C1447="Oatka", "oatka_mon", IF(sample_log!$C1447="Seneca", "seneca_mon", "one"))))</f>
        <v/>
      </c>
    </row>
    <row r="1448" spans="6:6" s="2" customFormat="1" ht="15" x14ac:dyDescent="0.25">
      <c r="F1448" s="22" t="str">
        <f>IF(sample_log!$C1448="", "", IF(sample_log!$C1448="Chapin", "chapin_mon", IF(sample_log!$C1448="Oatka", "oatka_mon", IF(sample_log!$C1448="Seneca", "seneca_mon", "one"))))</f>
        <v/>
      </c>
    </row>
    <row r="1449" spans="6:6" s="2" customFormat="1" ht="15" x14ac:dyDescent="0.25">
      <c r="F1449" s="22" t="str">
        <f>IF(sample_log!$C1449="", "", IF(sample_log!$C1449="Chapin", "chapin_mon", IF(sample_log!$C1449="Oatka", "oatka_mon", IF(sample_log!$C1449="Seneca", "seneca_mon", "one"))))</f>
        <v/>
      </c>
    </row>
    <row r="1450" spans="6:6" s="2" customFormat="1" ht="15" x14ac:dyDescent="0.25">
      <c r="F1450" s="22" t="str">
        <f>IF(sample_log!$C1450="", "", IF(sample_log!$C1450="Chapin", "chapin_mon", IF(sample_log!$C1450="Oatka", "oatka_mon", IF(sample_log!$C1450="Seneca", "seneca_mon", "one"))))</f>
        <v/>
      </c>
    </row>
    <row r="1451" spans="6:6" s="2" customFormat="1" ht="15" x14ac:dyDescent="0.25">
      <c r="F1451" s="22" t="str">
        <f>IF(sample_log!$C1451="", "", IF(sample_log!$C1451="Chapin", "chapin_mon", IF(sample_log!$C1451="Oatka", "oatka_mon", IF(sample_log!$C1451="Seneca", "seneca_mon", "one"))))</f>
        <v/>
      </c>
    </row>
    <row r="1452" spans="6:6" s="2" customFormat="1" ht="15" x14ac:dyDescent="0.25">
      <c r="F1452" s="22" t="str">
        <f>IF(sample_log!$C1452="", "", IF(sample_log!$C1452="Chapin", "chapin_mon", IF(sample_log!$C1452="Oatka", "oatka_mon", IF(sample_log!$C1452="Seneca", "seneca_mon", "one"))))</f>
        <v/>
      </c>
    </row>
    <row r="1453" spans="6:6" s="2" customFormat="1" ht="15" x14ac:dyDescent="0.25">
      <c r="F1453" s="22" t="str">
        <f>IF(sample_log!$C1453="", "", IF(sample_log!$C1453="Chapin", "chapin_mon", IF(sample_log!$C1453="Oatka", "oatka_mon", IF(sample_log!$C1453="Seneca", "seneca_mon", "one"))))</f>
        <v/>
      </c>
    </row>
    <row r="1454" spans="6:6" s="2" customFormat="1" ht="15" x14ac:dyDescent="0.25">
      <c r="F1454" s="22" t="str">
        <f>IF(sample_log!$C1454="", "", IF(sample_log!$C1454="Chapin", "chapin_mon", IF(sample_log!$C1454="Oatka", "oatka_mon", IF(sample_log!$C1454="Seneca", "seneca_mon", "one"))))</f>
        <v/>
      </c>
    </row>
    <row r="1455" spans="6:6" s="2" customFormat="1" ht="15" x14ac:dyDescent="0.25">
      <c r="F1455" s="22" t="str">
        <f>IF(sample_log!$C1455="", "", IF(sample_log!$C1455="Chapin", "chapin_mon", IF(sample_log!$C1455="Oatka", "oatka_mon", IF(sample_log!$C1455="Seneca", "seneca_mon", "one"))))</f>
        <v/>
      </c>
    </row>
    <row r="1456" spans="6:6" s="2" customFormat="1" ht="15" x14ac:dyDescent="0.25">
      <c r="F1456" s="22" t="str">
        <f>IF(sample_log!$C1456="", "", IF(sample_log!$C1456="Chapin", "chapin_mon", IF(sample_log!$C1456="Oatka", "oatka_mon", IF(sample_log!$C1456="Seneca", "seneca_mon", "one"))))</f>
        <v/>
      </c>
    </row>
    <row r="1457" spans="6:6" s="2" customFormat="1" ht="15" x14ac:dyDescent="0.25">
      <c r="F1457" s="22" t="str">
        <f>IF(sample_log!$C1457="", "", IF(sample_log!$C1457="Chapin", "chapin_mon", IF(sample_log!$C1457="Oatka", "oatka_mon", IF(sample_log!$C1457="Seneca", "seneca_mon", "one"))))</f>
        <v/>
      </c>
    </row>
    <row r="1458" spans="6:6" s="2" customFormat="1" ht="15" x14ac:dyDescent="0.25">
      <c r="F1458" s="22" t="str">
        <f>IF(sample_log!$C1458="", "", IF(sample_log!$C1458="Chapin", "chapin_mon", IF(sample_log!$C1458="Oatka", "oatka_mon", IF(sample_log!$C1458="Seneca", "seneca_mon", "one"))))</f>
        <v/>
      </c>
    </row>
    <row r="1459" spans="6:6" s="2" customFormat="1" ht="15" x14ac:dyDescent="0.25">
      <c r="F1459" s="22" t="str">
        <f>IF(sample_log!$C1459="", "", IF(sample_log!$C1459="Chapin", "chapin_mon", IF(sample_log!$C1459="Oatka", "oatka_mon", IF(sample_log!$C1459="Seneca", "seneca_mon", "one"))))</f>
        <v/>
      </c>
    </row>
    <row r="1460" spans="6:6" s="2" customFormat="1" ht="15" x14ac:dyDescent="0.25">
      <c r="F1460" s="22" t="str">
        <f>IF(sample_log!$C1460="", "", IF(sample_log!$C1460="Chapin", "chapin_mon", IF(sample_log!$C1460="Oatka", "oatka_mon", IF(sample_log!$C1460="Seneca", "seneca_mon", "one"))))</f>
        <v/>
      </c>
    </row>
    <row r="1461" spans="6:6" s="2" customFormat="1" ht="15" x14ac:dyDescent="0.25">
      <c r="F1461" s="22" t="str">
        <f>IF(sample_log!$C1461="", "", IF(sample_log!$C1461="Chapin", "chapin_mon", IF(sample_log!$C1461="Oatka", "oatka_mon", IF(sample_log!$C1461="Seneca", "seneca_mon", "one"))))</f>
        <v/>
      </c>
    </row>
    <row r="1462" spans="6:6" s="2" customFormat="1" ht="15" x14ac:dyDescent="0.25">
      <c r="F1462" s="22" t="str">
        <f>IF(sample_log!$C1462="", "", IF(sample_log!$C1462="Chapin", "chapin_mon", IF(sample_log!$C1462="Oatka", "oatka_mon", IF(sample_log!$C1462="Seneca", "seneca_mon", "one"))))</f>
        <v/>
      </c>
    </row>
    <row r="1463" spans="6:6" s="2" customFormat="1" ht="15" x14ac:dyDescent="0.25">
      <c r="F1463" s="22" t="str">
        <f>IF(sample_log!$C1463="", "", IF(sample_log!$C1463="Chapin", "chapin_mon", IF(sample_log!$C1463="Oatka", "oatka_mon", IF(sample_log!$C1463="Seneca", "seneca_mon", "one"))))</f>
        <v/>
      </c>
    </row>
    <row r="1464" spans="6:6" s="2" customFormat="1" ht="15" x14ac:dyDescent="0.25">
      <c r="F1464" s="22" t="str">
        <f>IF(sample_log!$C1464="", "", IF(sample_log!$C1464="Chapin", "chapin_mon", IF(sample_log!$C1464="Oatka", "oatka_mon", IF(sample_log!$C1464="Seneca", "seneca_mon", "one"))))</f>
        <v/>
      </c>
    </row>
    <row r="1465" spans="6:6" s="2" customFormat="1" ht="15" x14ac:dyDescent="0.25">
      <c r="F1465" s="22" t="str">
        <f>IF(sample_log!$C1465="", "", IF(sample_log!$C1465="Chapin", "chapin_mon", IF(sample_log!$C1465="Oatka", "oatka_mon", IF(sample_log!$C1465="Seneca", "seneca_mon", "one"))))</f>
        <v/>
      </c>
    </row>
    <row r="1466" spans="6:6" s="2" customFormat="1" ht="15" x14ac:dyDescent="0.25">
      <c r="F1466" s="22" t="str">
        <f>IF(sample_log!$C1466="", "", IF(sample_log!$C1466="Chapin", "chapin_mon", IF(sample_log!$C1466="Oatka", "oatka_mon", IF(sample_log!$C1466="Seneca", "seneca_mon", "one"))))</f>
        <v/>
      </c>
    </row>
    <row r="1467" spans="6:6" s="2" customFormat="1" ht="15" x14ac:dyDescent="0.25">
      <c r="F1467" s="22" t="str">
        <f>IF(sample_log!$C1467="", "", IF(sample_log!$C1467="Chapin", "chapin_mon", IF(sample_log!$C1467="Oatka", "oatka_mon", IF(sample_log!$C1467="Seneca", "seneca_mon", "one"))))</f>
        <v/>
      </c>
    </row>
    <row r="1468" spans="6:6" s="2" customFormat="1" ht="15" x14ac:dyDescent="0.25">
      <c r="F1468" s="22" t="str">
        <f>IF(sample_log!$C1468="", "", IF(sample_log!$C1468="Chapin", "chapin_mon", IF(sample_log!$C1468="Oatka", "oatka_mon", IF(sample_log!$C1468="Seneca", "seneca_mon", "one"))))</f>
        <v/>
      </c>
    </row>
    <row r="1469" spans="6:6" s="2" customFormat="1" ht="15" x14ac:dyDescent="0.25">
      <c r="F1469" s="22" t="str">
        <f>IF(sample_log!$C1469="", "", IF(sample_log!$C1469="Chapin", "chapin_mon", IF(sample_log!$C1469="Oatka", "oatka_mon", IF(sample_log!$C1469="Seneca", "seneca_mon", "one"))))</f>
        <v/>
      </c>
    </row>
    <row r="1470" spans="6:6" s="2" customFormat="1" ht="15" x14ac:dyDescent="0.25">
      <c r="F1470" s="22" t="str">
        <f>IF(sample_log!$C1470="", "", IF(sample_log!$C1470="Chapin", "chapin_mon", IF(sample_log!$C1470="Oatka", "oatka_mon", IF(sample_log!$C1470="Seneca", "seneca_mon", "one"))))</f>
        <v/>
      </c>
    </row>
    <row r="1471" spans="6:6" s="2" customFormat="1" ht="15" x14ac:dyDescent="0.25">
      <c r="F1471" s="22" t="str">
        <f>IF(sample_log!$C1471="", "", IF(sample_log!$C1471="Chapin", "chapin_mon", IF(sample_log!$C1471="Oatka", "oatka_mon", IF(sample_log!$C1471="Seneca", "seneca_mon", "one"))))</f>
        <v/>
      </c>
    </row>
    <row r="1472" spans="6:6" s="2" customFormat="1" ht="15" x14ac:dyDescent="0.25">
      <c r="F1472" s="22" t="str">
        <f>IF(sample_log!$C1472="", "", IF(sample_log!$C1472="Chapin", "chapin_mon", IF(sample_log!$C1472="Oatka", "oatka_mon", IF(sample_log!$C1472="Seneca", "seneca_mon", "one"))))</f>
        <v/>
      </c>
    </row>
    <row r="1473" spans="6:6" s="2" customFormat="1" ht="15" x14ac:dyDescent="0.25">
      <c r="F1473" s="22" t="str">
        <f>IF(sample_log!$C1473="", "", IF(sample_log!$C1473="Chapin", "chapin_mon", IF(sample_log!$C1473="Oatka", "oatka_mon", IF(sample_log!$C1473="Seneca", "seneca_mon", "one"))))</f>
        <v/>
      </c>
    </row>
    <row r="1474" spans="6:6" s="2" customFormat="1" ht="15" x14ac:dyDescent="0.25">
      <c r="F1474" s="22" t="str">
        <f>IF(sample_log!$C1474="", "", IF(sample_log!$C1474="Chapin", "chapin_mon", IF(sample_log!$C1474="Oatka", "oatka_mon", IF(sample_log!$C1474="Seneca", "seneca_mon", "one"))))</f>
        <v/>
      </c>
    </row>
    <row r="1475" spans="6:6" s="2" customFormat="1" ht="15" x14ac:dyDescent="0.25">
      <c r="F1475" s="22" t="str">
        <f>IF(sample_log!$C1475="", "", IF(sample_log!$C1475="Chapin", "chapin_mon", IF(sample_log!$C1475="Oatka", "oatka_mon", IF(sample_log!$C1475="Seneca", "seneca_mon", "one"))))</f>
        <v/>
      </c>
    </row>
    <row r="1476" spans="6:6" s="2" customFormat="1" ht="15" x14ac:dyDescent="0.25">
      <c r="F1476" s="22" t="str">
        <f>IF(sample_log!$C1476="", "", IF(sample_log!$C1476="Chapin", "chapin_mon", IF(sample_log!$C1476="Oatka", "oatka_mon", IF(sample_log!$C1476="Seneca", "seneca_mon", "one"))))</f>
        <v/>
      </c>
    </row>
    <row r="1477" spans="6:6" s="2" customFormat="1" ht="15" x14ac:dyDescent="0.25">
      <c r="F1477" s="22" t="str">
        <f>IF(sample_log!$C1477="", "", IF(sample_log!$C1477="Chapin", "chapin_mon", IF(sample_log!$C1477="Oatka", "oatka_mon", IF(sample_log!$C1477="Seneca", "seneca_mon", "one"))))</f>
        <v/>
      </c>
    </row>
    <row r="1478" spans="6:6" s="2" customFormat="1" ht="15" x14ac:dyDescent="0.25">
      <c r="F1478" s="22" t="str">
        <f>IF(sample_log!$C1478="", "", IF(sample_log!$C1478="Chapin", "chapin_mon", IF(sample_log!$C1478="Oatka", "oatka_mon", IF(sample_log!$C1478="Seneca", "seneca_mon", "one"))))</f>
        <v/>
      </c>
    </row>
    <row r="1479" spans="6:6" s="2" customFormat="1" ht="15" x14ac:dyDescent="0.25">
      <c r="F1479" s="22" t="str">
        <f>IF(sample_log!$C1479="", "", IF(sample_log!$C1479="Chapin", "chapin_mon", IF(sample_log!$C1479="Oatka", "oatka_mon", IF(sample_log!$C1479="Seneca", "seneca_mon", "one"))))</f>
        <v/>
      </c>
    </row>
    <row r="1480" spans="6:6" s="2" customFormat="1" ht="15" x14ac:dyDescent="0.25">
      <c r="F1480" s="22" t="str">
        <f>IF(sample_log!$C1480="", "", IF(sample_log!$C1480="Chapin", "chapin_mon", IF(sample_log!$C1480="Oatka", "oatka_mon", IF(sample_log!$C1480="Seneca", "seneca_mon", "one"))))</f>
        <v/>
      </c>
    </row>
    <row r="1481" spans="6:6" s="2" customFormat="1" ht="15" x14ac:dyDescent="0.25">
      <c r="F1481" s="22" t="str">
        <f>IF(sample_log!$C1481="", "", IF(sample_log!$C1481="Chapin", "chapin_mon", IF(sample_log!$C1481="Oatka", "oatka_mon", IF(sample_log!$C1481="Seneca", "seneca_mon", "one"))))</f>
        <v/>
      </c>
    </row>
    <row r="1482" spans="6:6" s="2" customFormat="1" ht="15" x14ac:dyDescent="0.25">
      <c r="F1482" s="22" t="str">
        <f>IF(sample_log!$C1482="", "", IF(sample_log!$C1482="Chapin", "chapin_mon", IF(sample_log!$C1482="Oatka", "oatka_mon", IF(sample_log!$C1482="Seneca", "seneca_mon", "one"))))</f>
        <v/>
      </c>
    </row>
    <row r="1483" spans="6:6" s="2" customFormat="1" ht="15" x14ac:dyDescent="0.25">
      <c r="F1483" s="22" t="str">
        <f>IF(sample_log!$C1483="", "", IF(sample_log!$C1483="Chapin", "chapin_mon", IF(sample_log!$C1483="Oatka", "oatka_mon", IF(sample_log!$C1483="Seneca", "seneca_mon", "one"))))</f>
        <v/>
      </c>
    </row>
    <row r="1484" spans="6:6" s="2" customFormat="1" ht="15" x14ac:dyDescent="0.25">
      <c r="F1484" s="22" t="str">
        <f>IF(sample_log!$C1484="", "", IF(sample_log!$C1484="Chapin", "chapin_mon", IF(sample_log!$C1484="Oatka", "oatka_mon", IF(sample_log!$C1484="Seneca", "seneca_mon", "one"))))</f>
        <v/>
      </c>
    </row>
    <row r="1485" spans="6:6" s="2" customFormat="1" ht="15" x14ac:dyDescent="0.25">
      <c r="F1485" s="22" t="str">
        <f>IF(sample_log!$C1485="", "", IF(sample_log!$C1485="Chapin", "chapin_mon", IF(sample_log!$C1485="Oatka", "oatka_mon", IF(sample_log!$C1485="Seneca", "seneca_mon", "one"))))</f>
        <v/>
      </c>
    </row>
    <row r="1486" spans="6:6" s="2" customFormat="1" ht="15" x14ac:dyDescent="0.25">
      <c r="F1486" s="22" t="str">
        <f>IF(sample_log!$C1486="", "", IF(sample_log!$C1486="Chapin", "chapin_mon", IF(sample_log!$C1486="Oatka", "oatka_mon", IF(sample_log!$C1486="Seneca", "seneca_mon", "one"))))</f>
        <v/>
      </c>
    </row>
    <row r="1487" spans="6:6" s="2" customFormat="1" ht="15" x14ac:dyDescent="0.25">
      <c r="F1487" s="22" t="str">
        <f>IF(sample_log!$C1487="", "", IF(sample_log!$C1487="Chapin", "chapin_mon", IF(sample_log!$C1487="Oatka", "oatka_mon", IF(sample_log!$C1487="Seneca", "seneca_mon", "one"))))</f>
        <v/>
      </c>
    </row>
    <row r="1488" spans="6:6" s="2" customFormat="1" ht="15" x14ac:dyDescent="0.25">
      <c r="F1488" s="22" t="str">
        <f>IF(sample_log!$C1488="", "", IF(sample_log!$C1488="Chapin", "chapin_mon", IF(sample_log!$C1488="Oatka", "oatka_mon", IF(sample_log!$C1488="Seneca", "seneca_mon", "one"))))</f>
        <v/>
      </c>
    </row>
    <row r="1489" spans="6:6" s="2" customFormat="1" ht="15" x14ac:dyDescent="0.25">
      <c r="F1489" s="22" t="str">
        <f>IF(sample_log!$C1489="", "", IF(sample_log!$C1489="Chapin", "chapin_mon", IF(sample_log!$C1489="Oatka", "oatka_mon", IF(sample_log!$C1489="Seneca", "seneca_mon", "one"))))</f>
        <v/>
      </c>
    </row>
    <row r="1490" spans="6:6" s="2" customFormat="1" ht="15" x14ac:dyDescent="0.25">
      <c r="F1490" s="22" t="str">
        <f>IF(sample_log!$C1490="", "", IF(sample_log!$C1490="Chapin", "chapin_mon", IF(sample_log!$C1490="Oatka", "oatka_mon", IF(sample_log!$C1490="Seneca", "seneca_mon", "one"))))</f>
        <v/>
      </c>
    </row>
    <row r="1491" spans="6:6" s="2" customFormat="1" ht="15" x14ac:dyDescent="0.25">
      <c r="F1491" s="22" t="str">
        <f>IF(sample_log!$C1491="", "", IF(sample_log!$C1491="Chapin", "chapin_mon", IF(sample_log!$C1491="Oatka", "oatka_mon", IF(sample_log!$C1491="Seneca", "seneca_mon", "one"))))</f>
        <v/>
      </c>
    </row>
    <row r="1492" spans="6:6" s="2" customFormat="1" ht="15" x14ac:dyDescent="0.25">
      <c r="F1492" s="22" t="str">
        <f>IF(sample_log!$C1492="", "", IF(sample_log!$C1492="Chapin", "chapin_mon", IF(sample_log!$C1492="Oatka", "oatka_mon", IF(sample_log!$C1492="Seneca", "seneca_mon", "one"))))</f>
        <v/>
      </c>
    </row>
    <row r="1493" spans="6:6" s="2" customFormat="1" ht="15" x14ac:dyDescent="0.25">
      <c r="F1493" s="22" t="str">
        <f>IF(sample_log!$C1493="", "", IF(sample_log!$C1493="Chapin", "chapin_mon", IF(sample_log!$C1493="Oatka", "oatka_mon", IF(sample_log!$C1493="Seneca", "seneca_mon", "one"))))</f>
        <v/>
      </c>
    </row>
    <row r="1494" spans="6:6" s="2" customFormat="1" ht="15" x14ac:dyDescent="0.25">
      <c r="F1494" s="22" t="str">
        <f>IF(sample_log!$C1494="", "", IF(sample_log!$C1494="Chapin", "chapin_mon", IF(sample_log!$C1494="Oatka", "oatka_mon", IF(sample_log!$C1494="Seneca", "seneca_mon", "one"))))</f>
        <v/>
      </c>
    </row>
    <row r="1495" spans="6:6" s="2" customFormat="1" ht="15" x14ac:dyDescent="0.25">
      <c r="F1495" s="22" t="str">
        <f>IF(sample_log!$C1495="", "", IF(sample_log!$C1495="Chapin", "chapin_mon", IF(sample_log!$C1495="Oatka", "oatka_mon", IF(sample_log!$C1495="Seneca", "seneca_mon", "one"))))</f>
        <v/>
      </c>
    </row>
    <row r="1496" spans="6:6" s="2" customFormat="1" ht="15" x14ac:dyDescent="0.25">
      <c r="F1496" s="22" t="str">
        <f>IF(sample_log!$C1496="", "", IF(sample_log!$C1496="Chapin", "chapin_mon", IF(sample_log!$C1496="Oatka", "oatka_mon", IF(sample_log!$C1496="Seneca", "seneca_mon", "one"))))</f>
        <v/>
      </c>
    </row>
    <row r="1497" spans="6:6" s="2" customFormat="1" ht="15" x14ac:dyDescent="0.25">
      <c r="F1497" s="22" t="str">
        <f>IF(sample_log!$C1497="", "", IF(sample_log!$C1497="Chapin", "chapin_mon", IF(sample_log!$C1497="Oatka", "oatka_mon", IF(sample_log!$C1497="Seneca", "seneca_mon", "one"))))</f>
        <v/>
      </c>
    </row>
    <row r="1498" spans="6:6" s="2" customFormat="1" ht="15" x14ac:dyDescent="0.25">
      <c r="F1498" s="22" t="str">
        <f>IF(sample_log!$C1498="", "", IF(sample_log!$C1498="Chapin", "chapin_mon", IF(sample_log!$C1498="Oatka", "oatka_mon", IF(sample_log!$C1498="Seneca", "seneca_mon", "one"))))</f>
        <v/>
      </c>
    </row>
    <row r="1499" spans="6:6" s="2" customFormat="1" ht="15" x14ac:dyDescent="0.25">
      <c r="F1499" s="22" t="str">
        <f>IF(sample_log!$C1499="", "", IF(sample_log!$C1499="Chapin", "chapin_mon", IF(sample_log!$C1499="Oatka", "oatka_mon", IF(sample_log!$C1499="Seneca", "seneca_mon", "one"))))</f>
        <v/>
      </c>
    </row>
    <row r="1500" spans="6:6" s="2" customFormat="1" ht="15" x14ac:dyDescent="0.25">
      <c r="F1500" s="22" t="str">
        <f>IF(sample_log!$C1500="", "", IF(sample_log!$C1500="Chapin", "chapin_mon", IF(sample_log!$C1500="Oatka", "oatka_mon", IF(sample_log!$C1500="Seneca", "seneca_mon", "one"))))</f>
        <v/>
      </c>
    </row>
    <row r="1501" spans="6:6" s="2" customFormat="1" ht="15" x14ac:dyDescent="0.25">
      <c r="F1501" s="22" t="str">
        <f>IF(sample_log!$C1501="", "", IF(sample_log!$C1501="Chapin", "chapin_mon", IF(sample_log!$C1501="Oatka", "oatka_mon", IF(sample_log!$C1501="Seneca", "seneca_mon", "one"))))</f>
        <v/>
      </c>
    </row>
    <row r="1502" spans="6:6" s="2" customFormat="1" ht="15" x14ac:dyDescent="0.25">
      <c r="F1502" s="22" t="str">
        <f>IF(sample_log!$C1502="", "", IF(sample_log!$C1502="Chapin", "chapin_mon", IF(sample_log!$C1502="Oatka", "oatka_mon", IF(sample_log!$C1502="Seneca", "seneca_mon", "one"))))</f>
        <v/>
      </c>
    </row>
    <row r="1503" spans="6:6" s="2" customFormat="1" ht="15" x14ac:dyDescent="0.25">
      <c r="F1503" s="22" t="str">
        <f>IF(sample_log!$C1503="", "", IF(sample_log!$C1503="Chapin", "chapin_mon", IF(sample_log!$C1503="Oatka", "oatka_mon", IF(sample_log!$C1503="Seneca", "seneca_mon", "one"))))</f>
        <v/>
      </c>
    </row>
    <row r="1504" spans="6:6" s="2" customFormat="1" ht="15" x14ac:dyDescent="0.25">
      <c r="F1504" s="22" t="str">
        <f>IF(sample_log!$C1504="", "", IF(sample_log!$C1504="Chapin", "chapin_mon", IF(sample_log!$C1504="Oatka", "oatka_mon", IF(sample_log!$C1504="Seneca", "seneca_mon", "one"))))</f>
        <v/>
      </c>
    </row>
    <row r="1505" spans="6:6" s="2" customFormat="1" ht="15" x14ac:dyDescent="0.25">
      <c r="F1505" s="22" t="str">
        <f>IF(sample_log!$C1505="", "", IF(sample_log!$C1505="Chapin", "chapin_mon", IF(sample_log!$C1505="Oatka", "oatka_mon", IF(sample_log!$C1505="Seneca", "seneca_mon", "one"))))</f>
        <v/>
      </c>
    </row>
    <row r="1506" spans="6:6" s="2" customFormat="1" ht="15" x14ac:dyDescent="0.25">
      <c r="F1506" s="22" t="str">
        <f>IF(sample_log!$C1506="", "", IF(sample_log!$C1506="Chapin", "chapin_mon", IF(sample_log!$C1506="Oatka", "oatka_mon", IF(sample_log!$C1506="Seneca", "seneca_mon", "one"))))</f>
        <v/>
      </c>
    </row>
    <row r="1507" spans="6:6" s="2" customFormat="1" ht="15" x14ac:dyDescent="0.25">
      <c r="F1507" s="22" t="str">
        <f>IF(sample_log!$C1507="", "", IF(sample_log!$C1507="Chapin", "chapin_mon", IF(sample_log!$C1507="Oatka", "oatka_mon", IF(sample_log!$C1507="Seneca", "seneca_mon", "one"))))</f>
        <v/>
      </c>
    </row>
    <row r="1508" spans="6:6" s="2" customFormat="1" ht="15" x14ac:dyDescent="0.25">
      <c r="F1508" s="22" t="str">
        <f>IF(sample_log!$C1508="", "", IF(sample_log!$C1508="Chapin", "chapin_mon", IF(sample_log!$C1508="Oatka", "oatka_mon", IF(sample_log!$C1508="Seneca", "seneca_mon", "one"))))</f>
        <v/>
      </c>
    </row>
    <row r="1509" spans="6:6" s="2" customFormat="1" ht="15" x14ac:dyDescent="0.25">
      <c r="F1509" s="22" t="str">
        <f>IF(sample_log!$C1509="", "", IF(sample_log!$C1509="Chapin", "chapin_mon", IF(sample_log!$C1509="Oatka", "oatka_mon", IF(sample_log!$C1509="Seneca", "seneca_mon", "one"))))</f>
        <v/>
      </c>
    </row>
    <row r="1510" spans="6:6" s="2" customFormat="1" ht="15" x14ac:dyDescent="0.25">
      <c r="F1510" s="22" t="str">
        <f>IF(sample_log!$C1510="", "", IF(sample_log!$C1510="Chapin", "chapin_mon", IF(sample_log!$C1510="Oatka", "oatka_mon", IF(sample_log!$C1510="Seneca", "seneca_mon", "one"))))</f>
        <v/>
      </c>
    </row>
    <row r="1511" spans="6:6" s="2" customFormat="1" ht="15" x14ac:dyDescent="0.25">
      <c r="F1511" s="22" t="str">
        <f>IF(sample_log!$C1511="", "", IF(sample_log!$C1511="Chapin", "chapin_mon", IF(sample_log!$C1511="Oatka", "oatka_mon", IF(sample_log!$C1511="Seneca", "seneca_mon", "one"))))</f>
        <v/>
      </c>
    </row>
    <row r="1512" spans="6:6" s="2" customFormat="1" ht="15" x14ac:dyDescent="0.25">
      <c r="F1512" s="22" t="str">
        <f>IF(sample_log!$C1512="", "", IF(sample_log!$C1512="Chapin", "chapin_mon", IF(sample_log!$C1512="Oatka", "oatka_mon", IF(sample_log!$C1512="Seneca", "seneca_mon", "one"))))</f>
        <v/>
      </c>
    </row>
    <row r="1513" spans="6:6" s="2" customFormat="1" ht="15" x14ac:dyDescent="0.25">
      <c r="F1513" s="22" t="str">
        <f>IF(sample_log!$C1513="", "", IF(sample_log!$C1513="Chapin", "chapin_mon", IF(sample_log!$C1513="Oatka", "oatka_mon", IF(sample_log!$C1513="Seneca", "seneca_mon", "one"))))</f>
        <v/>
      </c>
    </row>
    <row r="1514" spans="6:6" s="2" customFormat="1" ht="15" x14ac:dyDescent="0.25">
      <c r="F1514" s="22" t="str">
        <f>IF(sample_log!$C1514="", "", IF(sample_log!$C1514="Chapin", "chapin_mon", IF(sample_log!$C1514="Oatka", "oatka_mon", IF(sample_log!$C1514="Seneca", "seneca_mon", "one"))))</f>
        <v/>
      </c>
    </row>
    <row r="1515" spans="6:6" s="2" customFormat="1" ht="15" x14ac:dyDescent="0.25">
      <c r="F1515" s="22" t="str">
        <f>IF(sample_log!$C1515="", "", IF(sample_log!$C1515="Chapin", "chapin_mon", IF(sample_log!$C1515="Oatka", "oatka_mon", IF(sample_log!$C1515="Seneca", "seneca_mon", "one"))))</f>
        <v/>
      </c>
    </row>
    <row r="1516" spans="6:6" s="2" customFormat="1" ht="15" x14ac:dyDescent="0.25">
      <c r="F1516" s="22" t="str">
        <f>IF(sample_log!$C1516="", "", IF(sample_log!$C1516="Chapin", "chapin_mon", IF(sample_log!$C1516="Oatka", "oatka_mon", IF(sample_log!$C1516="Seneca", "seneca_mon", "one"))))</f>
        <v/>
      </c>
    </row>
    <row r="1517" spans="6:6" s="2" customFormat="1" ht="15" x14ac:dyDescent="0.25">
      <c r="F1517" s="22" t="str">
        <f>IF(sample_log!$C1517="", "", IF(sample_log!$C1517="Chapin", "chapin_mon", IF(sample_log!$C1517="Oatka", "oatka_mon", IF(sample_log!$C1517="Seneca", "seneca_mon", "one"))))</f>
        <v/>
      </c>
    </row>
    <row r="1518" spans="6:6" s="2" customFormat="1" ht="15" x14ac:dyDescent="0.25">
      <c r="F1518" s="22" t="str">
        <f>IF(sample_log!$C1518="", "", IF(sample_log!$C1518="Chapin", "chapin_mon", IF(sample_log!$C1518="Oatka", "oatka_mon", IF(sample_log!$C1518="Seneca", "seneca_mon", "one"))))</f>
        <v/>
      </c>
    </row>
    <row r="1519" spans="6:6" s="2" customFormat="1" ht="15" x14ac:dyDescent="0.25">
      <c r="F1519" s="22" t="str">
        <f>IF(sample_log!$C1519="", "", IF(sample_log!$C1519="Chapin", "chapin_mon", IF(sample_log!$C1519="Oatka", "oatka_mon", IF(sample_log!$C1519="Seneca", "seneca_mon", "one"))))</f>
        <v/>
      </c>
    </row>
    <row r="1520" spans="6:6" s="2" customFormat="1" ht="15" x14ac:dyDescent="0.25">
      <c r="F1520" s="22" t="str">
        <f>IF(sample_log!$C1520="", "", IF(sample_log!$C1520="Chapin", "chapin_mon", IF(sample_log!$C1520="Oatka", "oatka_mon", IF(sample_log!$C1520="Seneca", "seneca_mon", "one"))))</f>
        <v/>
      </c>
    </row>
    <row r="1521" spans="6:6" s="2" customFormat="1" ht="15" x14ac:dyDescent="0.25">
      <c r="F1521" s="22" t="str">
        <f>IF(sample_log!$C1521="", "", IF(sample_log!$C1521="Chapin", "chapin_mon", IF(sample_log!$C1521="Oatka", "oatka_mon", IF(sample_log!$C1521="Seneca", "seneca_mon", "one"))))</f>
        <v/>
      </c>
    </row>
    <row r="1522" spans="6:6" s="2" customFormat="1" ht="15" x14ac:dyDescent="0.25">
      <c r="F1522" s="22" t="str">
        <f>IF(sample_log!$C1522="", "", IF(sample_log!$C1522="Chapin", "chapin_mon", IF(sample_log!$C1522="Oatka", "oatka_mon", IF(sample_log!$C1522="Seneca", "seneca_mon", "one"))))</f>
        <v/>
      </c>
    </row>
    <row r="1523" spans="6:6" s="2" customFormat="1" ht="15" x14ac:dyDescent="0.25">
      <c r="F1523" s="22" t="str">
        <f>IF(sample_log!$C1523="", "", IF(sample_log!$C1523="Chapin", "chapin_mon", IF(sample_log!$C1523="Oatka", "oatka_mon", IF(sample_log!$C1523="Seneca", "seneca_mon", "one"))))</f>
        <v/>
      </c>
    </row>
    <row r="1524" spans="6:6" s="2" customFormat="1" ht="15" x14ac:dyDescent="0.25">
      <c r="F1524" s="22" t="str">
        <f>IF(sample_log!$C1524="", "", IF(sample_log!$C1524="Chapin", "chapin_mon", IF(sample_log!$C1524="Oatka", "oatka_mon", IF(sample_log!$C1524="Seneca", "seneca_mon", "one"))))</f>
        <v/>
      </c>
    </row>
    <row r="1525" spans="6:6" s="2" customFormat="1" ht="15" x14ac:dyDescent="0.25">
      <c r="F1525" s="22" t="str">
        <f>IF(sample_log!$C1525="", "", IF(sample_log!$C1525="Chapin", "chapin_mon", IF(sample_log!$C1525="Oatka", "oatka_mon", IF(sample_log!$C1525="Seneca", "seneca_mon", "one"))))</f>
        <v/>
      </c>
    </row>
    <row r="1526" spans="6:6" s="2" customFormat="1" ht="15" x14ac:dyDescent="0.25">
      <c r="F1526" s="22" t="str">
        <f>IF(sample_log!$C1526="", "", IF(sample_log!$C1526="Chapin", "chapin_mon", IF(sample_log!$C1526="Oatka", "oatka_mon", IF(sample_log!$C1526="Seneca", "seneca_mon", "one"))))</f>
        <v/>
      </c>
    </row>
    <row r="1527" spans="6:6" s="2" customFormat="1" ht="15" x14ac:dyDescent="0.25">
      <c r="F1527" s="22" t="str">
        <f>IF(sample_log!$C1527="", "", IF(sample_log!$C1527="Chapin", "chapin_mon", IF(sample_log!$C1527="Oatka", "oatka_mon", IF(sample_log!$C1527="Seneca", "seneca_mon", "one"))))</f>
        <v/>
      </c>
    </row>
    <row r="1528" spans="6:6" s="2" customFormat="1" ht="15" x14ac:dyDescent="0.25">
      <c r="F1528" s="22" t="str">
        <f>IF(sample_log!$C1528="", "", IF(sample_log!$C1528="Chapin", "chapin_mon", IF(sample_log!$C1528="Oatka", "oatka_mon", IF(sample_log!$C1528="Seneca", "seneca_mon", "one"))))</f>
        <v/>
      </c>
    </row>
    <row r="1529" spans="6:6" s="2" customFormat="1" ht="15" x14ac:dyDescent="0.25">
      <c r="F1529" s="22" t="str">
        <f>IF(sample_log!$C1529="", "", IF(sample_log!$C1529="Chapin", "chapin_mon", IF(sample_log!$C1529="Oatka", "oatka_mon", IF(sample_log!$C1529="Seneca", "seneca_mon", "one"))))</f>
        <v/>
      </c>
    </row>
    <row r="1530" spans="6:6" s="2" customFormat="1" ht="15" x14ac:dyDescent="0.25">
      <c r="F1530" s="22" t="str">
        <f>IF(sample_log!$C1530="", "", IF(sample_log!$C1530="Chapin", "chapin_mon", IF(sample_log!$C1530="Oatka", "oatka_mon", IF(sample_log!$C1530="Seneca", "seneca_mon", "one"))))</f>
        <v/>
      </c>
    </row>
    <row r="1531" spans="6:6" s="2" customFormat="1" ht="15" x14ac:dyDescent="0.25">
      <c r="F1531" s="22" t="str">
        <f>IF(sample_log!$C1531="", "", IF(sample_log!$C1531="Chapin", "chapin_mon", IF(sample_log!$C1531="Oatka", "oatka_mon", IF(sample_log!$C1531="Seneca", "seneca_mon", "one"))))</f>
        <v/>
      </c>
    </row>
    <row r="1532" spans="6:6" s="2" customFormat="1" ht="15" x14ac:dyDescent="0.25">
      <c r="F1532" s="22" t="str">
        <f>IF(sample_log!$C1532="", "", IF(sample_log!$C1532="Chapin", "chapin_mon", IF(sample_log!$C1532="Oatka", "oatka_mon", IF(sample_log!$C1532="Seneca", "seneca_mon", "one"))))</f>
        <v/>
      </c>
    </row>
    <row r="1533" spans="6:6" s="2" customFormat="1" ht="15" x14ac:dyDescent="0.25">
      <c r="F1533" s="22" t="str">
        <f>IF(sample_log!$C1533="", "", IF(sample_log!$C1533="Chapin", "chapin_mon", IF(sample_log!$C1533="Oatka", "oatka_mon", IF(sample_log!$C1533="Seneca", "seneca_mon", "one"))))</f>
        <v/>
      </c>
    </row>
    <row r="1534" spans="6:6" s="2" customFormat="1" ht="15" x14ac:dyDescent="0.25">
      <c r="F1534" s="22" t="str">
        <f>IF(sample_log!$C1534="", "", IF(sample_log!$C1534="Chapin", "chapin_mon", IF(sample_log!$C1534="Oatka", "oatka_mon", IF(sample_log!$C1534="Seneca", "seneca_mon", "one"))))</f>
        <v/>
      </c>
    </row>
    <row r="1535" spans="6:6" s="2" customFormat="1" ht="15" x14ac:dyDescent="0.25">
      <c r="F1535" s="22" t="str">
        <f>IF(sample_log!$C1535="", "", IF(sample_log!$C1535="Chapin", "chapin_mon", IF(sample_log!$C1535="Oatka", "oatka_mon", IF(sample_log!$C1535="Seneca", "seneca_mon", "one"))))</f>
        <v/>
      </c>
    </row>
    <row r="1536" spans="6:6" s="2" customFormat="1" ht="15" x14ac:dyDescent="0.25">
      <c r="F1536" s="22" t="str">
        <f>IF(sample_log!$C1536="", "", IF(sample_log!$C1536="Chapin", "chapin_mon", IF(sample_log!$C1536="Oatka", "oatka_mon", IF(sample_log!$C1536="Seneca", "seneca_mon", "one"))))</f>
        <v/>
      </c>
    </row>
    <row r="1537" spans="6:6" s="2" customFormat="1" ht="15" x14ac:dyDescent="0.25">
      <c r="F1537" s="22" t="str">
        <f>IF(sample_log!$C1537="", "", IF(sample_log!$C1537="Chapin", "chapin_mon", IF(sample_log!$C1537="Oatka", "oatka_mon", IF(sample_log!$C1537="Seneca", "seneca_mon", "one"))))</f>
        <v/>
      </c>
    </row>
    <row r="1538" spans="6:6" s="2" customFormat="1" ht="15" x14ac:dyDescent="0.25">
      <c r="F1538" s="22" t="str">
        <f>IF(sample_log!$C1538="", "", IF(sample_log!$C1538="Chapin", "chapin_mon", IF(sample_log!$C1538="Oatka", "oatka_mon", IF(sample_log!$C1538="Seneca", "seneca_mon", "one"))))</f>
        <v/>
      </c>
    </row>
    <row r="1539" spans="6:6" s="2" customFormat="1" ht="15" x14ac:dyDescent="0.25">
      <c r="F1539" s="22" t="str">
        <f>IF(sample_log!$C1539="", "", IF(sample_log!$C1539="Chapin", "chapin_mon", IF(sample_log!$C1539="Oatka", "oatka_mon", IF(sample_log!$C1539="Seneca", "seneca_mon", "one"))))</f>
        <v/>
      </c>
    </row>
    <row r="1540" spans="6:6" s="2" customFormat="1" ht="15" x14ac:dyDescent="0.25">
      <c r="F1540" s="22" t="str">
        <f>IF(sample_log!$C1540="", "", IF(sample_log!$C1540="Chapin", "chapin_mon", IF(sample_log!$C1540="Oatka", "oatka_mon", IF(sample_log!$C1540="Seneca", "seneca_mon", "one"))))</f>
        <v/>
      </c>
    </row>
    <row r="1541" spans="6:6" s="2" customFormat="1" ht="15" x14ac:dyDescent="0.25">
      <c r="F1541" s="22" t="str">
        <f>IF(sample_log!$C1541="", "", IF(sample_log!$C1541="Chapin", "chapin_mon", IF(sample_log!$C1541="Oatka", "oatka_mon", IF(sample_log!$C1541="Seneca", "seneca_mon", "one"))))</f>
        <v/>
      </c>
    </row>
    <row r="1542" spans="6:6" s="2" customFormat="1" ht="15" x14ac:dyDescent="0.25">
      <c r="F1542" s="22" t="str">
        <f>IF(sample_log!$C1542="", "", IF(sample_log!$C1542="Chapin", "chapin_mon", IF(sample_log!$C1542="Oatka", "oatka_mon", IF(sample_log!$C1542="Seneca", "seneca_mon", "one"))))</f>
        <v/>
      </c>
    </row>
    <row r="1543" spans="6:6" s="2" customFormat="1" ht="15" x14ac:dyDescent="0.25">
      <c r="F1543" s="22" t="str">
        <f>IF(sample_log!$C1543="", "", IF(sample_log!$C1543="Chapin", "chapin_mon", IF(sample_log!$C1543="Oatka", "oatka_mon", IF(sample_log!$C1543="Seneca", "seneca_mon", "one"))))</f>
        <v/>
      </c>
    </row>
    <row r="1544" spans="6:6" s="2" customFormat="1" ht="15" x14ac:dyDescent="0.25">
      <c r="F1544" s="22" t="str">
        <f>IF(sample_log!$C1544="", "", IF(sample_log!$C1544="Chapin", "chapin_mon", IF(sample_log!$C1544="Oatka", "oatka_mon", IF(sample_log!$C1544="Seneca", "seneca_mon", "one"))))</f>
        <v/>
      </c>
    </row>
    <row r="1545" spans="6:6" s="2" customFormat="1" ht="15" x14ac:dyDescent="0.25">
      <c r="F1545" s="22" t="str">
        <f>IF(sample_log!$C1545="", "", IF(sample_log!$C1545="Chapin", "chapin_mon", IF(sample_log!$C1545="Oatka", "oatka_mon", IF(sample_log!$C1545="Seneca", "seneca_mon", "one"))))</f>
        <v/>
      </c>
    </row>
    <row r="1546" spans="6:6" s="2" customFormat="1" ht="15" x14ac:dyDescent="0.25">
      <c r="F1546" s="22" t="str">
        <f>IF(sample_log!$C1546="", "", IF(sample_log!$C1546="Chapin", "chapin_mon", IF(sample_log!$C1546="Oatka", "oatka_mon", IF(sample_log!$C1546="Seneca", "seneca_mon", "one"))))</f>
        <v/>
      </c>
    </row>
    <row r="1547" spans="6:6" s="2" customFormat="1" ht="15" x14ac:dyDescent="0.25">
      <c r="F1547" s="22" t="str">
        <f>IF(sample_log!$C1547="", "", IF(sample_log!$C1547="Chapin", "chapin_mon", IF(sample_log!$C1547="Oatka", "oatka_mon", IF(sample_log!$C1547="Seneca", "seneca_mon", "one"))))</f>
        <v/>
      </c>
    </row>
    <row r="1548" spans="6:6" s="2" customFormat="1" ht="15" x14ac:dyDescent="0.25">
      <c r="F1548" s="22" t="str">
        <f>IF(sample_log!$C1548="", "", IF(sample_log!$C1548="Chapin", "chapin_mon", IF(sample_log!$C1548="Oatka", "oatka_mon", IF(sample_log!$C1548="Seneca", "seneca_mon", "one"))))</f>
        <v/>
      </c>
    </row>
    <row r="1549" spans="6:6" s="2" customFormat="1" ht="15" x14ac:dyDescent="0.25">
      <c r="F1549" s="22" t="str">
        <f>IF(sample_log!$C1549="", "", IF(sample_log!$C1549="Chapin", "chapin_mon", IF(sample_log!$C1549="Oatka", "oatka_mon", IF(sample_log!$C1549="Seneca", "seneca_mon", "one"))))</f>
        <v/>
      </c>
    </row>
    <row r="1550" spans="6:6" s="2" customFormat="1" ht="15" x14ac:dyDescent="0.25">
      <c r="F1550" s="22" t="str">
        <f>IF(sample_log!$C1550="", "", IF(sample_log!$C1550="Chapin", "chapin_mon", IF(sample_log!$C1550="Oatka", "oatka_mon", IF(sample_log!$C1550="Seneca", "seneca_mon", "one"))))</f>
        <v/>
      </c>
    </row>
    <row r="1551" spans="6:6" s="2" customFormat="1" ht="15" x14ac:dyDescent="0.25">
      <c r="F1551" s="22" t="str">
        <f>IF(sample_log!$C1551="", "", IF(sample_log!$C1551="Chapin", "chapin_mon", IF(sample_log!$C1551="Oatka", "oatka_mon", IF(sample_log!$C1551="Seneca", "seneca_mon", "one"))))</f>
        <v/>
      </c>
    </row>
    <row r="1552" spans="6:6" s="2" customFormat="1" ht="15" x14ac:dyDescent="0.25">
      <c r="F1552" s="22" t="str">
        <f>IF(sample_log!$C1552="", "", IF(sample_log!$C1552="Chapin", "chapin_mon", IF(sample_log!$C1552="Oatka", "oatka_mon", IF(sample_log!$C1552="Seneca", "seneca_mon", "one"))))</f>
        <v/>
      </c>
    </row>
    <row r="1553" spans="6:6" s="2" customFormat="1" ht="15" x14ac:dyDescent="0.25">
      <c r="F1553" s="22" t="str">
        <f>IF(sample_log!$C1553="", "", IF(sample_log!$C1553="Chapin", "chapin_mon", IF(sample_log!$C1553="Oatka", "oatka_mon", IF(sample_log!$C1553="Seneca", "seneca_mon", "one"))))</f>
        <v/>
      </c>
    </row>
    <row r="1554" spans="6:6" s="2" customFormat="1" ht="15" x14ac:dyDescent="0.25">
      <c r="F1554" s="22" t="str">
        <f>IF(sample_log!$C1554="", "", IF(sample_log!$C1554="Chapin", "chapin_mon", IF(sample_log!$C1554="Oatka", "oatka_mon", IF(sample_log!$C1554="Seneca", "seneca_mon", "one"))))</f>
        <v/>
      </c>
    </row>
    <row r="1555" spans="6:6" s="2" customFormat="1" ht="15" x14ac:dyDescent="0.25">
      <c r="F1555" s="22" t="str">
        <f>IF(sample_log!$C1555="", "", IF(sample_log!$C1555="Chapin", "chapin_mon", IF(sample_log!$C1555="Oatka", "oatka_mon", IF(sample_log!$C1555="Seneca", "seneca_mon", "one"))))</f>
        <v/>
      </c>
    </row>
    <row r="1556" spans="6:6" s="2" customFormat="1" ht="15" x14ac:dyDescent="0.25">
      <c r="F1556" s="22" t="str">
        <f>IF(sample_log!$C1556="", "", IF(sample_log!$C1556="Chapin", "chapin_mon", IF(sample_log!$C1556="Oatka", "oatka_mon", IF(sample_log!$C1556="Seneca", "seneca_mon", "one"))))</f>
        <v/>
      </c>
    </row>
    <row r="1557" spans="6:6" s="2" customFormat="1" ht="15" x14ac:dyDescent="0.25">
      <c r="F1557" s="22" t="str">
        <f>IF(sample_log!$C1557="", "", IF(sample_log!$C1557="Chapin", "chapin_mon", IF(sample_log!$C1557="Oatka", "oatka_mon", IF(sample_log!$C1557="Seneca", "seneca_mon", "one"))))</f>
        <v/>
      </c>
    </row>
    <row r="1558" spans="6:6" s="2" customFormat="1" ht="15" x14ac:dyDescent="0.25">
      <c r="F1558" s="22" t="str">
        <f>IF(sample_log!$C1558="", "", IF(sample_log!$C1558="Chapin", "chapin_mon", IF(sample_log!$C1558="Oatka", "oatka_mon", IF(sample_log!$C1558="Seneca", "seneca_mon", "one"))))</f>
        <v/>
      </c>
    </row>
    <row r="1559" spans="6:6" s="2" customFormat="1" ht="15" x14ac:dyDescent="0.25">
      <c r="F1559" s="22" t="str">
        <f>IF(sample_log!$C1559="", "", IF(sample_log!$C1559="Chapin", "chapin_mon", IF(sample_log!$C1559="Oatka", "oatka_mon", IF(sample_log!$C1559="Seneca", "seneca_mon", "one"))))</f>
        <v/>
      </c>
    </row>
    <row r="1560" spans="6:6" s="2" customFormat="1" ht="15" x14ac:dyDescent="0.25">
      <c r="F1560" s="22" t="str">
        <f>IF(sample_log!$C1560="", "", IF(sample_log!$C1560="Chapin", "chapin_mon", IF(sample_log!$C1560="Oatka", "oatka_mon", IF(sample_log!$C1560="Seneca", "seneca_mon", "one"))))</f>
        <v/>
      </c>
    </row>
    <row r="1561" spans="6:6" s="2" customFormat="1" ht="15" x14ac:dyDescent="0.25">
      <c r="F1561" s="22" t="str">
        <f>IF(sample_log!$C1561="", "", IF(sample_log!$C1561="Chapin", "chapin_mon", IF(sample_log!$C1561="Oatka", "oatka_mon", IF(sample_log!$C1561="Seneca", "seneca_mon", "one"))))</f>
        <v/>
      </c>
    </row>
    <row r="1562" spans="6:6" s="2" customFormat="1" ht="15" x14ac:dyDescent="0.25">
      <c r="F1562" s="22" t="str">
        <f>IF(sample_log!$C1562="", "", IF(sample_log!$C1562="Chapin", "chapin_mon", IF(sample_log!$C1562="Oatka", "oatka_mon", IF(sample_log!$C1562="Seneca", "seneca_mon", "one"))))</f>
        <v/>
      </c>
    </row>
    <row r="1563" spans="6:6" s="2" customFormat="1" ht="15" x14ac:dyDescent="0.25">
      <c r="F1563" s="22" t="str">
        <f>IF(sample_log!$C1563="", "", IF(sample_log!$C1563="Chapin", "chapin_mon", IF(sample_log!$C1563="Oatka", "oatka_mon", IF(sample_log!$C1563="Seneca", "seneca_mon", "one"))))</f>
        <v/>
      </c>
    </row>
    <row r="1564" spans="6:6" s="2" customFormat="1" ht="15" x14ac:dyDescent="0.25">
      <c r="F1564" s="22" t="str">
        <f>IF(sample_log!$C1564="", "", IF(sample_log!$C1564="Chapin", "chapin_mon", IF(sample_log!$C1564="Oatka", "oatka_mon", IF(sample_log!$C1564="Seneca", "seneca_mon", "one"))))</f>
        <v/>
      </c>
    </row>
    <row r="1565" spans="6:6" s="2" customFormat="1" ht="15" x14ac:dyDescent="0.25">
      <c r="F1565" s="22" t="str">
        <f>IF(sample_log!$C1565="", "", IF(sample_log!$C1565="Chapin", "chapin_mon", IF(sample_log!$C1565="Oatka", "oatka_mon", IF(sample_log!$C1565="Seneca", "seneca_mon", "one"))))</f>
        <v/>
      </c>
    </row>
    <row r="1566" spans="6:6" s="2" customFormat="1" ht="15" x14ac:dyDescent="0.25">
      <c r="F1566" s="22" t="str">
        <f>IF(sample_log!$C1566="", "", IF(sample_log!$C1566="Chapin", "chapin_mon", IF(sample_log!$C1566="Oatka", "oatka_mon", IF(sample_log!$C1566="Seneca", "seneca_mon", "one"))))</f>
        <v/>
      </c>
    </row>
    <row r="1567" spans="6:6" s="2" customFormat="1" ht="15" x14ac:dyDescent="0.25">
      <c r="F1567" s="22" t="str">
        <f>IF(sample_log!$C1567="", "", IF(sample_log!$C1567="Chapin", "chapin_mon", IF(sample_log!$C1567="Oatka", "oatka_mon", IF(sample_log!$C1567="Seneca", "seneca_mon", "one"))))</f>
        <v/>
      </c>
    </row>
    <row r="1568" spans="6:6" s="2" customFormat="1" ht="15" x14ac:dyDescent="0.25">
      <c r="F1568" s="22" t="str">
        <f>IF(sample_log!$C1568="", "", IF(sample_log!$C1568="Chapin", "chapin_mon", IF(sample_log!$C1568="Oatka", "oatka_mon", IF(sample_log!$C1568="Seneca", "seneca_mon", "one"))))</f>
        <v/>
      </c>
    </row>
    <row r="1569" spans="6:6" s="2" customFormat="1" ht="15" x14ac:dyDescent="0.25">
      <c r="F1569" s="22" t="str">
        <f>IF(sample_log!$C1569="", "", IF(sample_log!$C1569="Chapin", "chapin_mon", IF(sample_log!$C1569="Oatka", "oatka_mon", IF(sample_log!$C1569="Seneca", "seneca_mon", "one"))))</f>
        <v/>
      </c>
    </row>
    <row r="1570" spans="6:6" s="2" customFormat="1" ht="15" x14ac:dyDescent="0.25">
      <c r="F1570" s="22" t="str">
        <f>IF(sample_log!$C1570="", "", IF(sample_log!$C1570="Chapin", "chapin_mon", IF(sample_log!$C1570="Oatka", "oatka_mon", IF(sample_log!$C1570="Seneca", "seneca_mon", "one"))))</f>
        <v/>
      </c>
    </row>
    <row r="1571" spans="6:6" s="2" customFormat="1" ht="15" x14ac:dyDescent="0.25">
      <c r="F1571" s="22" t="str">
        <f>IF(sample_log!$C1571="", "", IF(sample_log!$C1571="Chapin", "chapin_mon", IF(sample_log!$C1571="Oatka", "oatka_mon", IF(sample_log!$C1571="Seneca", "seneca_mon", "one"))))</f>
        <v/>
      </c>
    </row>
    <row r="1572" spans="6:6" s="2" customFormat="1" ht="15" x14ac:dyDescent="0.25">
      <c r="F1572" s="22" t="str">
        <f>IF(sample_log!$C1572="", "", IF(sample_log!$C1572="Chapin", "chapin_mon", IF(sample_log!$C1572="Oatka", "oatka_mon", IF(sample_log!$C1572="Seneca", "seneca_mon", "one"))))</f>
        <v/>
      </c>
    </row>
    <row r="1573" spans="6:6" s="2" customFormat="1" ht="15" x14ac:dyDescent="0.25">
      <c r="F1573" s="22" t="str">
        <f>IF(sample_log!$C1573="", "", IF(sample_log!$C1573="Chapin", "chapin_mon", IF(sample_log!$C1573="Oatka", "oatka_mon", IF(sample_log!$C1573="Seneca", "seneca_mon", "one"))))</f>
        <v/>
      </c>
    </row>
    <row r="1574" spans="6:6" s="2" customFormat="1" ht="15" x14ac:dyDescent="0.25">
      <c r="F1574" s="22" t="str">
        <f>IF(sample_log!$C1574="", "", IF(sample_log!$C1574="Chapin", "chapin_mon", IF(sample_log!$C1574="Oatka", "oatka_mon", IF(sample_log!$C1574="Seneca", "seneca_mon", "one"))))</f>
        <v/>
      </c>
    </row>
    <row r="1575" spans="6:6" s="2" customFormat="1" ht="15" x14ac:dyDescent="0.25">
      <c r="F1575" s="22" t="str">
        <f>IF(sample_log!$C1575="", "", IF(sample_log!$C1575="Chapin", "chapin_mon", IF(sample_log!$C1575="Oatka", "oatka_mon", IF(sample_log!$C1575="Seneca", "seneca_mon", "one"))))</f>
        <v/>
      </c>
    </row>
    <row r="1576" spans="6:6" s="2" customFormat="1" ht="15" x14ac:dyDescent="0.25">
      <c r="F1576" s="22" t="str">
        <f>IF(sample_log!$C1576="", "", IF(sample_log!$C1576="Chapin", "chapin_mon", IF(sample_log!$C1576="Oatka", "oatka_mon", IF(sample_log!$C1576="Seneca", "seneca_mon", "one"))))</f>
        <v/>
      </c>
    </row>
    <row r="1577" spans="6:6" s="2" customFormat="1" ht="15" x14ac:dyDescent="0.25">
      <c r="F1577" s="22" t="str">
        <f>IF(sample_log!$C1577="", "", IF(sample_log!$C1577="Chapin", "chapin_mon", IF(sample_log!$C1577="Oatka", "oatka_mon", IF(sample_log!$C1577="Seneca", "seneca_mon", "one"))))</f>
        <v/>
      </c>
    </row>
    <row r="1578" spans="6:6" s="2" customFormat="1" ht="15" x14ac:dyDescent="0.25">
      <c r="F1578" s="22" t="str">
        <f>IF(sample_log!$C1578="", "", IF(sample_log!$C1578="Chapin", "chapin_mon", IF(sample_log!$C1578="Oatka", "oatka_mon", IF(sample_log!$C1578="Seneca", "seneca_mon", "one"))))</f>
        <v/>
      </c>
    </row>
    <row r="1579" spans="6:6" s="2" customFormat="1" ht="15" x14ac:dyDescent="0.25">
      <c r="F1579" s="22" t="str">
        <f>IF(sample_log!$C1579="", "", IF(sample_log!$C1579="Chapin", "chapin_mon", IF(sample_log!$C1579="Oatka", "oatka_mon", IF(sample_log!$C1579="Seneca", "seneca_mon", "one"))))</f>
        <v/>
      </c>
    </row>
    <row r="1580" spans="6:6" s="2" customFormat="1" ht="15" x14ac:dyDescent="0.25">
      <c r="F1580" s="22" t="str">
        <f>IF(sample_log!$C1580="", "", IF(sample_log!$C1580="Chapin", "chapin_mon", IF(sample_log!$C1580="Oatka", "oatka_mon", IF(sample_log!$C1580="Seneca", "seneca_mon", "one"))))</f>
        <v/>
      </c>
    </row>
    <row r="1581" spans="6:6" s="2" customFormat="1" ht="15" x14ac:dyDescent="0.25">
      <c r="F1581" s="22" t="str">
        <f>IF(sample_log!$C1581="", "", IF(sample_log!$C1581="Chapin", "chapin_mon", IF(sample_log!$C1581="Oatka", "oatka_mon", IF(sample_log!$C1581="Seneca", "seneca_mon", "one"))))</f>
        <v/>
      </c>
    </row>
    <row r="1582" spans="6:6" s="2" customFormat="1" ht="15" x14ac:dyDescent="0.25">
      <c r="F1582" s="22" t="str">
        <f>IF(sample_log!$C1582="", "", IF(sample_log!$C1582="Chapin", "chapin_mon", IF(sample_log!$C1582="Oatka", "oatka_mon", IF(sample_log!$C1582="Seneca", "seneca_mon", "one"))))</f>
        <v/>
      </c>
    </row>
    <row r="1583" spans="6:6" s="2" customFormat="1" ht="15" x14ac:dyDescent="0.25">
      <c r="F1583" s="22" t="str">
        <f>IF(sample_log!$C1583="", "", IF(sample_log!$C1583="Chapin", "chapin_mon", IF(sample_log!$C1583="Oatka", "oatka_mon", IF(sample_log!$C1583="Seneca", "seneca_mon", "one"))))</f>
        <v/>
      </c>
    </row>
    <row r="1584" spans="6:6" s="2" customFormat="1" ht="15" x14ac:dyDescent="0.25">
      <c r="F1584" s="22" t="str">
        <f>IF(sample_log!$C1584="", "", IF(sample_log!$C1584="Chapin", "chapin_mon", IF(sample_log!$C1584="Oatka", "oatka_mon", IF(sample_log!$C1584="Seneca", "seneca_mon", "one"))))</f>
        <v/>
      </c>
    </row>
    <row r="1585" spans="6:6" s="2" customFormat="1" ht="15" x14ac:dyDescent="0.25">
      <c r="F1585" s="22" t="str">
        <f>IF(sample_log!$C1585="", "", IF(sample_log!$C1585="Chapin", "chapin_mon", IF(sample_log!$C1585="Oatka", "oatka_mon", IF(sample_log!$C1585="Seneca", "seneca_mon", "one"))))</f>
        <v/>
      </c>
    </row>
    <row r="1586" spans="6:6" s="2" customFormat="1" ht="15" x14ac:dyDescent="0.25">
      <c r="F1586" s="22" t="str">
        <f>IF(sample_log!$C1586="", "", IF(sample_log!$C1586="Chapin", "chapin_mon", IF(sample_log!$C1586="Oatka", "oatka_mon", IF(sample_log!$C1586="Seneca", "seneca_mon", "one"))))</f>
        <v/>
      </c>
    </row>
    <row r="1587" spans="6:6" s="2" customFormat="1" ht="15" x14ac:dyDescent="0.25">
      <c r="F1587" s="22" t="str">
        <f>IF(sample_log!$C1587="", "", IF(sample_log!$C1587="Chapin", "chapin_mon", IF(sample_log!$C1587="Oatka", "oatka_mon", IF(sample_log!$C1587="Seneca", "seneca_mon", "one"))))</f>
        <v/>
      </c>
    </row>
    <row r="1588" spans="6:6" s="2" customFormat="1" ht="15" x14ac:dyDescent="0.25">
      <c r="F1588" s="22" t="str">
        <f>IF(sample_log!$C1588="", "", IF(sample_log!$C1588="Chapin", "chapin_mon", IF(sample_log!$C1588="Oatka", "oatka_mon", IF(sample_log!$C1588="Seneca", "seneca_mon", "one"))))</f>
        <v/>
      </c>
    </row>
    <row r="1589" spans="6:6" s="2" customFormat="1" ht="15" x14ac:dyDescent="0.25">
      <c r="F1589" s="22" t="str">
        <f>IF(sample_log!$C1589="", "", IF(sample_log!$C1589="Chapin", "chapin_mon", IF(sample_log!$C1589="Oatka", "oatka_mon", IF(sample_log!$C1589="Seneca", "seneca_mon", "one"))))</f>
        <v/>
      </c>
    </row>
    <row r="1590" spans="6:6" s="2" customFormat="1" ht="15" x14ac:dyDescent="0.25">
      <c r="F1590" s="22" t="str">
        <f>IF(sample_log!$C1590="", "", IF(sample_log!$C1590="Chapin", "chapin_mon", IF(sample_log!$C1590="Oatka", "oatka_mon", IF(sample_log!$C1590="Seneca", "seneca_mon", "one"))))</f>
        <v/>
      </c>
    </row>
    <row r="1591" spans="6:6" s="2" customFormat="1" ht="15" x14ac:dyDescent="0.25">
      <c r="F1591" s="22" t="str">
        <f>IF(sample_log!$C1591="", "", IF(sample_log!$C1591="Chapin", "chapin_mon", IF(sample_log!$C1591="Oatka", "oatka_mon", IF(sample_log!$C1591="Seneca", "seneca_mon", "one"))))</f>
        <v/>
      </c>
    </row>
    <row r="1592" spans="6:6" s="2" customFormat="1" ht="15" x14ac:dyDescent="0.25">
      <c r="F1592" s="22" t="str">
        <f>IF(sample_log!$C1592="", "", IF(sample_log!$C1592="Chapin", "chapin_mon", IF(sample_log!$C1592="Oatka", "oatka_mon", IF(sample_log!$C1592="Seneca", "seneca_mon", "one"))))</f>
        <v/>
      </c>
    </row>
    <row r="1593" spans="6:6" s="2" customFormat="1" ht="15" x14ac:dyDescent="0.25">
      <c r="F1593" s="22" t="str">
        <f>IF(sample_log!$C1593="", "", IF(sample_log!$C1593="Chapin", "chapin_mon", IF(sample_log!$C1593="Oatka", "oatka_mon", IF(sample_log!$C1593="Seneca", "seneca_mon", "one"))))</f>
        <v/>
      </c>
    </row>
    <row r="1594" spans="6:6" s="2" customFormat="1" ht="15" x14ac:dyDescent="0.25">
      <c r="F1594" s="22" t="str">
        <f>IF(sample_log!$C1594="", "", IF(sample_log!$C1594="Chapin", "chapin_mon", IF(sample_log!$C1594="Oatka", "oatka_mon", IF(sample_log!$C1594="Seneca", "seneca_mon", "one"))))</f>
        <v/>
      </c>
    </row>
    <row r="1595" spans="6:6" s="2" customFormat="1" ht="15" x14ac:dyDescent="0.25">
      <c r="F1595" s="22" t="str">
        <f>IF(sample_log!$C1595="", "", IF(sample_log!$C1595="Chapin", "chapin_mon", IF(sample_log!$C1595="Oatka", "oatka_mon", IF(sample_log!$C1595="Seneca", "seneca_mon", "one"))))</f>
        <v/>
      </c>
    </row>
    <row r="1596" spans="6:6" s="2" customFormat="1" ht="15" x14ac:dyDescent="0.25">
      <c r="F1596" s="22" t="str">
        <f>IF(sample_log!$C1596="", "", IF(sample_log!$C1596="Chapin", "chapin_mon", IF(sample_log!$C1596="Oatka", "oatka_mon", IF(sample_log!$C1596="Seneca", "seneca_mon", "one"))))</f>
        <v/>
      </c>
    </row>
    <row r="1597" spans="6:6" s="2" customFormat="1" ht="15" x14ac:dyDescent="0.25">
      <c r="F1597" s="22" t="str">
        <f>IF(sample_log!$C1597="", "", IF(sample_log!$C1597="Chapin", "chapin_mon", IF(sample_log!$C1597="Oatka", "oatka_mon", IF(sample_log!$C1597="Seneca", "seneca_mon", "one"))))</f>
        <v/>
      </c>
    </row>
    <row r="1598" spans="6:6" s="2" customFormat="1" ht="15" x14ac:dyDescent="0.25">
      <c r="F1598" s="22" t="str">
        <f>IF(sample_log!$C1598="", "", IF(sample_log!$C1598="Chapin", "chapin_mon", IF(sample_log!$C1598="Oatka", "oatka_mon", IF(sample_log!$C1598="Seneca", "seneca_mon", "one"))))</f>
        <v/>
      </c>
    </row>
    <row r="1599" spans="6:6" s="2" customFormat="1" ht="15" x14ac:dyDescent="0.25">
      <c r="F1599" s="22" t="str">
        <f>IF(sample_log!$C1599="", "", IF(sample_log!$C1599="Chapin", "chapin_mon", IF(sample_log!$C1599="Oatka", "oatka_mon", IF(sample_log!$C1599="Seneca", "seneca_mon", "one"))))</f>
        <v/>
      </c>
    </row>
    <row r="1600" spans="6:6" s="2" customFormat="1" ht="15" x14ac:dyDescent="0.25">
      <c r="F1600" s="22" t="str">
        <f>IF(sample_log!$C1600="", "", IF(sample_log!$C1600="Chapin", "chapin_mon", IF(sample_log!$C1600="Oatka", "oatka_mon", IF(sample_log!$C1600="Seneca", "seneca_mon", "one"))))</f>
        <v/>
      </c>
    </row>
    <row r="1601" spans="6:6" s="2" customFormat="1" ht="15" x14ac:dyDescent="0.25">
      <c r="F1601" s="22" t="str">
        <f>IF(sample_log!$C1601="", "", IF(sample_log!$C1601="Chapin", "chapin_mon", IF(sample_log!$C1601="Oatka", "oatka_mon", IF(sample_log!$C1601="Seneca", "seneca_mon", "one"))))</f>
        <v/>
      </c>
    </row>
    <row r="1602" spans="6:6" s="2" customFormat="1" ht="15" x14ac:dyDescent="0.25">
      <c r="F1602" s="22" t="str">
        <f>IF(sample_log!$C1602="", "", IF(sample_log!$C1602="Chapin", "chapin_mon", IF(sample_log!$C1602="Oatka", "oatka_mon", IF(sample_log!$C1602="Seneca", "seneca_mon", "one"))))</f>
        <v/>
      </c>
    </row>
    <row r="1603" spans="6:6" s="2" customFormat="1" ht="15" x14ac:dyDescent="0.25">
      <c r="F1603" s="22" t="str">
        <f>IF(sample_log!$C1603="", "", IF(sample_log!$C1603="Chapin", "chapin_mon", IF(sample_log!$C1603="Oatka", "oatka_mon", IF(sample_log!$C1603="Seneca", "seneca_mon", "one"))))</f>
        <v/>
      </c>
    </row>
    <row r="1604" spans="6:6" s="2" customFormat="1" ht="15" x14ac:dyDescent="0.25">
      <c r="F1604" s="22" t="str">
        <f>IF(sample_log!$C1604="", "", IF(sample_log!$C1604="Chapin", "chapin_mon", IF(sample_log!$C1604="Oatka", "oatka_mon", IF(sample_log!$C1604="Seneca", "seneca_mon", "one"))))</f>
        <v/>
      </c>
    </row>
    <row r="1605" spans="6:6" s="2" customFormat="1" ht="15" x14ac:dyDescent="0.25">
      <c r="F1605" s="22" t="str">
        <f>IF(sample_log!$C1605="", "", IF(sample_log!$C1605="Chapin", "chapin_mon", IF(sample_log!$C1605="Oatka", "oatka_mon", IF(sample_log!$C1605="Seneca", "seneca_mon", "one"))))</f>
        <v/>
      </c>
    </row>
    <row r="1606" spans="6:6" s="2" customFormat="1" ht="15" x14ac:dyDescent="0.25">
      <c r="F1606" s="22" t="str">
        <f>IF(sample_log!$C1606="", "", IF(sample_log!$C1606="Chapin", "chapin_mon", IF(sample_log!$C1606="Oatka", "oatka_mon", IF(sample_log!$C1606="Seneca", "seneca_mon", "one"))))</f>
        <v/>
      </c>
    </row>
    <row r="1607" spans="6:6" s="2" customFormat="1" ht="15" x14ac:dyDescent="0.25">
      <c r="F1607" s="22" t="str">
        <f>IF(sample_log!$C1607="", "", IF(sample_log!$C1607="Chapin", "chapin_mon", IF(sample_log!$C1607="Oatka", "oatka_mon", IF(sample_log!$C1607="Seneca", "seneca_mon", "one"))))</f>
        <v/>
      </c>
    </row>
    <row r="1608" spans="6:6" s="2" customFormat="1" ht="15" x14ac:dyDescent="0.25">
      <c r="F1608" s="22" t="str">
        <f>IF(sample_log!$C1608="", "", IF(sample_log!$C1608="Chapin", "chapin_mon", IF(sample_log!$C1608="Oatka", "oatka_mon", IF(sample_log!$C1608="Seneca", "seneca_mon", "one"))))</f>
        <v/>
      </c>
    </row>
    <row r="1609" spans="6:6" s="2" customFormat="1" ht="15" x14ac:dyDescent="0.25">
      <c r="F1609" s="22" t="str">
        <f>IF(sample_log!$C1609="", "", IF(sample_log!$C1609="Chapin", "chapin_mon", IF(sample_log!$C1609="Oatka", "oatka_mon", IF(sample_log!$C1609="Seneca", "seneca_mon", "one"))))</f>
        <v/>
      </c>
    </row>
    <row r="1610" spans="6:6" s="2" customFormat="1" ht="15" x14ac:dyDescent="0.25">
      <c r="F1610" s="22" t="str">
        <f>IF(sample_log!$C1610="", "", IF(sample_log!$C1610="Chapin", "chapin_mon", IF(sample_log!$C1610="Oatka", "oatka_mon", IF(sample_log!$C1610="Seneca", "seneca_mon", "one"))))</f>
        <v/>
      </c>
    </row>
    <row r="1611" spans="6:6" s="2" customFormat="1" ht="15" x14ac:dyDescent="0.25">
      <c r="F1611" s="22" t="str">
        <f>IF(sample_log!$C1611="", "", IF(sample_log!$C1611="Chapin", "chapin_mon", IF(sample_log!$C1611="Oatka", "oatka_mon", IF(sample_log!$C1611="Seneca", "seneca_mon", "one"))))</f>
        <v/>
      </c>
    </row>
    <row r="1612" spans="6:6" s="2" customFormat="1" ht="15" x14ac:dyDescent="0.25">
      <c r="F1612" s="22" t="str">
        <f>IF(sample_log!$C1612="", "", IF(sample_log!$C1612="Chapin", "chapin_mon", IF(sample_log!$C1612="Oatka", "oatka_mon", IF(sample_log!$C1612="Seneca", "seneca_mon", "one"))))</f>
        <v/>
      </c>
    </row>
    <row r="1613" spans="6:6" s="2" customFormat="1" ht="15" x14ac:dyDescent="0.25">
      <c r="F1613" s="22" t="str">
        <f>IF(sample_log!$C1613="", "", IF(sample_log!$C1613="Chapin", "chapin_mon", IF(sample_log!$C1613="Oatka", "oatka_mon", IF(sample_log!$C1613="Seneca", "seneca_mon", "one"))))</f>
        <v/>
      </c>
    </row>
    <row r="1614" spans="6:6" s="2" customFormat="1" ht="15" x14ac:dyDescent="0.25">
      <c r="F1614" s="22" t="str">
        <f>IF(sample_log!$C1614="", "", IF(sample_log!$C1614="Chapin", "chapin_mon", IF(sample_log!$C1614="Oatka", "oatka_mon", IF(sample_log!$C1614="Seneca", "seneca_mon", "one"))))</f>
        <v/>
      </c>
    </row>
    <row r="1615" spans="6:6" s="2" customFormat="1" ht="15" x14ac:dyDescent="0.25">
      <c r="F1615" s="22" t="str">
        <f>IF(sample_log!$C1615="", "", IF(sample_log!$C1615="Chapin", "chapin_mon", IF(sample_log!$C1615="Oatka", "oatka_mon", IF(sample_log!$C1615="Seneca", "seneca_mon", "one"))))</f>
        <v/>
      </c>
    </row>
    <row r="1616" spans="6:6" s="2" customFormat="1" ht="15" x14ac:dyDescent="0.25">
      <c r="F1616" s="22" t="str">
        <f>IF(sample_log!$C1616="", "", IF(sample_log!$C1616="Chapin", "chapin_mon", IF(sample_log!$C1616="Oatka", "oatka_mon", IF(sample_log!$C1616="Seneca", "seneca_mon", "one"))))</f>
        <v/>
      </c>
    </row>
    <row r="1617" spans="6:6" s="2" customFormat="1" ht="15" x14ac:dyDescent="0.25">
      <c r="F1617" s="22" t="str">
        <f>IF(sample_log!$C1617="", "", IF(sample_log!$C1617="Chapin", "chapin_mon", IF(sample_log!$C1617="Oatka", "oatka_mon", IF(sample_log!$C1617="Seneca", "seneca_mon", "one"))))</f>
        <v/>
      </c>
    </row>
    <row r="1618" spans="6:6" s="2" customFormat="1" ht="15" x14ac:dyDescent="0.25">
      <c r="F1618" s="22" t="str">
        <f>IF(sample_log!$C1618="", "", IF(sample_log!$C1618="Chapin", "chapin_mon", IF(sample_log!$C1618="Oatka", "oatka_mon", IF(sample_log!$C1618="Seneca", "seneca_mon", "one"))))</f>
        <v/>
      </c>
    </row>
    <row r="1619" spans="6:6" s="2" customFormat="1" ht="15" x14ac:dyDescent="0.25">
      <c r="F1619" s="22" t="str">
        <f>IF(sample_log!$C1619="", "", IF(sample_log!$C1619="Chapin", "chapin_mon", IF(sample_log!$C1619="Oatka", "oatka_mon", IF(sample_log!$C1619="Seneca", "seneca_mon", "one"))))</f>
        <v/>
      </c>
    </row>
    <row r="1620" spans="6:6" s="2" customFormat="1" ht="15" x14ac:dyDescent="0.25">
      <c r="F1620" s="22" t="str">
        <f>IF(sample_log!$C1620="", "", IF(sample_log!$C1620="Chapin", "chapin_mon", IF(sample_log!$C1620="Oatka", "oatka_mon", IF(sample_log!$C1620="Seneca", "seneca_mon", "one"))))</f>
        <v/>
      </c>
    </row>
    <row r="1621" spans="6:6" s="2" customFormat="1" ht="15" x14ac:dyDescent="0.25">
      <c r="F1621" s="22" t="str">
        <f>IF(sample_log!$C1621="", "", IF(sample_log!$C1621="Chapin", "chapin_mon", IF(sample_log!$C1621="Oatka", "oatka_mon", IF(sample_log!$C1621="Seneca", "seneca_mon", "one"))))</f>
        <v/>
      </c>
    </row>
    <row r="1622" spans="6:6" s="2" customFormat="1" ht="15" x14ac:dyDescent="0.25">
      <c r="F1622" s="22" t="str">
        <f>IF(sample_log!$C1622="", "", IF(sample_log!$C1622="Chapin", "chapin_mon", IF(sample_log!$C1622="Oatka", "oatka_mon", IF(sample_log!$C1622="Seneca", "seneca_mon", "one"))))</f>
        <v/>
      </c>
    </row>
    <row r="1623" spans="6:6" s="2" customFormat="1" ht="15" x14ac:dyDescent="0.25">
      <c r="F1623" s="22" t="str">
        <f>IF(sample_log!$C1623="", "", IF(sample_log!$C1623="Chapin", "chapin_mon", IF(sample_log!$C1623="Oatka", "oatka_mon", IF(sample_log!$C1623="Seneca", "seneca_mon", "one"))))</f>
        <v/>
      </c>
    </row>
    <row r="1624" spans="6:6" s="2" customFormat="1" ht="15" x14ac:dyDescent="0.25">
      <c r="F1624" s="22" t="str">
        <f>IF(sample_log!$C1624="", "", IF(sample_log!$C1624="Chapin", "chapin_mon", IF(sample_log!$C1624="Oatka", "oatka_mon", IF(sample_log!$C1624="Seneca", "seneca_mon", "one"))))</f>
        <v/>
      </c>
    </row>
    <row r="1625" spans="6:6" s="2" customFormat="1" ht="15" x14ac:dyDescent="0.25">
      <c r="F1625" s="22" t="str">
        <f>IF(sample_log!$C1625="", "", IF(sample_log!$C1625="Chapin", "chapin_mon", IF(sample_log!$C1625="Oatka", "oatka_mon", IF(sample_log!$C1625="Seneca", "seneca_mon", "one"))))</f>
        <v/>
      </c>
    </row>
    <row r="1626" spans="6:6" s="2" customFormat="1" ht="15" x14ac:dyDescent="0.25">
      <c r="F1626" s="22" t="str">
        <f>IF(sample_log!$C1626="", "", IF(sample_log!$C1626="Chapin", "chapin_mon", IF(sample_log!$C1626="Oatka", "oatka_mon", IF(sample_log!$C1626="Seneca", "seneca_mon", "one"))))</f>
        <v/>
      </c>
    </row>
    <row r="1627" spans="6:6" s="2" customFormat="1" ht="15" x14ac:dyDescent="0.25">
      <c r="F1627" s="22" t="str">
        <f>IF(sample_log!$C1627="", "", IF(sample_log!$C1627="Chapin", "chapin_mon", IF(sample_log!$C1627="Oatka", "oatka_mon", IF(sample_log!$C1627="Seneca", "seneca_mon", "one"))))</f>
        <v/>
      </c>
    </row>
    <row r="1628" spans="6:6" s="2" customFormat="1" ht="15" x14ac:dyDescent="0.25">
      <c r="F1628" s="22" t="str">
        <f>IF(sample_log!$C1628="", "", IF(sample_log!$C1628="Chapin", "chapin_mon", IF(sample_log!$C1628="Oatka", "oatka_mon", IF(sample_log!$C1628="Seneca", "seneca_mon", "one"))))</f>
        <v/>
      </c>
    </row>
    <row r="1629" spans="6:6" s="2" customFormat="1" ht="15" x14ac:dyDescent="0.25">
      <c r="F1629" s="22" t="str">
        <f>IF(sample_log!$C1629="", "", IF(sample_log!$C1629="Chapin", "chapin_mon", IF(sample_log!$C1629="Oatka", "oatka_mon", IF(sample_log!$C1629="Seneca", "seneca_mon", "one"))))</f>
        <v/>
      </c>
    </row>
    <row r="1630" spans="6:6" s="2" customFormat="1" ht="15" x14ac:dyDescent="0.25">
      <c r="F1630" s="22" t="str">
        <f>IF(sample_log!$C1630="", "", IF(sample_log!$C1630="Chapin", "chapin_mon", IF(sample_log!$C1630="Oatka", "oatka_mon", IF(sample_log!$C1630="Seneca", "seneca_mon", "one"))))</f>
        <v/>
      </c>
    </row>
    <row r="1631" spans="6:6" s="2" customFormat="1" ht="15" x14ac:dyDescent="0.25">
      <c r="F1631" s="22" t="str">
        <f>IF(sample_log!$C1631="", "", IF(sample_log!$C1631="Chapin", "chapin_mon", IF(sample_log!$C1631="Oatka", "oatka_mon", IF(sample_log!$C1631="Seneca", "seneca_mon", "one"))))</f>
        <v/>
      </c>
    </row>
    <row r="1632" spans="6:6" s="2" customFormat="1" ht="15" x14ac:dyDescent="0.25">
      <c r="F1632" s="22" t="str">
        <f>IF(sample_log!$C1632="", "", IF(sample_log!$C1632="Chapin", "chapin_mon", IF(sample_log!$C1632="Oatka", "oatka_mon", IF(sample_log!$C1632="Seneca", "seneca_mon", "one"))))</f>
        <v/>
      </c>
    </row>
    <row r="1633" spans="6:6" s="2" customFormat="1" ht="15" x14ac:dyDescent="0.25">
      <c r="F1633" s="22" t="str">
        <f>IF(sample_log!$C1633="", "", IF(sample_log!$C1633="Chapin", "chapin_mon", IF(sample_log!$C1633="Oatka", "oatka_mon", IF(sample_log!$C1633="Seneca", "seneca_mon", "one"))))</f>
        <v/>
      </c>
    </row>
    <row r="1634" spans="6:6" s="2" customFormat="1" ht="15" x14ac:dyDescent="0.25">
      <c r="F1634" s="22" t="str">
        <f>IF(sample_log!$C1634="", "", IF(sample_log!$C1634="Chapin", "chapin_mon", IF(sample_log!$C1634="Oatka", "oatka_mon", IF(sample_log!$C1634="Seneca", "seneca_mon", "one"))))</f>
        <v/>
      </c>
    </row>
    <row r="1635" spans="6:6" s="2" customFormat="1" ht="15" x14ac:dyDescent="0.25">
      <c r="F1635" s="22" t="str">
        <f>IF(sample_log!$C1635="", "", IF(sample_log!$C1635="Chapin", "chapin_mon", IF(sample_log!$C1635="Oatka", "oatka_mon", IF(sample_log!$C1635="Seneca", "seneca_mon", "one"))))</f>
        <v/>
      </c>
    </row>
    <row r="1636" spans="6:6" s="2" customFormat="1" ht="15" x14ac:dyDescent="0.25">
      <c r="F1636" s="22" t="str">
        <f>IF(sample_log!$C1636="", "", IF(sample_log!$C1636="Chapin", "chapin_mon", IF(sample_log!$C1636="Oatka", "oatka_mon", IF(sample_log!$C1636="Seneca", "seneca_mon", "one"))))</f>
        <v/>
      </c>
    </row>
    <row r="1637" spans="6:6" s="2" customFormat="1" ht="15" x14ac:dyDescent="0.25">
      <c r="F1637" s="22" t="str">
        <f>IF(sample_log!$C1637="", "", IF(sample_log!$C1637="Chapin", "chapin_mon", IF(sample_log!$C1637="Oatka", "oatka_mon", IF(sample_log!$C1637="Seneca", "seneca_mon", "one"))))</f>
        <v/>
      </c>
    </row>
    <row r="1638" spans="6:6" s="2" customFormat="1" ht="15" x14ac:dyDescent="0.25">
      <c r="F1638" s="22" t="str">
        <f>IF(sample_log!$C1638="", "", IF(sample_log!$C1638="Chapin", "chapin_mon", IF(sample_log!$C1638="Oatka", "oatka_mon", IF(sample_log!$C1638="Seneca", "seneca_mon", "one"))))</f>
        <v/>
      </c>
    </row>
    <row r="1639" spans="6:6" s="2" customFormat="1" ht="15" x14ac:dyDescent="0.25">
      <c r="F1639" s="22" t="str">
        <f>IF(sample_log!$C1639="", "", IF(sample_log!$C1639="Chapin", "chapin_mon", IF(sample_log!$C1639="Oatka", "oatka_mon", IF(sample_log!$C1639="Seneca", "seneca_mon", "one"))))</f>
        <v/>
      </c>
    </row>
    <row r="1640" spans="6:6" s="2" customFormat="1" ht="15" x14ac:dyDescent="0.25">
      <c r="F1640" s="22" t="str">
        <f>IF(sample_log!$C1640="", "", IF(sample_log!$C1640="Chapin", "chapin_mon", IF(sample_log!$C1640="Oatka", "oatka_mon", IF(sample_log!$C1640="Seneca", "seneca_mon", "one"))))</f>
        <v/>
      </c>
    </row>
    <row r="1641" spans="6:6" s="2" customFormat="1" ht="15" x14ac:dyDescent="0.25">
      <c r="F1641" s="22" t="str">
        <f>IF(sample_log!$C1641="", "", IF(sample_log!$C1641="Chapin", "chapin_mon", IF(sample_log!$C1641="Oatka", "oatka_mon", IF(sample_log!$C1641="Seneca", "seneca_mon", "one"))))</f>
        <v/>
      </c>
    </row>
    <row r="1642" spans="6:6" s="2" customFormat="1" ht="15" x14ac:dyDescent="0.25">
      <c r="F1642" s="22" t="str">
        <f>IF(sample_log!$C1642="", "", IF(sample_log!$C1642="Chapin", "chapin_mon", IF(sample_log!$C1642="Oatka", "oatka_mon", IF(sample_log!$C1642="Seneca", "seneca_mon", "one"))))</f>
        <v/>
      </c>
    </row>
    <row r="1643" spans="6:6" s="2" customFormat="1" ht="15" x14ac:dyDescent="0.25">
      <c r="F1643" s="22" t="str">
        <f>IF(sample_log!$C1643="", "", IF(sample_log!$C1643="Chapin", "chapin_mon", IF(sample_log!$C1643="Oatka", "oatka_mon", IF(sample_log!$C1643="Seneca", "seneca_mon", "one"))))</f>
        <v/>
      </c>
    </row>
    <row r="1644" spans="6:6" s="2" customFormat="1" ht="15" x14ac:dyDescent="0.25">
      <c r="F1644" s="22" t="str">
        <f>IF(sample_log!$C1644="", "", IF(sample_log!$C1644="Chapin", "chapin_mon", IF(sample_log!$C1644="Oatka", "oatka_mon", IF(sample_log!$C1644="Seneca", "seneca_mon", "one"))))</f>
        <v/>
      </c>
    </row>
    <row r="1645" spans="6:6" s="2" customFormat="1" ht="15" x14ac:dyDescent="0.25">
      <c r="F1645" s="22" t="str">
        <f>IF(sample_log!$C1645="", "", IF(sample_log!$C1645="Chapin", "chapin_mon", IF(sample_log!$C1645="Oatka", "oatka_mon", IF(sample_log!$C1645="Seneca", "seneca_mon", "one"))))</f>
        <v/>
      </c>
    </row>
    <row r="1646" spans="6:6" s="2" customFormat="1" ht="15" x14ac:dyDescent="0.25">
      <c r="F1646" s="22" t="str">
        <f>IF(sample_log!$C1646="", "", IF(sample_log!$C1646="Chapin", "chapin_mon", IF(sample_log!$C1646="Oatka", "oatka_mon", IF(sample_log!$C1646="Seneca", "seneca_mon", "one"))))</f>
        <v/>
      </c>
    </row>
    <row r="1647" spans="6:6" s="2" customFormat="1" ht="15" x14ac:dyDescent="0.25">
      <c r="F1647" s="22" t="str">
        <f>IF(sample_log!$C1647="", "", IF(sample_log!$C1647="Chapin", "chapin_mon", IF(sample_log!$C1647="Oatka", "oatka_mon", IF(sample_log!$C1647="Seneca", "seneca_mon", "one"))))</f>
        <v/>
      </c>
    </row>
    <row r="1648" spans="6:6" s="2" customFormat="1" ht="15" x14ac:dyDescent="0.25">
      <c r="F1648" s="22" t="str">
        <f>IF(sample_log!$C1648="", "", IF(sample_log!$C1648="Chapin", "chapin_mon", IF(sample_log!$C1648="Oatka", "oatka_mon", IF(sample_log!$C1648="Seneca", "seneca_mon", "one"))))</f>
        <v/>
      </c>
    </row>
    <row r="1649" spans="6:6" s="2" customFormat="1" ht="15" x14ac:dyDescent="0.25">
      <c r="F1649" s="22" t="str">
        <f>IF(sample_log!$C1649="", "", IF(sample_log!$C1649="Chapin", "chapin_mon", IF(sample_log!$C1649="Oatka", "oatka_mon", IF(sample_log!$C1649="Seneca", "seneca_mon", "one"))))</f>
        <v/>
      </c>
    </row>
    <row r="1650" spans="6:6" s="2" customFormat="1" ht="15" x14ac:dyDescent="0.25">
      <c r="F1650" s="22" t="str">
        <f>IF(sample_log!$C1650="", "", IF(sample_log!$C1650="Chapin", "chapin_mon", IF(sample_log!$C1650="Oatka", "oatka_mon", IF(sample_log!$C1650="Seneca", "seneca_mon", "one"))))</f>
        <v/>
      </c>
    </row>
    <row r="1651" spans="6:6" s="2" customFormat="1" ht="15" x14ac:dyDescent="0.25">
      <c r="F1651" s="22" t="str">
        <f>IF(sample_log!$C1651="", "", IF(sample_log!$C1651="Chapin", "chapin_mon", IF(sample_log!$C1651="Oatka", "oatka_mon", IF(sample_log!$C1651="Seneca", "seneca_mon", "one"))))</f>
        <v/>
      </c>
    </row>
    <row r="1652" spans="6:6" s="2" customFormat="1" ht="15" x14ac:dyDescent="0.25">
      <c r="F1652" s="22" t="str">
        <f>IF(sample_log!$C1652="", "", IF(sample_log!$C1652="Chapin", "chapin_mon", IF(sample_log!$C1652="Oatka", "oatka_mon", IF(sample_log!$C1652="Seneca", "seneca_mon", "one"))))</f>
        <v/>
      </c>
    </row>
    <row r="1653" spans="6:6" s="2" customFormat="1" ht="15" x14ac:dyDescent="0.25">
      <c r="F1653" s="22" t="str">
        <f>IF(sample_log!$C1653="", "", IF(sample_log!$C1653="Chapin", "chapin_mon", IF(sample_log!$C1653="Oatka", "oatka_mon", IF(sample_log!$C1653="Seneca", "seneca_mon", "one"))))</f>
        <v/>
      </c>
    </row>
    <row r="1654" spans="6:6" s="2" customFormat="1" ht="15" x14ac:dyDescent="0.25">
      <c r="F1654" s="22" t="str">
        <f>IF(sample_log!$C1654="", "", IF(sample_log!$C1654="Chapin", "chapin_mon", IF(sample_log!$C1654="Oatka", "oatka_mon", IF(sample_log!$C1654="Seneca", "seneca_mon", "one"))))</f>
        <v/>
      </c>
    </row>
    <row r="1655" spans="6:6" s="2" customFormat="1" ht="15" x14ac:dyDescent="0.25">
      <c r="F1655" s="22" t="str">
        <f>IF(sample_log!$C1655="", "", IF(sample_log!$C1655="Chapin", "chapin_mon", IF(sample_log!$C1655="Oatka", "oatka_mon", IF(sample_log!$C1655="Seneca", "seneca_mon", "one"))))</f>
        <v/>
      </c>
    </row>
    <row r="1656" spans="6:6" s="2" customFormat="1" ht="15" x14ac:dyDescent="0.25">
      <c r="F1656" s="22" t="str">
        <f>IF(sample_log!$C1656="", "", IF(sample_log!$C1656="Chapin", "chapin_mon", IF(sample_log!$C1656="Oatka", "oatka_mon", IF(sample_log!$C1656="Seneca", "seneca_mon", "one"))))</f>
        <v/>
      </c>
    </row>
    <row r="1657" spans="6:6" s="2" customFormat="1" ht="15" x14ac:dyDescent="0.25">
      <c r="F1657" s="22" t="str">
        <f>IF(sample_log!$C1657="", "", IF(sample_log!$C1657="Chapin", "chapin_mon", IF(sample_log!$C1657="Oatka", "oatka_mon", IF(sample_log!$C1657="Seneca", "seneca_mon", "one"))))</f>
        <v/>
      </c>
    </row>
    <row r="1658" spans="6:6" s="2" customFormat="1" ht="15" x14ac:dyDescent="0.25">
      <c r="F1658" s="22" t="str">
        <f>IF(sample_log!$C1658="", "", IF(sample_log!$C1658="Chapin", "chapin_mon", IF(sample_log!$C1658="Oatka", "oatka_mon", IF(sample_log!$C1658="Seneca", "seneca_mon", "one"))))</f>
        <v/>
      </c>
    </row>
    <row r="1659" spans="6:6" s="2" customFormat="1" ht="15" x14ac:dyDescent="0.25">
      <c r="F1659" s="22" t="str">
        <f>IF(sample_log!$C1659="", "", IF(sample_log!$C1659="Chapin", "chapin_mon", IF(sample_log!$C1659="Oatka", "oatka_mon", IF(sample_log!$C1659="Seneca", "seneca_mon", "one"))))</f>
        <v/>
      </c>
    </row>
    <row r="1660" spans="6:6" s="2" customFormat="1" ht="15" x14ac:dyDescent="0.25">
      <c r="F1660" s="22" t="str">
        <f>IF(sample_log!$C1660="", "", IF(sample_log!$C1660="Chapin", "chapin_mon", IF(sample_log!$C1660="Oatka", "oatka_mon", IF(sample_log!$C1660="Seneca", "seneca_mon", "one"))))</f>
        <v/>
      </c>
    </row>
    <row r="1661" spans="6:6" s="2" customFormat="1" ht="15" x14ac:dyDescent="0.25">
      <c r="F1661" s="22" t="str">
        <f>IF(sample_log!$C1661="", "", IF(sample_log!$C1661="Chapin", "chapin_mon", IF(sample_log!$C1661="Oatka", "oatka_mon", IF(sample_log!$C1661="Seneca", "seneca_mon", "one"))))</f>
        <v/>
      </c>
    </row>
    <row r="1662" spans="6:6" s="2" customFormat="1" ht="15" x14ac:dyDescent="0.25">
      <c r="F1662" s="22" t="str">
        <f>IF(sample_log!$C1662="", "", IF(sample_log!$C1662="Chapin", "chapin_mon", IF(sample_log!$C1662="Oatka", "oatka_mon", IF(sample_log!$C1662="Seneca", "seneca_mon", "one"))))</f>
        <v/>
      </c>
    </row>
    <row r="1663" spans="6:6" s="2" customFormat="1" ht="15" x14ac:dyDescent="0.25">
      <c r="F1663" s="22" t="str">
        <f>IF(sample_log!$C1663="", "", IF(sample_log!$C1663="Chapin", "chapin_mon", IF(sample_log!$C1663="Oatka", "oatka_mon", IF(sample_log!$C1663="Seneca", "seneca_mon", "one"))))</f>
        <v/>
      </c>
    </row>
    <row r="1664" spans="6:6" s="2" customFormat="1" ht="15" x14ac:dyDescent="0.25">
      <c r="F1664" s="22" t="str">
        <f>IF(sample_log!$C1664="", "", IF(sample_log!$C1664="Chapin", "chapin_mon", IF(sample_log!$C1664="Oatka", "oatka_mon", IF(sample_log!$C1664="Seneca", "seneca_mon", "one"))))</f>
        <v/>
      </c>
    </row>
    <row r="1665" spans="6:6" s="2" customFormat="1" ht="15" x14ac:dyDescent="0.25">
      <c r="F1665" s="22" t="str">
        <f>IF(sample_log!$C1665="", "", IF(sample_log!$C1665="Chapin", "chapin_mon", IF(sample_log!$C1665="Oatka", "oatka_mon", IF(sample_log!$C1665="Seneca", "seneca_mon", "one"))))</f>
        <v/>
      </c>
    </row>
    <row r="1666" spans="6:6" s="2" customFormat="1" ht="15" x14ac:dyDescent="0.25">
      <c r="F1666" s="22" t="str">
        <f>IF(sample_log!$C1666="", "", IF(sample_log!$C1666="Chapin", "chapin_mon", IF(sample_log!$C1666="Oatka", "oatka_mon", IF(sample_log!$C1666="Seneca", "seneca_mon", "one"))))</f>
        <v/>
      </c>
    </row>
    <row r="1667" spans="6:6" s="2" customFormat="1" ht="15" x14ac:dyDescent="0.25">
      <c r="F1667" s="22" t="str">
        <f>IF(sample_log!$C1667="", "", IF(sample_log!$C1667="Chapin", "chapin_mon", IF(sample_log!$C1667="Oatka", "oatka_mon", IF(sample_log!$C1667="Seneca", "seneca_mon", "one"))))</f>
        <v/>
      </c>
    </row>
    <row r="1668" spans="6:6" s="2" customFormat="1" ht="15" x14ac:dyDescent="0.25">
      <c r="F1668" s="22" t="str">
        <f>IF(sample_log!$C1668="", "", IF(sample_log!$C1668="Chapin", "chapin_mon", IF(sample_log!$C1668="Oatka", "oatka_mon", IF(sample_log!$C1668="Seneca", "seneca_mon", "one"))))</f>
        <v/>
      </c>
    </row>
    <row r="1669" spans="6:6" s="2" customFormat="1" ht="15" x14ac:dyDescent="0.25">
      <c r="F1669" s="22" t="str">
        <f>IF(sample_log!$C1669="", "", IF(sample_log!$C1669="Chapin", "chapin_mon", IF(sample_log!$C1669="Oatka", "oatka_mon", IF(sample_log!$C1669="Seneca", "seneca_mon", "one"))))</f>
        <v/>
      </c>
    </row>
    <row r="1670" spans="6:6" s="2" customFormat="1" ht="15" x14ac:dyDescent="0.25">
      <c r="F1670" s="22" t="str">
        <f>IF(sample_log!$C1670="", "", IF(sample_log!$C1670="Chapin", "chapin_mon", IF(sample_log!$C1670="Oatka", "oatka_mon", IF(sample_log!$C1670="Seneca", "seneca_mon", "one"))))</f>
        <v/>
      </c>
    </row>
    <row r="1671" spans="6:6" s="2" customFormat="1" ht="15" x14ac:dyDescent="0.25">
      <c r="F1671" s="22" t="str">
        <f>IF(sample_log!$C1671="", "", IF(sample_log!$C1671="Chapin", "chapin_mon", IF(sample_log!$C1671="Oatka", "oatka_mon", IF(sample_log!$C1671="Seneca", "seneca_mon", "one"))))</f>
        <v/>
      </c>
    </row>
    <row r="1672" spans="6:6" s="2" customFormat="1" ht="15" x14ac:dyDescent="0.25">
      <c r="F1672" s="22" t="str">
        <f>IF(sample_log!$C1672="", "", IF(sample_log!$C1672="Chapin", "chapin_mon", IF(sample_log!$C1672="Oatka", "oatka_mon", IF(sample_log!$C1672="Seneca", "seneca_mon", "one"))))</f>
        <v/>
      </c>
    </row>
    <row r="1673" spans="6:6" s="2" customFormat="1" ht="15" x14ac:dyDescent="0.25">
      <c r="F1673" s="22" t="str">
        <f>IF(sample_log!$C1673="", "", IF(sample_log!$C1673="Chapin", "chapin_mon", IF(sample_log!$C1673="Oatka", "oatka_mon", IF(sample_log!$C1673="Seneca", "seneca_mon", "one"))))</f>
        <v/>
      </c>
    </row>
    <row r="1674" spans="6:6" s="2" customFormat="1" ht="15" x14ac:dyDescent="0.25">
      <c r="F1674" s="22" t="str">
        <f>IF(sample_log!$C1674="", "", IF(sample_log!$C1674="Chapin", "chapin_mon", IF(sample_log!$C1674="Oatka", "oatka_mon", IF(sample_log!$C1674="Seneca", "seneca_mon", "one"))))</f>
        <v/>
      </c>
    </row>
    <row r="1675" spans="6:6" s="2" customFormat="1" ht="15" x14ac:dyDescent="0.25">
      <c r="F1675" s="22" t="str">
        <f>IF(sample_log!$C1675="", "", IF(sample_log!$C1675="Chapin", "chapin_mon", IF(sample_log!$C1675="Oatka", "oatka_mon", IF(sample_log!$C1675="Seneca", "seneca_mon", "one"))))</f>
        <v/>
      </c>
    </row>
    <row r="1676" spans="6:6" s="2" customFormat="1" ht="15" x14ac:dyDescent="0.25">
      <c r="F1676" s="22" t="str">
        <f>IF(sample_log!$C1676="", "", IF(sample_log!$C1676="Chapin", "chapin_mon", IF(sample_log!$C1676="Oatka", "oatka_mon", IF(sample_log!$C1676="Seneca", "seneca_mon", "one"))))</f>
        <v/>
      </c>
    </row>
    <row r="1677" spans="6:6" s="2" customFormat="1" ht="15" x14ac:dyDescent="0.25">
      <c r="F1677" s="22" t="str">
        <f>IF(sample_log!$C1677="", "", IF(sample_log!$C1677="Chapin", "chapin_mon", IF(sample_log!$C1677="Oatka", "oatka_mon", IF(sample_log!$C1677="Seneca", "seneca_mon", "one"))))</f>
        <v/>
      </c>
    </row>
    <row r="1678" spans="6:6" s="2" customFormat="1" ht="15" x14ac:dyDescent="0.25">
      <c r="F1678" s="22" t="str">
        <f>IF(sample_log!$C1678="", "", IF(sample_log!$C1678="Chapin", "chapin_mon", IF(sample_log!$C1678="Oatka", "oatka_mon", IF(sample_log!$C1678="Seneca", "seneca_mon", "one"))))</f>
        <v/>
      </c>
    </row>
    <row r="1679" spans="6:6" s="2" customFormat="1" ht="15" x14ac:dyDescent="0.25">
      <c r="F1679" s="22" t="str">
        <f>IF(sample_log!$C1679="", "", IF(sample_log!$C1679="Chapin", "chapin_mon", IF(sample_log!$C1679="Oatka", "oatka_mon", IF(sample_log!$C1679="Seneca", "seneca_mon", "one"))))</f>
        <v/>
      </c>
    </row>
    <row r="1680" spans="6:6" s="2" customFormat="1" ht="15" x14ac:dyDescent="0.25">
      <c r="F1680" s="22" t="str">
        <f>IF(sample_log!$C1680="", "", IF(sample_log!$C1680="Chapin", "chapin_mon", IF(sample_log!$C1680="Oatka", "oatka_mon", IF(sample_log!$C1680="Seneca", "seneca_mon", "one"))))</f>
        <v/>
      </c>
    </row>
    <row r="1681" spans="6:6" s="2" customFormat="1" ht="15" x14ac:dyDescent="0.25">
      <c r="F1681" s="22" t="str">
        <f>IF(sample_log!$C1681="", "", IF(sample_log!$C1681="Chapin", "chapin_mon", IF(sample_log!$C1681="Oatka", "oatka_mon", IF(sample_log!$C1681="Seneca", "seneca_mon", "one"))))</f>
        <v/>
      </c>
    </row>
    <row r="1682" spans="6:6" s="2" customFormat="1" ht="15" x14ac:dyDescent="0.25">
      <c r="F1682" s="22" t="str">
        <f>IF(sample_log!$C1682="", "", IF(sample_log!$C1682="Chapin", "chapin_mon", IF(sample_log!$C1682="Oatka", "oatka_mon", IF(sample_log!$C1682="Seneca", "seneca_mon", "one"))))</f>
        <v/>
      </c>
    </row>
    <row r="1683" spans="6:6" s="2" customFormat="1" ht="15" x14ac:dyDescent="0.25">
      <c r="F1683" s="22" t="str">
        <f>IF(sample_log!$C1683="", "", IF(sample_log!$C1683="Chapin", "chapin_mon", IF(sample_log!$C1683="Oatka", "oatka_mon", IF(sample_log!$C1683="Seneca", "seneca_mon", "one"))))</f>
        <v/>
      </c>
    </row>
    <row r="1684" spans="6:6" s="2" customFormat="1" ht="15" x14ac:dyDescent="0.25">
      <c r="F1684" s="22" t="str">
        <f>IF(sample_log!$C1684="", "", IF(sample_log!$C1684="Chapin", "chapin_mon", IF(sample_log!$C1684="Oatka", "oatka_mon", IF(sample_log!$C1684="Seneca", "seneca_mon", "one"))))</f>
        <v/>
      </c>
    </row>
    <row r="1685" spans="6:6" s="2" customFormat="1" ht="15" x14ac:dyDescent="0.25">
      <c r="F1685" s="22" t="str">
        <f>IF(sample_log!$C1685="", "", IF(sample_log!$C1685="Chapin", "chapin_mon", IF(sample_log!$C1685="Oatka", "oatka_mon", IF(sample_log!$C1685="Seneca", "seneca_mon", "one"))))</f>
        <v/>
      </c>
    </row>
    <row r="1686" spans="6:6" s="2" customFormat="1" ht="15" x14ac:dyDescent="0.25">
      <c r="F1686" s="22" t="str">
        <f>IF(sample_log!$C1686="", "", IF(sample_log!$C1686="Chapin", "chapin_mon", IF(sample_log!$C1686="Oatka", "oatka_mon", IF(sample_log!$C1686="Seneca", "seneca_mon", "one"))))</f>
        <v/>
      </c>
    </row>
    <row r="1687" spans="6:6" s="2" customFormat="1" ht="15" x14ac:dyDescent="0.25">
      <c r="F1687" s="22" t="str">
        <f>IF(sample_log!$C1687="", "", IF(sample_log!$C1687="Chapin", "chapin_mon", IF(sample_log!$C1687="Oatka", "oatka_mon", IF(sample_log!$C1687="Seneca", "seneca_mon", "one"))))</f>
        <v/>
      </c>
    </row>
    <row r="1688" spans="6:6" s="2" customFormat="1" ht="15" x14ac:dyDescent="0.25">
      <c r="F1688" s="22" t="str">
        <f>IF(sample_log!$C1688="", "", IF(sample_log!$C1688="Chapin", "chapin_mon", IF(sample_log!$C1688="Oatka", "oatka_mon", IF(sample_log!$C1688="Seneca", "seneca_mon", "one"))))</f>
        <v/>
      </c>
    </row>
    <row r="1689" spans="6:6" s="2" customFormat="1" ht="15" x14ac:dyDescent="0.25">
      <c r="F1689" s="22" t="str">
        <f>IF(sample_log!$C1689="", "", IF(sample_log!$C1689="Chapin", "chapin_mon", IF(sample_log!$C1689="Oatka", "oatka_mon", IF(sample_log!$C1689="Seneca", "seneca_mon", "one"))))</f>
        <v/>
      </c>
    </row>
    <row r="1690" spans="6:6" s="2" customFormat="1" ht="15" x14ac:dyDescent="0.25">
      <c r="F1690" s="22" t="str">
        <f>IF(sample_log!$C1690="", "", IF(sample_log!$C1690="Chapin", "chapin_mon", IF(sample_log!$C1690="Oatka", "oatka_mon", IF(sample_log!$C1690="Seneca", "seneca_mon", "one"))))</f>
        <v/>
      </c>
    </row>
    <row r="1691" spans="6:6" s="2" customFormat="1" ht="15" x14ac:dyDescent="0.25">
      <c r="F1691" s="22" t="str">
        <f>IF(sample_log!$C1691="", "", IF(sample_log!$C1691="Chapin", "chapin_mon", IF(sample_log!$C1691="Oatka", "oatka_mon", IF(sample_log!$C1691="Seneca", "seneca_mon", "one"))))</f>
        <v/>
      </c>
    </row>
    <row r="1692" spans="6:6" s="2" customFormat="1" ht="15" x14ac:dyDescent="0.25">
      <c r="F1692" s="22" t="str">
        <f>IF(sample_log!$C1692="", "", IF(sample_log!$C1692="Chapin", "chapin_mon", IF(sample_log!$C1692="Oatka", "oatka_mon", IF(sample_log!$C1692="Seneca", "seneca_mon", "one"))))</f>
        <v/>
      </c>
    </row>
    <row r="1693" spans="6:6" s="2" customFormat="1" ht="15" x14ac:dyDescent="0.25">
      <c r="F1693" s="22" t="str">
        <f>IF(sample_log!$C1693="", "", IF(sample_log!$C1693="Chapin", "chapin_mon", IF(sample_log!$C1693="Oatka", "oatka_mon", IF(sample_log!$C1693="Seneca", "seneca_mon", "one"))))</f>
        <v/>
      </c>
    </row>
    <row r="1694" spans="6:6" s="2" customFormat="1" ht="15" x14ac:dyDescent="0.25">
      <c r="F1694" s="22" t="str">
        <f>IF(sample_log!$C1694="", "", IF(sample_log!$C1694="Chapin", "chapin_mon", IF(sample_log!$C1694="Oatka", "oatka_mon", IF(sample_log!$C1694="Seneca", "seneca_mon", "one"))))</f>
        <v/>
      </c>
    </row>
    <row r="1695" spans="6:6" s="2" customFormat="1" ht="15" x14ac:dyDescent="0.25">
      <c r="F1695" s="22" t="str">
        <f>IF(sample_log!$C1695="", "", IF(sample_log!$C1695="Chapin", "chapin_mon", IF(sample_log!$C1695="Oatka", "oatka_mon", IF(sample_log!$C1695="Seneca", "seneca_mon", "one"))))</f>
        <v/>
      </c>
    </row>
    <row r="1696" spans="6:6" s="2" customFormat="1" ht="15" x14ac:dyDescent="0.25">
      <c r="F1696" s="22" t="str">
        <f>IF(sample_log!$C1696="", "", IF(sample_log!$C1696="Chapin", "chapin_mon", IF(sample_log!$C1696="Oatka", "oatka_mon", IF(sample_log!$C1696="Seneca", "seneca_mon", "one"))))</f>
        <v/>
      </c>
    </row>
    <row r="1697" spans="6:6" s="2" customFormat="1" ht="15" x14ac:dyDescent="0.25">
      <c r="F1697" s="22" t="str">
        <f>IF(sample_log!$C1697="", "", IF(sample_log!$C1697="Chapin", "chapin_mon", IF(sample_log!$C1697="Oatka", "oatka_mon", IF(sample_log!$C1697="Seneca", "seneca_mon", "one"))))</f>
        <v/>
      </c>
    </row>
    <row r="1698" spans="6:6" s="2" customFormat="1" ht="15" x14ac:dyDescent="0.25">
      <c r="F1698" s="22" t="str">
        <f>IF(sample_log!$C1698="", "", IF(sample_log!$C1698="Chapin", "chapin_mon", IF(sample_log!$C1698="Oatka", "oatka_mon", IF(sample_log!$C1698="Seneca", "seneca_mon", "one"))))</f>
        <v/>
      </c>
    </row>
    <row r="1699" spans="6:6" s="2" customFormat="1" ht="15" x14ac:dyDescent="0.25">
      <c r="F1699" s="22" t="str">
        <f>IF(sample_log!$C1699="", "", IF(sample_log!$C1699="Chapin", "chapin_mon", IF(sample_log!$C1699="Oatka", "oatka_mon", IF(sample_log!$C1699="Seneca", "seneca_mon", "one"))))</f>
        <v/>
      </c>
    </row>
    <row r="1700" spans="6:6" s="2" customFormat="1" ht="15" x14ac:dyDescent="0.25">
      <c r="F1700" s="22" t="str">
        <f>IF(sample_log!$C1700="", "", IF(sample_log!$C1700="Chapin", "chapin_mon", IF(sample_log!$C1700="Oatka", "oatka_mon", IF(sample_log!$C1700="Seneca", "seneca_mon", "one"))))</f>
        <v/>
      </c>
    </row>
    <row r="1701" spans="6:6" s="2" customFormat="1" ht="15" x14ac:dyDescent="0.25">
      <c r="F1701" s="22" t="str">
        <f>IF(sample_log!$C1701="", "", IF(sample_log!$C1701="Chapin", "chapin_mon", IF(sample_log!$C1701="Oatka", "oatka_mon", IF(sample_log!$C1701="Seneca", "seneca_mon", "one"))))</f>
        <v/>
      </c>
    </row>
    <row r="1702" spans="6:6" s="2" customFormat="1" ht="15" x14ac:dyDescent="0.25">
      <c r="F1702" s="22" t="str">
        <f>IF(sample_log!$C1702="", "", IF(sample_log!$C1702="Chapin", "chapin_mon", IF(sample_log!$C1702="Oatka", "oatka_mon", IF(sample_log!$C1702="Seneca", "seneca_mon", "one"))))</f>
        <v/>
      </c>
    </row>
    <row r="1703" spans="6:6" s="2" customFormat="1" ht="15" x14ac:dyDescent="0.25">
      <c r="F1703" s="22" t="str">
        <f>IF(sample_log!$C1703="", "", IF(sample_log!$C1703="Chapin", "chapin_mon", IF(sample_log!$C1703="Oatka", "oatka_mon", IF(sample_log!$C1703="Seneca", "seneca_mon", "one"))))</f>
        <v/>
      </c>
    </row>
    <row r="1704" spans="6:6" s="2" customFormat="1" ht="15" x14ac:dyDescent="0.25">
      <c r="F1704" s="22" t="str">
        <f>IF(sample_log!$C1704="", "", IF(sample_log!$C1704="Chapin", "chapin_mon", IF(sample_log!$C1704="Oatka", "oatka_mon", IF(sample_log!$C1704="Seneca", "seneca_mon", "one"))))</f>
        <v/>
      </c>
    </row>
    <row r="1705" spans="6:6" s="2" customFormat="1" ht="15" x14ac:dyDescent="0.25">
      <c r="F1705" s="22" t="str">
        <f>IF(sample_log!$C1705="", "", IF(sample_log!$C1705="Chapin", "chapin_mon", IF(sample_log!$C1705="Oatka", "oatka_mon", IF(sample_log!$C1705="Seneca", "seneca_mon", "one"))))</f>
        <v/>
      </c>
    </row>
    <row r="1706" spans="6:6" s="2" customFormat="1" ht="15" x14ac:dyDescent="0.25">
      <c r="F1706" s="22" t="str">
        <f>IF(sample_log!$C1706="", "", IF(sample_log!$C1706="Chapin", "chapin_mon", IF(sample_log!$C1706="Oatka", "oatka_mon", IF(sample_log!$C1706="Seneca", "seneca_mon", "one"))))</f>
        <v/>
      </c>
    </row>
    <row r="1707" spans="6:6" s="2" customFormat="1" ht="15" x14ac:dyDescent="0.25">
      <c r="F1707" s="22" t="str">
        <f>IF(sample_log!$C1707="", "", IF(sample_log!$C1707="Chapin", "chapin_mon", IF(sample_log!$C1707="Oatka", "oatka_mon", IF(sample_log!$C1707="Seneca", "seneca_mon", "one"))))</f>
        <v/>
      </c>
    </row>
    <row r="1708" spans="6:6" s="2" customFormat="1" ht="15" x14ac:dyDescent="0.25">
      <c r="F1708" s="22" t="str">
        <f>IF(sample_log!$C1708="", "", IF(sample_log!$C1708="Chapin", "chapin_mon", IF(sample_log!$C1708="Oatka", "oatka_mon", IF(sample_log!$C1708="Seneca", "seneca_mon", "one"))))</f>
        <v/>
      </c>
    </row>
    <row r="1709" spans="6:6" s="2" customFormat="1" ht="15" x14ac:dyDescent="0.25">
      <c r="F1709" s="22" t="str">
        <f>IF(sample_log!$C1709="", "", IF(sample_log!$C1709="Chapin", "chapin_mon", IF(sample_log!$C1709="Oatka", "oatka_mon", IF(sample_log!$C1709="Seneca", "seneca_mon", "one"))))</f>
        <v/>
      </c>
    </row>
    <row r="1710" spans="6:6" s="2" customFormat="1" ht="15" x14ac:dyDescent="0.25">
      <c r="F1710" s="22" t="str">
        <f>IF(sample_log!$C1710="", "", IF(sample_log!$C1710="Chapin", "chapin_mon", IF(sample_log!$C1710="Oatka", "oatka_mon", IF(sample_log!$C1710="Seneca", "seneca_mon", "one"))))</f>
        <v/>
      </c>
    </row>
    <row r="1711" spans="6:6" s="2" customFormat="1" ht="15" x14ac:dyDescent="0.25">
      <c r="F1711" s="22" t="str">
        <f>IF(sample_log!$C1711="", "", IF(sample_log!$C1711="Chapin", "chapin_mon", IF(sample_log!$C1711="Oatka", "oatka_mon", IF(sample_log!$C1711="Seneca", "seneca_mon", "one"))))</f>
        <v/>
      </c>
    </row>
    <row r="1712" spans="6:6" s="2" customFormat="1" ht="15" x14ac:dyDescent="0.25">
      <c r="F1712" s="22" t="str">
        <f>IF(sample_log!$C1712="", "", IF(sample_log!$C1712="Chapin", "chapin_mon", IF(sample_log!$C1712="Oatka", "oatka_mon", IF(sample_log!$C1712="Seneca", "seneca_mon", "one"))))</f>
        <v/>
      </c>
    </row>
    <row r="1713" spans="6:6" s="2" customFormat="1" ht="15" x14ac:dyDescent="0.25">
      <c r="F1713" s="22" t="str">
        <f>IF(sample_log!$C1713="", "", IF(sample_log!$C1713="Chapin", "chapin_mon", IF(sample_log!$C1713="Oatka", "oatka_mon", IF(sample_log!$C1713="Seneca", "seneca_mon", "one"))))</f>
        <v/>
      </c>
    </row>
    <row r="1714" spans="6:6" s="2" customFormat="1" ht="15" x14ac:dyDescent="0.25">
      <c r="F1714" s="22" t="str">
        <f>IF(sample_log!$C1714="", "", IF(sample_log!$C1714="Chapin", "chapin_mon", IF(sample_log!$C1714="Oatka", "oatka_mon", IF(sample_log!$C1714="Seneca", "seneca_mon", "one"))))</f>
        <v/>
      </c>
    </row>
    <row r="1715" spans="6:6" s="2" customFormat="1" ht="15" x14ac:dyDescent="0.25">
      <c r="F1715" s="22" t="str">
        <f>IF(sample_log!$C1715="", "", IF(sample_log!$C1715="Chapin", "chapin_mon", IF(sample_log!$C1715="Oatka", "oatka_mon", IF(sample_log!$C1715="Seneca", "seneca_mon", "one"))))</f>
        <v/>
      </c>
    </row>
    <row r="1716" spans="6:6" s="2" customFormat="1" ht="15" x14ac:dyDescent="0.25">
      <c r="F1716" s="22" t="str">
        <f>IF(sample_log!$C1716="", "", IF(sample_log!$C1716="Chapin", "chapin_mon", IF(sample_log!$C1716="Oatka", "oatka_mon", IF(sample_log!$C1716="Seneca", "seneca_mon", "one"))))</f>
        <v/>
      </c>
    </row>
    <row r="1717" spans="6:6" s="2" customFormat="1" ht="15" x14ac:dyDescent="0.25">
      <c r="F1717" s="22" t="str">
        <f>IF(sample_log!$C1717="", "", IF(sample_log!$C1717="Chapin", "chapin_mon", IF(sample_log!$C1717="Oatka", "oatka_mon", IF(sample_log!$C1717="Seneca", "seneca_mon", "one"))))</f>
        <v/>
      </c>
    </row>
    <row r="1718" spans="6:6" s="2" customFormat="1" ht="15" x14ac:dyDescent="0.25">
      <c r="F1718" s="22" t="str">
        <f>IF(sample_log!$C1718="", "", IF(sample_log!$C1718="Chapin", "chapin_mon", IF(sample_log!$C1718="Oatka", "oatka_mon", IF(sample_log!$C1718="Seneca", "seneca_mon", "one"))))</f>
        <v/>
      </c>
    </row>
    <row r="1719" spans="6:6" s="2" customFormat="1" ht="15" x14ac:dyDescent="0.25">
      <c r="F1719" s="22" t="str">
        <f>IF(sample_log!$C1719="", "", IF(sample_log!$C1719="Chapin", "chapin_mon", IF(sample_log!$C1719="Oatka", "oatka_mon", IF(sample_log!$C1719="Seneca", "seneca_mon", "one"))))</f>
        <v/>
      </c>
    </row>
    <row r="1720" spans="6:6" s="2" customFormat="1" ht="15" x14ac:dyDescent="0.25">
      <c r="F1720" s="22" t="str">
        <f>IF(sample_log!$C1720="", "", IF(sample_log!$C1720="Chapin", "chapin_mon", IF(sample_log!$C1720="Oatka", "oatka_mon", IF(sample_log!$C1720="Seneca", "seneca_mon", "one"))))</f>
        <v/>
      </c>
    </row>
    <row r="1721" spans="6:6" s="2" customFormat="1" ht="15" x14ac:dyDescent="0.25">
      <c r="F1721" s="22" t="str">
        <f>IF(sample_log!$C1721="", "", IF(sample_log!$C1721="Chapin", "chapin_mon", IF(sample_log!$C1721="Oatka", "oatka_mon", IF(sample_log!$C1721="Seneca", "seneca_mon", "one"))))</f>
        <v/>
      </c>
    </row>
    <row r="1722" spans="6:6" s="2" customFormat="1" ht="15" x14ac:dyDescent="0.25">
      <c r="F1722" s="22" t="str">
        <f>IF(sample_log!$C1722="", "", IF(sample_log!$C1722="Chapin", "chapin_mon", IF(sample_log!$C1722="Oatka", "oatka_mon", IF(sample_log!$C1722="Seneca", "seneca_mon", "one"))))</f>
        <v/>
      </c>
    </row>
    <row r="1723" spans="6:6" s="2" customFormat="1" ht="15" x14ac:dyDescent="0.25">
      <c r="F1723" s="22" t="str">
        <f>IF(sample_log!$C1723="", "", IF(sample_log!$C1723="Chapin", "chapin_mon", IF(sample_log!$C1723="Oatka", "oatka_mon", IF(sample_log!$C1723="Seneca", "seneca_mon", "one"))))</f>
        <v/>
      </c>
    </row>
    <row r="1724" spans="6:6" s="2" customFormat="1" ht="15" x14ac:dyDescent="0.25">
      <c r="F1724" s="22" t="str">
        <f>IF(sample_log!$C1724="", "", IF(sample_log!$C1724="Chapin", "chapin_mon", IF(sample_log!$C1724="Oatka", "oatka_mon", IF(sample_log!$C1724="Seneca", "seneca_mon", "one"))))</f>
        <v/>
      </c>
    </row>
    <row r="1725" spans="6:6" s="2" customFormat="1" ht="15" x14ac:dyDescent="0.25">
      <c r="F1725" s="22" t="str">
        <f>IF(sample_log!$C1725="", "", IF(sample_log!$C1725="Chapin", "chapin_mon", IF(sample_log!$C1725="Oatka", "oatka_mon", IF(sample_log!$C1725="Seneca", "seneca_mon", "one"))))</f>
        <v/>
      </c>
    </row>
    <row r="1726" spans="6:6" s="2" customFormat="1" ht="15" x14ac:dyDescent="0.25">
      <c r="F1726" s="22" t="str">
        <f>IF(sample_log!$C1726="", "", IF(sample_log!$C1726="Chapin", "chapin_mon", IF(sample_log!$C1726="Oatka", "oatka_mon", IF(sample_log!$C1726="Seneca", "seneca_mon", "one"))))</f>
        <v/>
      </c>
    </row>
    <row r="1727" spans="6:6" s="2" customFormat="1" ht="15" x14ac:dyDescent="0.25">
      <c r="F1727" s="22" t="str">
        <f>IF(sample_log!$C1727="", "", IF(sample_log!$C1727="Chapin", "chapin_mon", IF(sample_log!$C1727="Oatka", "oatka_mon", IF(sample_log!$C1727="Seneca", "seneca_mon", "one"))))</f>
        <v/>
      </c>
    </row>
    <row r="1728" spans="6:6" s="2" customFormat="1" ht="15" x14ac:dyDescent="0.25">
      <c r="F1728" s="22" t="str">
        <f>IF(sample_log!$C1728="", "", IF(sample_log!$C1728="Chapin", "chapin_mon", IF(sample_log!$C1728="Oatka", "oatka_mon", IF(sample_log!$C1728="Seneca", "seneca_mon", "one"))))</f>
        <v/>
      </c>
    </row>
    <row r="1729" spans="6:6" s="2" customFormat="1" ht="15" x14ac:dyDescent="0.25">
      <c r="F1729" s="22" t="str">
        <f>IF(sample_log!$C1729="", "", IF(sample_log!$C1729="Chapin", "chapin_mon", IF(sample_log!$C1729="Oatka", "oatka_mon", IF(sample_log!$C1729="Seneca", "seneca_mon", "one"))))</f>
        <v/>
      </c>
    </row>
    <row r="1730" spans="6:6" s="2" customFormat="1" ht="15" x14ac:dyDescent="0.25">
      <c r="F1730" s="22" t="str">
        <f>IF(sample_log!$C1730="", "", IF(sample_log!$C1730="Chapin", "chapin_mon", IF(sample_log!$C1730="Oatka", "oatka_mon", IF(sample_log!$C1730="Seneca", "seneca_mon", "one"))))</f>
        <v/>
      </c>
    </row>
    <row r="1731" spans="6:6" s="2" customFormat="1" ht="15" x14ac:dyDescent="0.25">
      <c r="F1731" s="22" t="str">
        <f>IF(sample_log!$C1731="", "", IF(sample_log!$C1731="Chapin", "chapin_mon", IF(sample_log!$C1731="Oatka", "oatka_mon", IF(sample_log!$C1731="Seneca", "seneca_mon", "one"))))</f>
        <v/>
      </c>
    </row>
    <row r="1732" spans="6:6" s="2" customFormat="1" ht="15" x14ac:dyDescent="0.25">
      <c r="F1732" s="22" t="str">
        <f>IF(sample_log!$C1732="", "", IF(sample_log!$C1732="Chapin", "chapin_mon", IF(sample_log!$C1732="Oatka", "oatka_mon", IF(sample_log!$C1732="Seneca", "seneca_mon", "one"))))</f>
        <v/>
      </c>
    </row>
    <row r="1733" spans="6:6" s="2" customFormat="1" ht="15" x14ac:dyDescent="0.25">
      <c r="F1733" s="22" t="str">
        <f>IF(sample_log!$C1733="", "", IF(sample_log!$C1733="Chapin", "chapin_mon", IF(sample_log!$C1733="Oatka", "oatka_mon", IF(sample_log!$C1733="Seneca", "seneca_mon", "one"))))</f>
        <v/>
      </c>
    </row>
    <row r="1734" spans="6:6" s="2" customFormat="1" ht="15" x14ac:dyDescent="0.25">
      <c r="F1734" s="22" t="str">
        <f>IF(sample_log!$C1734="", "", IF(sample_log!$C1734="Chapin", "chapin_mon", IF(sample_log!$C1734="Oatka", "oatka_mon", IF(sample_log!$C1734="Seneca", "seneca_mon", "one"))))</f>
        <v/>
      </c>
    </row>
    <row r="1735" spans="6:6" s="2" customFormat="1" ht="15" x14ac:dyDescent="0.25">
      <c r="F1735" s="22" t="str">
        <f>IF(sample_log!$C1735="", "", IF(sample_log!$C1735="Chapin", "chapin_mon", IF(sample_log!$C1735="Oatka", "oatka_mon", IF(sample_log!$C1735="Seneca", "seneca_mon", "one"))))</f>
        <v/>
      </c>
    </row>
    <row r="1736" spans="6:6" s="2" customFormat="1" ht="15" x14ac:dyDescent="0.25">
      <c r="F1736" s="22" t="str">
        <f>IF(sample_log!$C1736="", "", IF(sample_log!$C1736="Chapin", "chapin_mon", IF(sample_log!$C1736="Oatka", "oatka_mon", IF(sample_log!$C1736="Seneca", "seneca_mon", "one"))))</f>
        <v/>
      </c>
    </row>
    <row r="1737" spans="6:6" s="2" customFormat="1" ht="15" x14ac:dyDescent="0.25">
      <c r="F1737" s="22" t="str">
        <f>IF(sample_log!$C1737="", "", IF(sample_log!$C1737="Chapin", "chapin_mon", IF(sample_log!$C1737="Oatka", "oatka_mon", IF(sample_log!$C1737="Seneca", "seneca_mon", "one"))))</f>
        <v/>
      </c>
    </row>
    <row r="1738" spans="6:6" s="2" customFormat="1" ht="15" x14ac:dyDescent="0.25">
      <c r="F1738" s="22" t="str">
        <f>IF(sample_log!$C1738="", "", IF(sample_log!$C1738="Chapin", "chapin_mon", IF(sample_log!$C1738="Oatka", "oatka_mon", IF(sample_log!$C1738="Seneca", "seneca_mon", "one"))))</f>
        <v/>
      </c>
    </row>
    <row r="1739" spans="6:6" s="2" customFormat="1" ht="15" x14ac:dyDescent="0.25">
      <c r="F1739" s="22" t="str">
        <f>IF(sample_log!$C1739="", "", IF(sample_log!$C1739="Chapin", "chapin_mon", IF(sample_log!$C1739="Oatka", "oatka_mon", IF(sample_log!$C1739="Seneca", "seneca_mon", "one"))))</f>
        <v/>
      </c>
    </row>
    <row r="1740" spans="6:6" s="2" customFormat="1" ht="15" x14ac:dyDescent="0.25">
      <c r="F1740" s="22" t="str">
        <f>IF(sample_log!$C1740="", "", IF(sample_log!$C1740="Chapin", "chapin_mon", IF(sample_log!$C1740="Oatka", "oatka_mon", IF(sample_log!$C1740="Seneca", "seneca_mon", "one"))))</f>
        <v/>
      </c>
    </row>
    <row r="1741" spans="6:6" s="2" customFormat="1" ht="15" x14ac:dyDescent="0.25">
      <c r="F1741" s="22" t="str">
        <f>IF(sample_log!$C1741="", "", IF(sample_log!$C1741="Chapin", "chapin_mon", IF(sample_log!$C1741="Oatka", "oatka_mon", IF(sample_log!$C1741="Seneca", "seneca_mon", "one"))))</f>
        <v/>
      </c>
    </row>
    <row r="1742" spans="6:6" s="2" customFormat="1" ht="15" x14ac:dyDescent="0.25">
      <c r="F1742" s="22" t="str">
        <f>IF(sample_log!$C1742="", "", IF(sample_log!$C1742="Chapin", "chapin_mon", IF(sample_log!$C1742="Oatka", "oatka_mon", IF(sample_log!$C1742="Seneca", "seneca_mon", "one"))))</f>
        <v/>
      </c>
    </row>
    <row r="1743" spans="6:6" s="2" customFormat="1" ht="15" x14ac:dyDescent="0.25">
      <c r="F1743" s="22" t="str">
        <f>IF(sample_log!$C1743="", "", IF(sample_log!$C1743="Chapin", "chapin_mon", IF(sample_log!$C1743="Oatka", "oatka_mon", IF(sample_log!$C1743="Seneca", "seneca_mon", "one"))))</f>
        <v/>
      </c>
    </row>
    <row r="1744" spans="6:6" s="2" customFormat="1" ht="15" x14ac:dyDescent="0.25">
      <c r="F1744" s="22" t="str">
        <f>IF(sample_log!$C1744="", "", IF(sample_log!$C1744="Chapin", "chapin_mon", IF(sample_log!$C1744="Oatka", "oatka_mon", IF(sample_log!$C1744="Seneca", "seneca_mon", "one"))))</f>
        <v/>
      </c>
    </row>
    <row r="1745" spans="6:6" s="2" customFormat="1" ht="15" x14ac:dyDescent="0.25">
      <c r="F1745" s="22" t="str">
        <f>IF(sample_log!$C1745="", "", IF(sample_log!$C1745="Chapin", "chapin_mon", IF(sample_log!$C1745="Oatka", "oatka_mon", IF(sample_log!$C1745="Seneca", "seneca_mon", "one"))))</f>
        <v/>
      </c>
    </row>
    <row r="1746" spans="6:6" s="2" customFormat="1" ht="15" x14ac:dyDescent="0.25">
      <c r="F1746" s="22" t="str">
        <f>IF(sample_log!$C1746="", "", IF(sample_log!$C1746="Chapin", "chapin_mon", IF(sample_log!$C1746="Oatka", "oatka_mon", IF(sample_log!$C1746="Seneca", "seneca_mon", "one"))))</f>
        <v/>
      </c>
    </row>
    <row r="1747" spans="6:6" s="2" customFormat="1" ht="15" x14ac:dyDescent="0.25">
      <c r="F1747" s="22" t="str">
        <f>IF(sample_log!$C1747="", "", IF(sample_log!$C1747="Chapin", "chapin_mon", IF(sample_log!$C1747="Oatka", "oatka_mon", IF(sample_log!$C1747="Seneca", "seneca_mon", "one"))))</f>
        <v/>
      </c>
    </row>
    <row r="1748" spans="6:6" s="2" customFormat="1" ht="15" x14ac:dyDescent="0.25">
      <c r="F1748" s="22" t="str">
        <f>IF(sample_log!$C1748="", "", IF(sample_log!$C1748="Chapin", "chapin_mon", IF(sample_log!$C1748="Oatka", "oatka_mon", IF(sample_log!$C1748="Seneca", "seneca_mon", "one"))))</f>
        <v/>
      </c>
    </row>
    <row r="1749" spans="6:6" s="2" customFormat="1" ht="15" x14ac:dyDescent="0.25">
      <c r="F1749" s="22" t="str">
        <f>IF(sample_log!$C1749="", "", IF(sample_log!$C1749="Chapin", "chapin_mon", IF(sample_log!$C1749="Oatka", "oatka_mon", IF(sample_log!$C1749="Seneca", "seneca_mon", "one"))))</f>
        <v/>
      </c>
    </row>
    <row r="1750" spans="6:6" s="2" customFormat="1" ht="15" x14ac:dyDescent="0.25">
      <c r="F1750" s="22" t="str">
        <f>IF(sample_log!$C1750="", "", IF(sample_log!$C1750="Chapin", "chapin_mon", IF(sample_log!$C1750="Oatka", "oatka_mon", IF(sample_log!$C1750="Seneca", "seneca_mon", "one"))))</f>
        <v/>
      </c>
    </row>
    <row r="1751" spans="6:6" s="2" customFormat="1" ht="15" x14ac:dyDescent="0.25">
      <c r="F1751" s="22" t="str">
        <f>IF(sample_log!$C1751="", "", IF(sample_log!$C1751="Chapin", "chapin_mon", IF(sample_log!$C1751="Oatka", "oatka_mon", IF(sample_log!$C1751="Seneca", "seneca_mon", "one"))))</f>
        <v/>
      </c>
    </row>
    <row r="1752" spans="6:6" s="2" customFormat="1" ht="15" x14ac:dyDescent="0.25">
      <c r="F1752" s="22" t="str">
        <f>IF(sample_log!$C1752="", "", IF(sample_log!$C1752="Chapin", "chapin_mon", IF(sample_log!$C1752="Oatka", "oatka_mon", IF(sample_log!$C1752="Seneca", "seneca_mon", "one"))))</f>
        <v/>
      </c>
    </row>
    <row r="1753" spans="6:6" s="2" customFormat="1" ht="15" x14ac:dyDescent="0.25">
      <c r="F1753" s="22" t="str">
        <f>IF(sample_log!$C1753="", "", IF(sample_log!$C1753="Chapin", "chapin_mon", IF(sample_log!$C1753="Oatka", "oatka_mon", IF(sample_log!$C1753="Seneca", "seneca_mon", "one"))))</f>
        <v/>
      </c>
    </row>
    <row r="1754" spans="6:6" s="2" customFormat="1" ht="15" x14ac:dyDescent="0.25">
      <c r="F1754" s="22" t="str">
        <f>IF(sample_log!$C1754="", "", IF(sample_log!$C1754="Chapin", "chapin_mon", IF(sample_log!$C1754="Oatka", "oatka_mon", IF(sample_log!$C1754="Seneca", "seneca_mon", "one"))))</f>
        <v/>
      </c>
    </row>
    <row r="1755" spans="6:6" s="2" customFormat="1" ht="15" x14ac:dyDescent="0.25">
      <c r="F1755" s="22" t="str">
        <f>IF(sample_log!$C1755="", "", IF(sample_log!$C1755="Chapin", "chapin_mon", IF(sample_log!$C1755="Oatka", "oatka_mon", IF(sample_log!$C1755="Seneca", "seneca_mon", "one"))))</f>
        <v/>
      </c>
    </row>
    <row r="1756" spans="6:6" s="2" customFormat="1" ht="15" x14ac:dyDescent="0.25">
      <c r="F1756" s="22" t="str">
        <f>IF(sample_log!$C1756="", "", IF(sample_log!$C1756="Chapin", "chapin_mon", IF(sample_log!$C1756="Oatka", "oatka_mon", IF(sample_log!$C1756="Seneca", "seneca_mon", "one"))))</f>
        <v/>
      </c>
    </row>
    <row r="1757" spans="6:6" s="2" customFormat="1" ht="15" x14ac:dyDescent="0.25">
      <c r="F1757" s="22" t="str">
        <f>IF(sample_log!$C1757="", "", IF(sample_log!$C1757="Chapin", "chapin_mon", IF(sample_log!$C1757="Oatka", "oatka_mon", IF(sample_log!$C1757="Seneca", "seneca_mon", "one"))))</f>
        <v/>
      </c>
    </row>
    <row r="1758" spans="6:6" s="2" customFormat="1" ht="15" x14ac:dyDescent="0.25">
      <c r="F1758" s="22" t="str">
        <f>IF(sample_log!$C1758="", "", IF(sample_log!$C1758="Chapin", "chapin_mon", IF(sample_log!$C1758="Oatka", "oatka_mon", IF(sample_log!$C1758="Seneca", "seneca_mon", "one"))))</f>
        <v/>
      </c>
    </row>
    <row r="1759" spans="6:6" s="2" customFormat="1" ht="15" x14ac:dyDescent="0.25">
      <c r="F1759" s="22" t="str">
        <f>IF(sample_log!$C1759="", "", IF(sample_log!$C1759="Chapin", "chapin_mon", IF(sample_log!$C1759="Oatka", "oatka_mon", IF(sample_log!$C1759="Seneca", "seneca_mon", "one"))))</f>
        <v/>
      </c>
    </row>
    <row r="1760" spans="6:6" s="2" customFormat="1" ht="15" x14ac:dyDescent="0.25">
      <c r="F1760" s="22" t="str">
        <f>IF(sample_log!$C1760="", "", IF(sample_log!$C1760="Chapin", "chapin_mon", IF(sample_log!$C1760="Oatka", "oatka_mon", IF(sample_log!$C1760="Seneca", "seneca_mon", "one"))))</f>
        <v/>
      </c>
    </row>
    <row r="1761" spans="6:6" s="2" customFormat="1" ht="15" x14ac:dyDescent="0.25">
      <c r="F1761" s="22" t="str">
        <f>IF(sample_log!$C1761="", "", IF(sample_log!$C1761="Chapin", "chapin_mon", IF(sample_log!$C1761="Oatka", "oatka_mon", IF(sample_log!$C1761="Seneca", "seneca_mon", "one"))))</f>
        <v/>
      </c>
    </row>
    <row r="1762" spans="6:6" s="2" customFormat="1" ht="15" x14ac:dyDescent="0.25">
      <c r="F1762" s="22" t="str">
        <f>IF(sample_log!$C1762="", "", IF(sample_log!$C1762="Chapin", "chapin_mon", IF(sample_log!$C1762="Oatka", "oatka_mon", IF(sample_log!$C1762="Seneca", "seneca_mon", "one"))))</f>
        <v/>
      </c>
    </row>
    <row r="1763" spans="6:6" s="2" customFormat="1" ht="15" x14ac:dyDescent="0.25">
      <c r="F1763" s="22" t="str">
        <f>IF(sample_log!$C1763="", "", IF(sample_log!$C1763="Chapin", "chapin_mon", IF(sample_log!$C1763="Oatka", "oatka_mon", IF(sample_log!$C1763="Seneca", "seneca_mon", "one"))))</f>
        <v/>
      </c>
    </row>
    <row r="1764" spans="6:6" s="2" customFormat="1" ht="15" x14ac:dyDescent="0.25">
      <c r="F1764" s="22" t="str">
        <f>IF(sample_log!$C1764="", "", IF(sample_log!$C1764="Chapin", "chapin_mon", IF(sample_log!$C1764="Oatka", "oatka_mon", IF(sample_log!$C1764="Seneca", "seneca_mon", "one"))))</f>
        <v/>
      </c>
    </row>
    <row r="1765" spans="6:6" s="2" customFormat="1" ht="15" x14ac:dyDescent="0.25">
      <c r="F1765" s="22" t="str">
        <f>IF(sample_log!$C1765="", "", IF(sample_log!$C1765="Chapin", "chapin_mon", IF(sample_log!$C1765="Oatka", "oatka_mon", IF(sample_log!$C1765="Seneca", "seneca_mon", "one"))))</f>
        <v/>
      </c>
    </row>
    <row r="1766" spans="6:6" s="2" customFormat="1" ht="15" x14ac:dyDescent="0.25">
      <c r="F1766" s="22" t="str">
        <f>IF(sample_log!$C1766="", "", IF(sample_log!$C1766="Chapin", "chapin_mon", IF(sample_log!$C1766="Oatka", "oatka_mon", IF(sample_log!$C1766="Seneca", "seneca_mon", "one"))))</f>
        <v/>
      </c>
    </row>
    <row r="1767" spans="6:6" s="2" customFormat="1" ht="15" x14ac:dyDescent="0.25">
      <c r="F1767" s="22" t="str">
        <f>IF(sample_log!$C1767="", "", IF(sample_log!$C1767="Chapin", "chapin_mon", IF(sample_log!$C1767="Oatka", "oatka_mon", IF(sample_log!$C1767="Seneca", "seneca_mon", "one"))))</f>
        <v/>
      </c>
    </row>
    <row r="1768" spans="6:6" s="2" customFormat="1" ht="15" x14ac:dyDescent="0.25">
      <c r="F1768" s="22" t="str">
        <f>IF(sample_log!$C1768="", "", IF(sample_log!$C1768="Chapin", "chapin_mon", IF(sample_log!$C1768="Oatka", "oatka_mon", IF(sample_log!$C1768="Seneca", "seneca_mon", "one"))))</f>
        <v/>
      </c>
    </row>
    <row r="1769" spans="6:6" s="2" customFormat="1" ht="15" x14ac:dyDescent="0.25">
      <c r="F1769" s="22" t="str">
        <f>IF(sample_log!$C1769="", "", IF(sample_log!$C1769="Chapin", "chapin_mon", IF(sample_log!$C1769="Oatka", "oatka_mon", IF(sample_log!$C1769="Seneca", "seneca_mon", "one"))))</f>
        <v/>
      </c>
    </row>
    <row r="1770" spans="6:6" s="2" customFormat="1" ht="15" x14ac:dyDescent="0.25">
      <c r="F1770" s="22" t="str">
        <f>IF(sample_log!$C1770="", "", IF(sample_log!$C1770="Chapin", "chapin_mon", IF(sample_log!$C1770="Oatka", "oatka_mon", IF(sample_log!$C1770="Seneca", "seneca_mon", "one"))))</f>
        <v/>
      </c>
    </row>
    <row r="1771" spans="6:6" s="2" customFormat="1" ht="15" x14ac:dyDescent="0.25">
      <c r="F1771" s="22" t="str">
        <f>IF(sample_log!$C1771="", "", IF(sample_log!$C1771="Chapin", "chapin_mon", IF(sample_log!$C1771="Oatka", "oatka_mon", IF(sample_log!$C1771="Seneca", "seneca_mon", "one"))))</f>
        <v/>
      </c>
    </row>
    <row r="1772" spans="6:6" s="2" customFormat="1" ht="15" x14ac:dyDescent="0.25">
      <c r="F1772" s="22" t="str">
        <f>IF(sample_log!$C1772="", "", IF(sample_log!$C1772="Chapin", "chapin_mon", IF(sample_log!$C1772="Oatka", "oatka_mon", IF(sample_log!$C1772="Seneca", "seneca_mon", "one"))))</f>
        <v/>
      </c>
    </row>
    <row r="1773" spans="6:6" s="2" customFormat="1" ht="15" x14ac:dyDescent="0.25">
      <c r="F1773" s="22" t="str">
        <f>IF(sample_log!$C1773="", "", IF(sample_log!$C1773="Chapin", "chapin_mon", IF(sample_log!$C1773="Oatka", "oatka_mon", IF(sample_log!$C1773="Seneca", "seneca_mon", "one"))))</f>
        <v/>
      </c>
    </row>
    <row r="1774" spans="6:6" s="2" customFormat="1" ht="15" x14ac:dyDescent="0.25">
      <c r="F1774" s="22" t="str">
        <f>IF(sample_log!$C1774="", "", IF(sample_log!$C1774="Chapin", "chapin_mon", IF(sample_log!$C1774="Oatka", "oatka_mon", IF(sample_log!$C1774="Seneca", "seneca_mon", "one"))))</f>
        <v/>
      </c>
    </row>
    <row r="1775" spans="6:6" s="2" customFormat="1" ht="15" x14ac:dyDescent="0.25">
      <c r="F1775" s="22" t="str">
        <f>IF(sample_log!$C1775="", "", IF(sample_log!$C1775="Chapin", "chapin_mon", IF(sample_log!$C1775="Oatka", "oatka_mon", IF(sample_log!$C1775="Seneca", "seneca_mon", "one"))))</f>
        <v/>
      </c>
    </row>
    <row r="1776" spans="6:6" s="2" customFormat="1" ht="15" x14ac:dyDescent="0.25">
      <c r="F1776" s="22" t="str">
        <f>IF(sample_log!$C1776="", "", IF(sample_log!$C1776="Chapin", "chapin_mon", IF(sample_log!$C1776="Oatka", "oatka_mon", IF(sample_log!$C1776="Seneca", "seneca_mon", "one"))))</f>
        <v/>
      </c>
    </row>
    <row r="1777" spans="6:6" s="2" customFormat="1" ht="15" x14ac:dyDescent="0.25">
      <c r="F1777" s="22" t="str">
        <f>IF(sample_log!$C1777="", "", IF(sample_log!$C1777="Chapin", "chapin_mon", IF(sample_log!$C1777="Oatka", "oatka_mon", IF(sample_log!$C1777="Seneca", "seneca_mon", "one"))))</f>
        <v/>
      </c>
    </row>
    <row r="1778" spans="6:6" s="2" customFormat="1" ht="15" x14ac:dyDescent="0.25">
      <c r="F1778" s="22" t="str">
        <f>IF(sample_log!$C1778="", "", IF(sample_log!$C1778="Chapin", "chapin_mon", IF(sample_log!$C1778="Oatka", "oatka_mon", IF(sample_log!$C1778="Seneca", "seneca_mon", "one"))))</f>
        <v/>
      </c>
    </row>
    <row r="1779" spans="6:6" s="2" customFormat="1" ht="15" x14ac:dyDescent="0.25">
      <c r="F1779" s="22" t="str">
        <f>IF(sample_log!$C1779="", "", IF(sample_log!$C1779="Chapin", "chapin_mon", IF(sample_log!$C1779="Oatka", "oatka_mon", IF(sample_log!$C1779="Seneca", "seneca_mon", "one"))))</f>
        <v/>
      </c>
    </row>
    <row r="1780" spans="6:6" s="2" customFormat="1" ht="15" x14ac:dyDescent="0.25">
      <c r="F1780" s="22" t="str">
        <f>IF(sample_log!$C1780="", "", IF(sample_log!$C1780="Chapin", "chapin_mon", IF(sample_log!$C1780="Oatka", "oatka_mon", IF(sample_log!$C1780="Seneca", "seneca_mon", "one"))))</f>
        <v/>
      </c>
    </row>
    <row r="1781" spans="6:6" s="2" customFormat="1" ht="15" x14ac:dyDescent="0.25">
      <c r="F1781" s="22" t="str">
        <f>IF(sample_log!$C1781="", "", IF(sample_log!$C1781="Chapin", "chapin_mon", IF(sample_log!$C1781="Oatka", "oatka_mon", IF(sample_log!$C1781="Seneca", "seneca_mon", "one"))))</f>
        <v/>
      </c>
    </row>
    <row r="1782" spans="6:6" s="2" customFormat="1" ht="15" x14ac:dyDescent="0.25">
      <c r="F1782" s="22" t="str">
        <f>IF(sample_log!$C1782="", "", IF(sample_log!$C1782="Chapin", "chapin_mon", IF(sample_log!$C1782="Oatka", "oatka_mon", IF(sample_log!$C1782="Seneca", "seneca_mon", "one"))))</f>
        <v/>
      </c>
    </row>
    <row r="1783" spans="6:6" s="2" customFormat="1" ht="15" x14ac:dyDescent="0.25">
      <c r="F1783" s="22" t="str">
        <f>IF(sample_log!$C1783="", "", IF(sample_log!$C1783="Chapin", "chapin_mon", IF(sample_log!$C1783="Oatka", "oatka_mon", IF(sample_log!$C1783="Seneca", "seneca_mon", "one"))))</f>
        <v/>
      </c>
    </row>
    <row r="1784" spans="6:6" s="2" customFormat="1" ht="15" x14ac:dyDescent="0.25">
      <c r="F1784" s="22" t="str">
        <f>IF(sample_log!$C1784="", "", IF(sample_log!$C1784="Chapin", "chapin_mon", IF(sample_log!$C1784="Oatka", "oatka_mon", IF(sample_log!$C1784="Seneca", "seneca_mon", "one"))))</f>
        <v/>
      </c>
    </row>
    <row r="1785" spans="6:6" s="2" customFormat="1" ht="15" x14ac:dyDescent="0.25">
      <c r="F1785" s="22" t="str">
        <f>IF(sample_log!$C1785="", "", IF(sample_log!$C1785="Chapin", "chapin_mon", IF(sample_log!$C1785="Oatka", "oatka_mon", IF(sample_log!$C1785="Seneca", "seneca_mon", "one"))))</f>
        <v/>
      </c>
    </row>
    <row r="1786" spans="6:6" s="2" customFormat="1" ht="15" x14ac:dyDescent="0.25">
      <c r="F1786" s="22" t="str">
        <f>IF(sample_log!$C1786="", "", IF(sample_log!$C1786="Chapin", "chapin_mon", IF(sample_log!$C1786="Oatka", "oatka_mon", IF(sample_log!$C1786="Seneca", "seneca_mon", "one"))))</f>
        <v/>
      </c>
    </row>
    <row r="1787" spans="6:6" s="2" customFormat="1" ht="15" x14ac:dyDescent="0.25">
      <c r="F1787" s="22" t="str">
        <f>IF(sample_log!$C1787="", "", IF(sample_log!$C1787="Chapin", "chapin_mon", IF(sample_log!$C1787="Oatka", "oatka_mon", IF(sample_log!$C1787="Seneca", "seneca_mon", "one"))))</f>
        <v/>
      </c>
    </row>
    <row r="1788" spans="6:6" s="2" customFormat="1" ht="15" x14ac:dyDescent="0.25">
      <c r="F1788" s="22" t="str">
        <f>IF(sample_log!$C1788="", "", IF(sample_log!$C1788="Chapin", "chapin_mon", IF(sample_log!$C1788="Oatka", "oatka_mon", IF(sample_log!$C1788="Seneca", "seneca_mon", "one"))))</f>
        <v/>
      </c>
    </row>
    <row r="1789" spans="6:6" s="2" customFormat="1" ht="15" x14ac:dyDescent="0.25">
      <c r="F1789" s="22" t="str">
        <f>IF(sample_log!$C1789="", "", IF(sample_log!$C1789="Chapin", "chapin_mon", IF(sample_log!$C1789="Oatka", "oatka_mon", IF(sample_log!$C1789="Seneca", "seneca_mon", "one"))))</f>
        <v/>
      </c>
    </row>
    <row r="1790" spans="6:6" s="2" customFormat="1" ht="15" x14ac:dyDescent="0.25">
      <c r="F1790" s="22" t="str">
        <f>IF(sample_log!$C1790="", "", IF(sample_log!$C1790="Chapin", "chapin_mon", IF(sample_log!$C1790="Oatka", "oatka_mon", IF(sample_log!$C1790="Seneca", "seneca_mon", "one"))))</f>
        <v/>
      </c>
    </row>
    <row r="1791" spans="6:6" s="2" customFormat="1" ht="15" x14ac:dyDescent="0.25">
      <c r="F1791" s="22" t="str">
        <f>IF(sample_log!$C1791="", "", IF(sample_log!$C1791="Chapin", "chapin_mon", IF(sample_log!$C1791="Oatka", "oatka_mon", IF(sample_log!$C1791="Seneca", "seneca_mon", "one"))))</f>
        <v/>
      </c>
    </row>
    <row r="1792" spans="6:6" s="2" customFormat="1" ht="15" x14ac:dyDescent="0.25">
      <c r="F1792" s="22" t="str">
        <f>IF(sample_log!$C1792="", "", IF(sample_log!$C1792="Chapin", "chapin_mon", IF(sample_log!$C1792="Oatka", "oatka_mon", IF(sample_log!$C1792="Seneca", "seneca_mon", "one"))))</f>
        <v/>
      </c>
    </row>
    <row r="1793" spans="6:6" s="2" customFormat="1" ht="15" x14ac:dyDescent="0.25">
      <c r="F1793" s="22" t="str">
        <f>IF(sample_log!$C1793="", "", IF(sample_log!$C1793="Chapin", "chapin_mon", IF(sample_log!$C1793="Oatka", "oatka_mon", IF(sample_log!$C1793="Seneca", "seneca_mon", "one"))))</f>
        <v/>
      </c>
    </row>
    <row r="1794" spans="6:6" s="2" customFormat="1" ht="15" x14ac:dyDescent="0.25">
      <c r="F1794" s="22" t="str">
        <f>IF(sample_log!$C1794="", "", IF(sample_log!$C1794="Chapin", "chapin_mon", IF(sample_log!$C1794="Oatka", "oatka_mon", IF(sample_log!$C1794="Seneca", "seneca_mon", "one"))))</f>
        <v/>
      </c>
    </row>
    <row r="1795" spans="6:6" s="2" customFormat="1" ht="15" x14ac:dyDescent="0.25">
      <c r="F1795" s="22" t="str">
        <f>IF(sample_log!$C1795="", "", IF(sample_log!$C1795="Chapin", "chapin_mon", IF(sample_log!$C1795="Oatka", "oatka_mon", IF(sample_log!$C1795="Seneca", "seneca_mon", "one"))))</f>
        <v/>
      </c>
    </row>
    <row r="1796" spans="6:6" s="2" customFormat="1" ht="15" x14ac:dyDescent="0.25">
      <c r="F1796" s="22" t="str">
        <f>IF(sample_log!$C1796="", "", IF(sample_log!$C1796="Chapin", "chapin_mon", IF(sample_log!$C1796="Oatka", "oatka_mon", IF(sample_log!$C1796="Seneca", "seneca_mon", "one"))))</f>
        <v/>
      </c>
    </row>
    <row r="1797" spans="6:6" s="2" customFormat="1" ht="15" x14ac:dyDescent="0.25">
      <c r="F1797" s="22" t="str">
        <f>IF(sample_log!$C1797="", "", IF(sample_log!$C1797="Chapin", "chapin_mon", IF(sample_log!$C1797="Oatka", "oatka_mon", IF(sample_log!$C1797="Seneca", "seneca_mon", "one"))))</f>
        <v/>
      </c>
    </row>
    <row r="1798" spans="6:6" s="2" customFormat="1" ht="15" x14ac:dyDescent="0.25">
      <c r="F1798" s="22" t="str">
        <f>IF(sample_log!$C1798="", "", IF(sample_log!$C1798="Chapin", "chapin_mon", IF(sample_log!$C1798="Oatka", "oatka_mon", IF(sample_log!$C1798="Seneca", "seneca_mon", "one"))))</f>
        <v/>
      </c>
    </row>
    <row r="1799" spans="6:6" s="2" customFormat="1" ht="15" x14ac:dyDescent="0.25">
      <c r="F1799" s="22" t="str">
        <f>IF(sample_log!$C1799="", "", IF(sample_log!$C1799="Chapin", "chapin_mon", IF(sample_log!$C1799="Oatka", "oatka_mon", IF(sample_log!$C1799="Seneca", "seneca_mon", "one"))))</f>
        <v/>
      </c>
    </row>
    <row r="1800" spans="6:6" s="2" customFormat="1" ht="15" x14ac:dyDescent="0.25">
      <c r="F1800" s="22" t="str">
        <f>IF(sample_log!$C1800="", "", IF(sample_log!$C1800="Chapin", "chapin_mon", IF(sample_log!$C1800="Oatka", "oatka_mon", IF(sample_log!$C1800="Seneca", "seneca_mon", "one"))))</f>
        <v/>
      </c>
    </row>
    <row r="1801" spans="6:6" s="2" customFormat="1" ht="15" x14ac:dyDescent="0.25">
      <c r="F1801" s="22" t="str">
        <f>IF(sample_log!$C1801="", "", IF(sample_log!$C1801="Chapin", "chapin_mon", IF(sample_log!$C1801="Oatka", "oatka_mon", IF(sample_log!$C1801="Seneca", "seneca_mon", "one"))))</f>
        <v/>
      </c>
    </row>
    <row r="1802" spans="6:6" s="2" customFormat="1" ht="15" x14ac:dyDescent="0.25">
      <c r="F1802" s="22" t="str">
        <f>IF(sample_log!$C1802="", "", IF(sample_log!$C1802="Chapin", "chapin_mon", IF(sample_log!$C1802="Oatka", "oatka_mon", IF(sample_log!$C1802="Seneca", "seneca_mon", "one"))))</f>
        <v/>
      </c>
    </row>
    <row r="1803" spans="6:6" s="2" customFormat="1" ht="15" x14ac:dyDescent="0.25">
      <c r="F1803" s="22" t="str">
        <f>IF(sample_log!$C1803="", "", IF(sample_log!$C1803="Chapin", "chapin_mon", IF(sample_log!$C1803="Oatka", "oatka_mon", IF(sample_log!$C1803="Seneca", "seneca_mon", "one"))))</f>
        <v/>
      </c>
    </row>
    <row r="1804" spans="6:6" s="2" customFormat="1" ht="15" x14ac:dyDescent="0.25">
      <c r="F1804" s="22" t="str">
        <f>IF(sample_log!$C1804="", "", IF(sample_log!$C1804="Chapin", "chapin_mon", IF(sample_log!$C1804="Oatka", "oatka_mon", IF(sample_log!$C1804="Seneca", "seneca_mon", "one"))))</f>
        <v/>
      </c>
    </row>
    <row r="1805" spans="6:6" s="2" customFormat="1" ht="15" x14ac:dyDescent="0.25">
      <c r="F1805" s="22" t="str">
        <f>IF(sample_log!$C1805="", "", IF(sample_log!$C1805="Chapin", "chapin_mon", IF(sample_log!$C1805="Oatka", "oatka_mon", IF(sample_log!$C1805="Seneca", "seneca_mon", "one"))))</f>
        <v/>
      </c>
    </row>
    <row r="1806" spans="6:6" s="2" customFormat="1" ht="15" x14ac:dyDescent="0.25">
      <c r="F1806" s="22" t="str">
        <f>IF(sample_log!$C1806="", "", IF(sample_log!$C1806="Chapin", "chapin_mon", IF(sample_log!$C1806="Oatka", "oatka_mon", IF(sample_log!$C1806="Seneca", "seneca_mon", "one"))))</f>
        <v/>
      </c>
    </row>
    <row r="1807" spans="6:6" s="2" customFormat="1" ht="15" x14ac:dyDescent="0.25">
      <c r="F1807" s="22" t="str">
        <f>IF(sample_log!$C1807="", "", IF(sample_log!$C1807="Chapin", "chapin_mon", IF(sample_log!$C1807="Oatka", "oatka_mon", IF(sample_log!$C1807="Seneca", "seneca_mon", "one"))))</f>
        <v/>
      </c>
    </row>
    <row r="1808" spans="6:6" s="2" customFormat="1" ht="15" x14ac:dyDescent="0.25">
      <c r="F1808" s="22" t="str">
        <f>IF(sample_log!$C1808="", "", IF(sample_log!$C1808="Chapin", "chapin_mon", IF(sample_log!$C1808="Oatka", "oatka_mon", IF(sample_log!$C1808="Seneca", "seneca_mon", "one"))))</f>
        <v/>
      </c>
    </row>
    <row r="1809" spans="6:6" s="2" customFormat="1" ht="15" x14ac:dyDescent="0.25">
      <c r="F1809" s="22" t="str">
        <f>IF(sample_log!$C1809="", "", IF(sample_log!$C1809="Chapin", "chapin_mon", IF(sample_log!$C1809="Oatka", "oatka_mon", IF(sample_log!$C1809="Seneca", "seneca_mon", "one"))))</f>
        <v/>
      </c>
    </row>
    <row r="1810" spans="6:6" s="2" customFormat="1" ht="15" x14ac:dyDescent="0.25">
      <c r="F1810" s="22" t="str">
        <f>IF(sample_log!$C1810="", "", IF(sample_log!$C1810="Chapin", "chapin_mon", IF(sample_log!$C1810="Oatka", "oatka_mon", IF(sample_log!$C1810="Seneca", "seneca_mon", "one"))))</f>
        <v/>
      </c>
    </row>
    <row r="1811" spans="6:6" s="2" customFormat="1" ht="15" x14ac:dyDescent="0.25">
      <c r="F1811" s="22" t="str">
        <f>IF(sample_log!$C1811="", "", IF(sample_log!$C1811="Chapin", "chapin_mon", IF(sample_log!$C1811="Oatka", "oatka_mon", IF(sample_log!$C1811="Seneca", "seneca_mon", "one"))))</f>
        <v/>
      </c>
    </row>
    <row r="1812" spans="6:6" s="2" customFormat="1" ht="15" x14ac:dyDescent="0.25">
      <c r="F1812" s="22" t="str">
        <f>IF(sample_log!$C1812="", "", IF(sample_log!$C1812="Chapin", "chapin_mon", IF(sample_log!$C1812="Oatka", "oatka_mon", IF(sample_log!$C1812="Seneca", "seneca_mon", "one"))))</f>
        <v/>
      </c>
    </row>
    <row r="1813" spans="6:6" s="2" customFormat="1" ht="15" x14ac:dyDescent="0.25">
      <c r="F1813" s="22" t="str">
        <f>IF(sample_log!$C1813="", "", IF(sample_log!$C1813="Chapin", "chapin_mon", IF(sample_log!$C1813="Oatka", "oatka_mon", IF(sample_log!$C1813="Seneca", "seneca_mon", "one"))))</f>
        <v/>
      </c>
    </row>
    <row r="1814" spans="6:6" s="2" customFormat="1" ht="15" x14ac:dyDescent="0.25">
      <c r="F1814" s="22" t="str">
        <f>IF(sample_log!$C1814="", "", IF(sample_log!$C1814="Chapin", "chapin_mon", IF(sample_log!$C1814="Oatka", "oatka_mon", IF(sample_log!$C1814="Seneca", "seneca_mon", "one"))))</f>
        <v/>
      </c>
    </row>
    <row r="1815" spans="6:6" s="2" customFormat="1" ht="15" x14ac:dyDescent="0.25">
      <c r="F1815" s="22" t="str">
        <f>IF(sample_log!$C1815="", "", IF(sample_log!$C1815="Chapin", "chapin_mon", IF(sample_log!$C1815="Oatka", "oatka_mon", IF(sample_log!$C1815="Seneca", "seneca_mon", "one"))))</f>
        <v/>
      </c>
    </row>
    <row r="1816" spans="6:6" s="2" customFormat="1" ht="15" x14ac:dyDescent="0.25">
      <c r="F1816" s="22" t="str">
        <f>IF(sample_log!$C1816="", "", IF(sample_log!$C1816="Chapin", "chapin_mon", IF(sample_log!$C1816="Oatka", "oatka_mon", IF(sample_log!$C1816="Seneca", "seneca_mon", "one"))))</f>
        <v/>
      </c>
    </row>
    <row r="1817" spans="6:6" s="2" customFormat="1" ht="15" x14ac:dyDescent="0.25">
      <c r="F1817" s="22" t="str">
        <f>IF(sample_log!$C1817="", "", IF(sample_log!$C1817="Chapin", "chapin_mon", IF(sample_log!$C1817="Oatka", "oatka_mon", IF(sample_log!$C1817="Seneca", "seneca_mon", "one"))))</f>
        <v/>
      </c>
    </row>
    <row r="1818" spans="6:6" s="2" customFormat="1" ht="15" x14ac:dyDescent="0.25">
      <c r="F1818" s="22" t="str">
        <f>IF(sample_log!$C1818="", "", IF(sample_log!$C1818="Chapin", "chapin_mon", IF(sample_log!$C1818="Oatka", "oatka_mon", IF(sample_log!$C1818="Seneca", "seneca_mon", "one"))))</f>
        <v/>
      </c>
    </row>
    <row r="1819" spans="6:6" s="2" customFormat="1" ht="15" x14ac:dyDescent="0.25">
      <c r="F1819" s="22" t="str">
        <f>IF(sample_log!$C1819="", "", IF(sample_log!$C1819="Chapin", "chapin_mon", IF(sample_log!$C1819="Oatka", "oatka_mon", IF(sample_log!$C1819="Seneca", "seneca_mon", "one"))))</f>
        <v/>
      </c>
    </row>
    <row r="1820" spans="6:6" s="2" customFormat="1" ht="15" x14ac:dyDescent="0.25">
      <c r="F1820" s="22" t="str">
        <f>IF(sample_log!$C1820="", "", IF(sample_log!$C1820="Chapin", "chapin_mon", IF(sample_log!$C1820="Oatka", "oatka_mon", IF(sample_log!$C1820="Seneca", "seneca_mon", "one"))))</f>
        <v/>
      </c>
    </row>
    <row r="1821" spans="6:6" s="2" customFormat="1" ht="15" x14ac:dyDescent="0.25">
      <c r="F1821" s="22" t="str">
        <f>IF(sample_log!$C1821="", "", IF(sample_log!$C1821="Chapin", "chapin_mon", IF(sample_log!$C1821="Oatka", "oatka_mon", IF(sample_log!$C1821="Seneca", "seneca_mon", "one"))))</f>
        <v/>
      </c>
    </row>
    <row r="1822" spans="6:6" s="2" customFormat="1" ht="15" x14ac:dyDescent="0.25">
      <c r="F1822" s="22" t="str">
        <f>IF(sample_log!$C1822="", "", IF(sample_log!$C1822="Chapin", "chapin_mon", IF(sample_log!$C1822="Oatka", "oatka_mon", IF(sample_log!$C1822="Seneca", "seneca_mon", "one"))))</f>
        <v/>
      </c>
    </row>
    <row r="1823" spans="6:6" s="2" customFormat="1" ht="15" x14ac:dyDescent="0.25">
      <c r="F1823" s="22" t="str">
        <f>IF(sample_log!$C1823="", "", IF(sample_log!$C1823="Chapin", "chapin_mon", IF(sample_log!$C1823="Oatka", "oatka_mon", IF(sample_log!$C1823="Seneca", "seneca_mon", "one"))))</f>
        <v/>
      </c>
    </row>
    <row r="1824" spans="6:6" s="2" customFormat="1" ht="15" x14ac:dyDescent="0.25">
      <c r="F1824" s="22" t="str">
        <f>IF(sample_log!$C1824="", "", IF(sample_log!$C1824="Chapin", "chapin_mon", IF(sample_log!$C1824="Oatka", "oatka_mon", IF(sample_log!$C1824="Seneca", "seneca_mon", "one"))))</f>
        <v/>
      </c>
    </row>
    <row r="1825" spans="6:6" s="2" customFormat="1" ht="15" x14ac:dyDescent="0.25">
      <c r="F1825" s="22" t="str">
        <f>IF(sample_log!$C1825="", "", IF(sample_log!$C1825="Chapin", "chapin_mon", IF(sample_log!$C1825="Oatka", "oatka_mon", IF(sample_log!$C1825="Seneca", "seneca_mon", "one"))))</f>
        <v/>
      </c>
    </row>
    <row r="1826" spans="6:6" s="2" customFormat="1" ht="15" x14ac:dyDescent="0.25">
      <c r="F1826" s="22" t="str">
        <f>IF(sample_log!$C1826="", "", IF(sample_log!$C1826="Chapin", "chapin_mon", IF(sample_log!$C1826="Oatka", "oatka_mon", IF(sample_log!$C1826="Seneca", "seneca_mon", "one"))))</f>
        <v/>
      </c>
    </row>
    <row r="1827" spans="6:6" s="2" customFormat="1" ht="15" x14ac:dyDescent="0.25">
      <c r="F1827" s="22" t="str">
        <f>IF(sample_log!$C1827="", "", IF(sample_log!$C1827="Chapin", "chapin_mon", IF(sample_log!$C1827="Oatka", "oatka_mon", IF(sample_log!$C1827="Seneca", "seneca_mon", "one"))))</f>
        <v/>
      </c>
    </row>
    <row r="1828" spans="6:6" s="2" customFormat="1" ht="15" x14ac:dyDescent="0.25">
      <c r="F1828" s="22" t="str">
        <f>IF(sample_log!$C1828="", "", IF(sample_log!$C1828="Chapin", "chapin_mon", IF(sample_log!$C1828="Oatka", "oatka_mon", IF(sample_log!$C1828="Seneca", "seneca_mon", "one"))))</f>
        <v/>
      </c>
    </row>
    <row r="1829" spans="6:6" s="2" customFormat="1" ht="15" x14ac:dyDescent="0.25">
      <c r="F1829" s="22" t="str">
        <f>IF(sample_log!$C1829="", "", IF(sample_log!$C1829="Chapin", "chapin_mon", IF(sample_log!$C1829="Oatka", "oatka_mon", IF(sample_log!$C1829="Seneca", "seneca_mon", "one"))))</f>
        <v/>
      </c>
    </row>
    <row r="1830" spans="6:6" s="2" customFormat="1" ht="15" x14ac:dyDescent="0.25">
      <c r="F1830" s="22" t="str">
        <f>IF(sample_log!$C1830="", "", IF(sample_log!$C1830="Chapin", "chapin_mon", IF(sample_log!$C1830="Oatka", "oatka_mon", IF(sample_log!$C1830="Seneca", "seneca_mon", "one"))))</f>
        <v/>
      </c>
    </row>
    <row r="1831" spans="6:6" s="2" customFormat="1" ht="15" x14ac:dyDescent="0.25">
      <c r="F1831" s="22" t="str">
        <f>IF(sample_log!$C1831="", "", IF(sample_log!$C1831="Chapin", "chapin_mon", IF(sample_log!$C1831="Oatka", "oatka_mon", IF(sample_log!$C1831="Seneca", "seneca_mon", "one"))))</f>
        <v/>
      </c>
    </row>
    <row r="1832" spans="6:6" s="2" customFormat="1" ht="15" x14ac:dyDescent="0.25">
      <c r="F1832" s="22" t="str">
        <f>IF(sample_log!$C1832="", "", IF(sample_log!$C1832="Chapin", "chapin_mon", IF(sample_log!$C1832="Oatka", "oatka_mon", IF(sample_log!$C1832="Seneca", "seneca_mon", "one"))))</f>
        <v/>
      </c>
    </row>
    <row r="1833" spans="6:6" s="2" customFormat="1" ht="15" x14ac:dyDescent="0.25">
      <c r="F1833" s="22" t="str">
        <f>IF(sample_log!$C1833="", "", IF(sample_log!$C1833="Chapin", "chapin_mon", IF(sample_log!$C1833="Oatka", "oatka_mon", IF(sample_log!$C1833="Seneca", "seneca_mon", "one"))))</f>
        <v/>
      </c>
    </row>
    <row r="1834" spans="6:6" s="2" customFormat="1" ht="15" x14ac:dyDescent="0.25">
      <c r="F1834" s="22" t="str">
        <f>IF(sample_log!$C1834="", "", IF(sample_log!$C1834="Chapin", "chapin_mon", IF(sample_log!$C1834="Oatka", "oatka_mon", IF(sample_log!$C1834="Seneca", "seneca_mon", "one"))))</f>
        <v/>
      </c>
    </row>
    <row r="1835" spans="6:6" s="2" customFormat="1" ht="15" x14ac:dyDescent="0.25">
      <c r="F1835" s="22" t="str">
        <f>IF(sample_log!$C1835="", "", IF(sample_log!$C1835="Chapin", "chapin_mon", IF(sample_log!$C1835="Oatka", "oatka_mon", IF(sample_log!$C1835="Seneca", "seneca_mon", "one"))))</f>
        <v/>
      </c>
    </row>
    <row r="1836" spans="6:6" s="2" customFormat="1" ht="15" x14ac:dyDescent="0.25">
      <c r="F1836" s="22" t="str">
        <f>IF(sample_log!$C1836="", "", IF(sample_log!$C1836="Chapin", "chapin_mon", IF(sample_log!$C1836="Oatka", "oatka_mon", IF(sample_log!$C1836="Seneca", "seneca_mon", "one"))))</f>
        <v/>
      </c>
    </row>
    <row r="1837" spans="6:6" s="2" customFormat="1" ht="15" x14ac:dyDescent="0.25">
      <c r="F1837" s="22" t="str">
        <f>IF(sample_log!$C1837="", "", IF(sample_log!$C1837="Chapin", "chapin_mon", IF(sample_log!$C1837="Oatka", "oatka_mon", IF(sample_log!$C1837="Seneca", "seneca_mon", "one"))))</f>
        <v/>
      </c>
    </row>
    <row r="1838" spans="6:6" s="2" customFormat="1" ht="15" x14ac:dyDescent="0.25">
      <c r="F1838" s="22" t="str">
        <f>IF(sample_log!$C1838="", "", IF(sample_log!$C1838="Chapin", "chapin_mon", IF(sample_log!$C1838="Oatka", "oatka_mon", IF(sample_log!$C1838="Seneca", "seneca_mon", "one"))))</f>
        <v/>
      </c>
    </row>
    <row r="1839" spans="6:6" s="2" customFormat="1" ht="15" x14ac:dyDescent="0.25">
      <c r="F1839" s="22" t="str">
        <f>IF(sample_log!$C1839="", "", IF(sample_log!$C1839="Chapin", "chapin_mon", IF(sample_log!$C1839="Oatka", "oatka_mon", IF(sample_log!$C1839="Seneca", "seneca_mon", "one"))))</f>
        <v/>
      </c>
    </row>
    <row r="1840" spans="6:6" s="2" customFormat="1" ht="15" x14ac:dyDescent="0.25">
      <c r="F1840" s="22" t="str">
        <f>IF(sample_log!$C1840="", "", IF(sample_log!$C1840="Chapin", "chapin_mon", IF(sample_log!$C1840="Oatka", "oatka_mon", IF(sample_log!$C1840="Seneca", "seneca_mon", "one"))))</f>
        <v/>
      </c>
    </row>
    <row r="1841" spans="6:6" s="2" customFormat="1" ht="15" x14ac:dyDescent="0.25">
      <c r="F1841" s="22" t="str">
        <f>IF(sample_log!$C1841="", "", IF(sample_log!$C1841="Chapin", "chapin_mon", IF(sample_log!$C1841="Oatka", "oatka_mon", IF(sample_log!$C1841="Seneca", "seneca_mon", "one"))))</f>
        <v/>
      </c>
    </row>
    <row r="1842" spans="6:6" s="2" customFormat="1" ht="15" x14ac:dyDescent="0.25">
      <c r="F1842" s="22" t="str">
        <f>IF(sample_log!$C1842="", "", IF(sample_log!$C1842="Chapin", "chapin_mon", IF(sample_log!$C1842="Oatka", "oatka_mon", IF(sample_log!$C1842="Seneca", "seneca_mon", "one"))))</f>
        <v/>
      </c>
    </row>
    <row r="1843" spans="6:6" s="2" customFormat="1" ht="15" x14ac:dyDescent="0.25">
      <c r="F1843" s="22" t="str">
        <f>IF(sample_log!$C1843="", "", IF(sample_log!$C1843="Chapin", "chapin_mon", IF(sample_log!$C1843="Oatka", "oatka_mon", IF(sample_log!$C1843="Seneca", "seneca_mon", "one"))))</f>
        <v/>
      </c>
    </row>
    <row r="1844" spans="6:6" s="2" customFormat="1" ht="15" x14ac:dyDescent="0.25">
      <c r="F1844" s="22" t="str">
        <f>IF(sample_log!$C1844="", "", IF(sample_log!$C1844="Chapin", "chapin_mon", IF(sample_log!$C1844="Oatka", "oatka_mon", IF(sample_log!$C1844="Seneca", "seneca_mon", "one"))))</f>
        <v/>
      </c>
    </row>
    <row r="1845" spans="6:6" s="2" customFormat="1" ht="15" x14ac:dyDescent="0.25">
      <c r="F1845" s="22" t="str">
        <f>IF(sample_log!$C1845="", "", IF(sample_log!$C1845="Chapin", "chapin_mon", IF(sample_log!$C1845="Oatka", "oatka_mon", IF(sample_log!$C1845="Seneca", "seneca_mon", "one"))))</f>
        <v/>
      </c>
    </row>
    <row r="1846" spans="6:6" s="2" customFormat="1" ht="15" x14ac:dyDescent="0.25">
      <c r="F1846" s="22" t="str">
        <f>IF(sample_log!$C1846="", "", IF(sample_log!$C1846="Chapin", "chapin_mon", IF(sample_log!$C1846="Oatka", "oatka_mon", IF(sample_log!$C1846="Seneca", "seneca_mon", "one"))))</f>
        <v/>
      </c>
    </row>
    <row r="1847" spans="6:6" s="2" customFormat="1" ht="15" x14ac:dyDescent="0.25">
      <c r="F1847" s="22" t="str">
        <f>IF(sample_log!$C1847="", "", IF(sample_log!$C1847="Chapin", "chapin_mon", IF(sample_log!$C1847="Oatka", "oatka_mon", IF(sample_log!$C1847="Seneca", "seneca_mon", "one"))))</f>
        <v/>
      </c>
    </row>
    <row r="1848" spans="6:6" s="2" customFormat="1" ht="15" x14ac:dyDescent="0.25">
      <c r="F1848" s="22" t="str">
        <f>IF(sample_log!$C1848="", "", IF(sample_log!$C1848="Chapin", "chapin_mon", IF(sample_log!$C1848="Oatka", "oatka_mon", IF(sample_log!$C1848="Seneca", "seneca_mon", "one"))))</f>
        <v/>
      </c>
    </row>
    <row r="1849" spans="6:6" s="2" customFormat="1" ht="15" x14ac:dyDescent="0.25">
      <c r="F1849" s="22" t="str">
        <f>IF(sample_log!$C1849="", "", IF(sample_log!$C1849="Chapin", "chapin_mon", IF(sample_log!$C1849="Oatka", "oatka_mon", IF(sample_log!$C1849="Seneca", "seneca_mon", "one"))))</f>
        <v/>
      </c>
    </row>
    <row r="1850" spans="6:6" s="2" customFormat="1" ht="15" x14ac:dyDescent="0.25">
      <c r="F1850" s="22" t="str">
        <f>IF(sample_log!$C1850="", "", IF(sample_log!$C1850="Chapin", "chapin_mon", IF(sample_log!$C1850="Oatka", "oatka_mon", IF(sample_log!$C1850="Seneca", "seneca_mon", "one"))))</f>
        <v/>
      </c>
    </row>
    <row r="1851" spans="6:6" s="2" customFormat="1" ht="15" x14ac:dyDescent="0.25">
      <c r="F1851" s="22" t="str">
        <f>IF(sample_log!$C1851="", "", IF(sample_log!$C1851="Chapin", "chapin_mon", IF(sample_log!$C1851="Oatka", "oatka_mon", IF(sample_log!$C1851="Seneca", "seneca_mon", "one"))))</f>
        <v/>
      </c>
    </row>
    <row r="1852" spans="6:6" s="2" customFormat="1" ht="15" x14ac:dyDescent="0.25">
      <c r="F1852" s="22" t="str">
        <f>IF(sample_log!$C1852="", "", IF(sample_log!$C1852="Chapin", "chapin_mon", IF(sample_log!$C1852="Oatka", "oatka_mon", IF(sample_log!$C1852="Seneca", "seneca_mon", "one"))))</f>
        <v/>
      </c>
    </row>
    <row r="1853" spans="6:6" s="2" customFormat="1" ht="15" x14ac:dyDescent="0.25">
      <c r="F1853" s="22" t="str">
        <f>IF(sample_log!$C1853="", "", IF(sample_log!$C1853="Chapin", "chapin_mon", IF(sample_log!$C1853="Oatka", "oatka_mon", IF(sample_log!$C1853="Seneca", "seneca_mon", "one"))))</f>
        <v/>
      </c>
    </row>
    <row r="1854" spans="6:6" s="2" customFormat="1" ht="15" x14ac:dyDescent="0.25">
      <c r="F1854" s="22" t="str">
        <f>IF(sample_log!$C1854="", "", IF(sample_log!$C1854="Chapin", "chapin_mon", IF(sample_log!$C1854="Oatka", "oatka_mon", IF(sample_log!$C1854="Seneca", "seneca_mon", "one"))))</f>
        <v/>
      </c>
    </row>
    <row r="1855" spans="6:6" s="2" customFormat="1" ht="15" x14ac:dyDescent="0.25">
      <c r="F1855" s="22" t="str">
        <f>IF(sample_log!$C1855="", "", IF(sample_log!$C1855="Chapin", "chapin_mon", IF(sample_log!$C1855="Oatka", "oatka_mon", IF(sample_log!$C1855="Seneca", "seneca_mon", "one"))))</f>
        <v/>
      </c>
    </row>
    <row r="1856" spans="6:6" s="2" customFormat="1" ht="15" x14ac:dyDescent="0.25">
      <c r="F1856" s="22" t="str">
        <f>IF(sample_log!$C1856="", "", IF(sample_log!$C1856="Chapin", "chapin_mon", IF(sample_log!$C1856="Oatka", "oatka_mon", IF(sample_log!$C1856="Seneca", "seneca_mon", "one"))))</f>
        <v/>
      </c>
    </row>
    <row r="1857" spans="6:6" s="2" customFormat="1" ht="15" x14ac:dyDescent="0.25">
      <c r="F1857" s="22" t="str">
        <f>IF(sample_log!$C1857="", "", IF(sample_log!$C1857="Chapin", "chapin_mon", IF(sample_log!$C1857="Oatka", "oatka_mon", IF(sample_log!$C1857="Seneca", "seneca_mon", "one"))))</f>
        <v/>
      </c>
    </row>
    <row r="1858" spans="6:6" s="2" customFormat="1" ht="15" x14ac:dyDescent="0.25">
      <c r="F1858" s="22" t="str">
        <f>IF(sample_log!$C1858="", "", IF(sample_log!$C1858="Chapin", "chapin_mon", IF(sample_log!$C1858="Oatka", "oatka_mon", IF(sample_log!$C1858="Seneca", "seneca_mon", "one"))))</f>
        <v/>
      </c>
    </row>
    <row r="1859" spans="6:6" s="2" customFormat="1" ht="15" x14ac:dyDescent="0.25">
      <c r="F1859" s="22" t="str">
        <f>IF(sample_log!$C1859="", "", IF(sample_log!$C1859="Chapin", "chapin_mon", IF(sample_log!$C1859="Oatka", "oatka_mon", IF(sample_log!$C1859="Seneca", "seneca_mon", "one"))))</f>
        <v/>
      </c>
    </row>
    <row r="1860" spans="6:6" s="2" customFormat="1" ht="15" x14ac:dyDescent="0.25">
      <c r="F1860" s="22" t="str">
        <f>IF(sample_log!$C1860="", "", IF(sample_log!$C1860="Chapin", "chapin_mon", IF(sample_log!$C1860="Oatka", "oatka_mon", IF(sample_log!$C1860="Seneca", "seneca_mon", "one"))))</f>
        <v/>
      </c>
    </row>
    <row r="1861" spans="6:6" s="2" customFormat="1" ht="15" x14ac:dyDescent="0.25">
      <c r="F1861" s="22" t="str">
        <f>IF(sample_log!$C1861="", "", IF(sample_log!$C1861="Chapin", "chapin_mon", IF(sample_log!$C1861="Oatka", "oatka_mon", IF(sample_log!$C1861="Seneca", "seneca_mon", "one"))))</f>
        <v/>
      </c>
    </row>
    <row r="1862" spans="6:6" s="2" customFormat="1" ht="15" x14ac:dyDescent="0.25">
      <c r="F1862" s="22" t="str">
        <f>IF(sample_log!$C1862="", "", IF(sample_log!$C1862="Chapin", "chapin_mon", IF(sample_log!$C1862="Oatka", "oatka_mon", IF(sample_log!$C1862="Seneca", "seneca_mon", "one"))))</f>
        <v/>
      </c>
    </row>
    <row r="1863" spans="6:6" s="2" customFormat="1" ht="15" x14ac:dyDescent="0.25">
      <c r="F1863" s="22" t="str">
        <f>IF(sample_log!$C1863="", "", IF(sample_log!$C1863="Chapin", "chapin_mon", IF(sample_log!$C1863="Oatka", "oatka_mon", IF(sample_log!$C1863="Seneca", "seneca_mon", "one"))))</f>
        <v/>
      </c>
    </row>
    <row r="1864" spans="6:6" s="2" customFormat="1" ht="15" x14ac:dyDescent="0.25">
      <c r="F1864" s="22" t="str">
        <f>IF(sample_log!$C1864="", "", IF(sample_log!$C1864="Chapin", "chapin_mon", IF(sample_log!$C1864="Oatka", "oatka_mon", IF(sample_log!$C1864="Seneca", "seneca_mon", "one"))))</f>
        <v/>
      </c>
    </row>
    <row r="1865" spans="6:6" s="2" customFormat="1" ht="15" x14ac:dyDescent="0.25">
      <c r="F1865" s="22" t="str">
        <f>IF(sample_log!$C1865="", "", IF(sample_log!$C1865="Chapin", "chapin_mon", IF(sample_log!$C1865="Oatka", "oatka_mon", IF(sample_log!$C1865="Seneca", "seneca_mon", "one"))))</f>
        <v/>
      </c>
    </row>
    <row r="1866" spans="6:6" s="2" customFormat="1" ht="15" x14ac:dyDescent="0.25">
      <c r="F1866" s="22" t="str">
        <f>IF(sample_log!$C1866="", "", IF(sample_log!$C1866="Chapin", "chapin_mon", IF(sample_log!$C1866="Oatka", "oatka_mon", IF(sample_log!$C1866="Seneca", "seneca_mon", "one"))))</f>
        <v/>
      </c>
    </row>
    <row r="1867" spans="6:6" s="2" customFormat="1" ht="15" x14ac:dyDescent="0.25">
      <c r="F1867" s="22" t="str">
        <f>IF(sample_log!$C1867="", "", IF(sample_log!$C1867="Chapin", "chapin_mon", IF(sample_log!$C1867="Oatka", "oatka_mon", IF(sample_log!$C1867="Seneca", "seneca_mon", "one"))))</f>
        <v/>
      </c>
    </row>
    <row r="1868" spans="6:6" s="2" customFormat="1" ht="15" x14ac:dyDescent="0.25">
      <c r="F1868" s="22" t="str">
        <f>IF(sample_log!$C1868="", "", IF(sample_log!$C1868="Chapin", "chapin_mon", IF(sample_log!$C1868="Oatka", "oatka_mon", IF(sample_log!$C1868="Seneca", "seneca_mon", "one"))))</f>
        <v/>
      </c>
    </row>
    <row r="1869" spans="6:6" s="2" customFormat="1" ht="15" x14ac:dyDescent="0.25">
      <c r="F1869" s="22" t="str">
        <f>IF(sample_log!$C1869="", "", IF(sample_log!$C1869="Chapin", "chapin_mon", IF(sample_log!$C1869="Oatka", "oatka_mon", IF(sample_log!$C1869="Seneca", "seneca_mon", "one"))))</f>
        <v/>
      </c>
    </row>
    <row r="1870" spans="6:6" s="2" customFormat="1" ht="15" x14ac:dyDescent="0.25">
      <c r="F1870" s="22" t="str">
        <f>IF(sample_log!$C1870="", "", IF(sample_log!$C1870="Chapin", "chapin_mon", IF(sample_log!$C1870="Oatka", "oatka_mon", IF(sample_log!$C1870="Seneca", "seneca_mon", "one"))))</f>
        <v/>
      </c>
    </row>
    <row r="1871" spans="6:6" s="2" customFormat="1" ht="15" x14ac:dyDescent="0.25">
      <c r="F1871" s="22" t="str">
        <f>IF(sample_log!$C1871="", "", IF(sample_log!$C1871="Chapin", "chapin_mon", IF(sample_log!$C1871="Oatka", "oatka_mon", IF(sample_log!$C1871="Seneca", "seneca_mon", "one"))))</f>
        <v/>
      </c>
    </row>
    <row r="1872" spans="6:6" s="2" customFormat="1" ht="15" x14ac:dyDescent="0.25">
      <c r="F1872" s="22" t="str">
        <f>IF(sample_log!$C1872="", "", IF(sample_log!$C1872="Chapin", "chapin_mon", IF(sample_log!$C1872="Oatka", "oatka_mon", IF(sample_log!$C1872="Seneca", "seneca_mon", "one"))))</f>
        <v/>
      </c>
    </row>
    <row r="1873" spans="6:6" s="2" customFormat="1" ht="15" x14ac:dyDescent="0.25">
      <c r="F1873" s="22" t="str">
        <f>IF(sample_log!$C1873="", "", IF(sample_log!$C1873="Chapin", "chapin_mon", IF(sample_log!$C1873="Oatka", "oatka_mon", IF(sample_log!$C1873="Seneca", "seneca_mon", "one"))))</f>
        <v/>
      </c>
    </row>
    <row r="1874" spans="6:6" s="2" customFormat="1" ht="15" x14ac:dyDescent="0.25">
      <c r="F1874" s="22" t="str">
        <f>IF(sample_log!$C1874="", "", IF(sample_log!$C1874="Chapin", "chapin_mon", IF(sample_log!$C1874="Oatka", "oatka_mon", IF(sample_log!$C1874="Seneca", "seneca_mon", "one"))))</f>
        <v/>
      </c>
    </row>
    <row r="1875" spans="6:6" s="2" customFormat="1" ht="15" x14ac:dyDescent="0.25">
      <c r="F1875" s="22" t="str">
        <f>IF(sample_log!$C1875="", "", IF(sample_log!$C1875="Chapin", "chapin_mon", IF(sample_log!$C1875="Oatka", "oatka_mon", IF(sample_log!$C1875="Seneca", "seneca_mon", "one"))))</f>
        <v/>
      </c>
    </row>
    <row r="1876" spans="6:6" s="2" customFormat="1" ht="15" x14ac:dyDescent="0.25">
      <c r="F1876" s="22" t="str">
        <f>IF(sample_log!$C1876="", "", IF(sample_log!$C1876="Chapin", "chapin_mon", IF(sample_log!$C1876="Oatka", "oatka_mon", IF(sample_log!$C1876="Seneca", "seneca_mon", "one"))))</f>
        <v/>
      </c>
    </row>
    <row r="1877" spans="6:6" s="2" customFormat="1" ht="15" x14ac:dyDescent="0.25">
      <c r="F1877" s="22" t="str">
        <f>IF(sample_log!$C1877="", "", IF(sample_log!$C1877="Chapin", "chapin_mon", IF(sample_log!$C1877="Oatka", "oatka_mon", IF(sample_log!$C1877="Seneca", "seneca_mon", "one"))))</f>
        <v/>
      </c>
    </row>
    <row r="1878" spans="6:6" s="2" customFormat="1" ht="15" x14ac:dyDescent="0.25">
      <c r="F1878" s="22" t="str">
        <f>IF(sample_log!$C1878="", "", IF(sample_log!$C1878="Chapin", "chapin_mon", IF(sample_log!$C1878="Oatka", "oatka_mon", IF(sample_log!$C1878="Seneca", "seneca_mon", "one"))))</f>
        <v/>
      </c>
    </row>
    <row r="1879" spans="6:6" s="2" customFormat="1" ht="15" x14ac:dyDescent="0.25">
      <c r="F1879" s="22" t="str">
        <f>IF(sample_log!$C1879="", "", IF(sample_log!$C1879="Chapin", "chapin_mon", IF(sample_log!$C1879="Oatka", "oatka_mon", IF(sample_log!$C1879="Seneca", "seneca_mon", "one"))))</f>
        <v/>
      </c>
    </row>
    <row r="1880" spans="6:6" s="2" customFormat="1" ht="15" x14ac:dyDescent="0.25">
      <c r="F1880" s="22" t="str">
        <f>IF(sample_log!$C1880="", "", IF(sample_log!$C1880="Chapin", "chapin_mon", IF(sample_log!$C1880="Oatka", "oatka_mon", IF(sample_log!$C1880="Seneca", "seneca_mon", "one"))))</f>
        <v/>
      </c>
    </row>
    <row r="1881" spans="6:6" s="2" customFormat="1" ht="15" x14ac:dyDescent="0.25">
      <c r="F1881" s="22" t="str">
        <f>IF(sample_log!$C1881="", "", IF(sample_log!$C1881="Chapin", "chapin_mon", IF(sample_log!$C1881="Oatka", "oatka_mon", IF(sample_log!$C1881="Seneca", "seneca_mon", "one"))))</f>
        <v/>
      </c>
    </row>
    <row r="1882" spans="6:6" s="2" customFormat="1" ht="15" x14ac:dyDescent="0.25">
      <c r="F1882" s="22" t="str">
        <f>IF(sample_log!$C1882="", "", IF(sample_log!$C1882="Chapin", "chapin_mon", IF(sample_log!$C1882="Oatka", "oatka_mon", IF(sample_log!$C1882="Seneca", "seneca_mon", "one"))))</f>
        <v/>
      </c>
    </row>
    <row r="1883" spans="6:6" s="2" customFormat="1" ht="15" x14ac:dyDescent="0.25">
      <c r="F1883" s="22" t="str">
        <f>IF(sample_log!$C1883="", "", IF(sample_log!$C1883="Chapin", "chapin_mon", IF(sample_log!$C1883="Oatka", "oatka_mon", IF(sample_log!$C1883="Seneca", "seneca_mon", "one"))))</f>
        <v/>
      </c>
    </row>
    <row r="1884" spans="6:6" s="2" customFormat="1" ht="15" x14ac:dyDescent="0.25">
      <c r="F1884" s="22" t="str">
        <f>IF(sample_log!$C1884="", "", IF(sample_log!$C1884="Chapin", "chapin_mon", IF(sample_log!$C1884="Oatka", "oatka_mon", IF(sample_log!$C1884="Seneca", "seneca_mon", "one"))))</f>
        <v/>
      </c>
    </row>
    <row r="1885" spans="6:6" s="2" customFormat="1" ht="15" x14ac:dyDescent="0.25">
      <c r="F1885" s="22" t="str">
        <f>IF(sample_log!$C1885="", "", IF(sample_log!$C1885="Chapin", "chapin_mon", IF(sample_log!$C1885="Oatka", "oatka_mon", IF(sample_log!$C1885="Seneca", "seneca_mon", "one"))))</f>
        <v/>
      </c>
    </row>
    <row r="1886" spans="6:6" s="2" customFormat="1" ht="15" x14ac:dyDescent="0.25">
      <c r="F1886" s="22" t="str">
        <f>IF(sample_log!$C1886="", "", IF(sample_log!$C1886="Chapin", "chapin_mon", IF(sample_log!$C1886="Oatka", "oatka_mon", IF(sample_log!$C1886="Seneca", "seneca_mon", "one"))))</f>
        <v/>
      </c>
    </row>
    <row r="1887" spans="6:6" s="2" customFormat="1" ht="15" x14ac:dyDescent="0.25">
      <c r="F1887" s="22" t="str">
        <f>IF(sample_log!$C1887="", "", IF(sample_log!$C1887="Chapin", "chapin_mon", IF(sample_log!$C1887="Oatka", "oatka_mon", IF(sample_log!$C1887="Seneca", "seneca_mon", "one"))))</f>
        <v/>
      </c>
    </row>
    <row r="1888" spans="6:6" s="2" customFormat="1" ht="15" x14ac:dyDescent="0.25">
      <c r="F1888" s="22" t="str">
        <f>IF(sample_log!$C1888="", "", IF(sample_log!$C1888="Chapin", "chapin_mon", IF(sample_log!$C1888="Oatka", "oatka_mon", IF(sample_log!$C1888="Seneca", "seneca_mon", "one"))))</f>
        <v/>
      </c>
    </row>
    <row r="1889" spans="6:6" s="2" customFormat="1" ht="15" x14ac:dyDescent="0.25">
      <c r="F1889" s="22" t="str">
        <f>IF(sample_log!$C1889="", "", IF(sample_log!$C1889="Chapin", "chapin_mon", IF(sample_log!$C1889="Oatka", "oatka_mon", IF(sample_log!$C1889="Seneca", "seneca_mon", "one"))))</f>
        <v/>
      </c>
    </row>
    <row r="1890" spans="6:6" s="2" customFormat="1" ht="15" x14ac:dyDescent="0.25">
      <c r="F1890" s="22" t="str">
        <f>IF(sample_log!$C1890="", "", IF(sample_log!$C1890="Chapin", "chapin_mon", IF(sample_log!$C1890="Oatka", "oatka_mon", IF(sample_log!$C1890="Seneca", "seneca_mon", "one"))))</f>
        <v/>
      </c>
    </row>
    <row r="1891" spans="6:6" s="2" customFormat="1" ht="15" x14ac:dyDescent="0.25">
      <c r="F1891" s="22" t="str">
        <f>IF(sample_log!$C1891="", "", IF(sample_log!$C1891="Chapin", "chapin_mon", IF(sample_log!$C1891="Oatka", "oatka_mon", IF(sample_log!$C1891="Seneca", "seneca_mon", "one"))))</f>
        <v/>
      </c>
    </row>
    <row r="1892" spans="6:6" s="2" customFormat="1" ht="15" x14ac:dyDescent="0.25">
      <c r="F1892" s="22" t="str">
        <f>IF(sample_log!$C1892="", "", IF(sample_log!$C1892="Chapin", "chapin_mon", IF(sample_log!$C1892="Oatka", "oatka_mon", IF(sample_log!$C1892="Seneca", "seneca_mon", "one"))))</f>
        <v/>
      </c>
    </row>
    <row r="1893" spans="6:6" s="2" customFormat="1" ht="15" x14ac:dyDescent="0.25">
      <c r="F1893" s="22" t="str">
        <f>IF(sample_log!$C1893="", "", IF(sample_log!$C1893="Chapin", "chapin_mon", IF(sample_log!$C1893="Oatka", "oatka_mon", IF(sample_log!$C1893="Seneca", "seneca_mon", "one"))))</f>
        <v/>
      </c>
    </row>
    <row r="1894" spans="6:6" s="2" customFormat="1" ht="15" x14ac:dyDescent="0.25">
      <c r="F1894" s="22" t="str">
        <f>IF(sample_log!$C1894="", "", IF(sample_log!$C1894="Chapin", "chapin_mon", IF(sample_log!$C1894="Oatka", "oatka_mon", IF(sample_log!$C1894="Seneca", "seneca_mon", "one"))))</f>
        <v/>
      </c>
    </row>
    <row r="1895" spans="6:6" s="2" customFormat="1" ht="15" x14ac:dyDescent="0.25">
      <c r="F1895" s="22" t="str">
        <f>IF(sample_log!$C1895="", "", IF(sample_log!$C1895="Chapin", "chapin_mon", IF(sample_log!$C1895="Oatka", "oatka_mon", IF(sample_log!$C1895="Seneca", "seneca_mon", "one"))))</f>
        <v/>
      </c>
    </row>
    <row r="1896" spans="6:6" s="2" customFormat="1" ht="15" x14ac:dyDescent="0.25">
      <c r="F1896" s="22" t="str">
        <f>IF(sample_log!$C1896="", "", IF(sample_log!$C1896="Chapin", "chapin_mon", IF(sample_log!$C1896="Oatka", "oatka_mon", IF(sample_log!$C1896="Seneca", "seneca_mon", "one"))))</f>
        <v/>
      </c>
    </row>
    <row r="1897" spans="6:6" s="2" customFormat="1" ht="15" x14ac:dyDescent="0.25">
      <c r="F1897" s="22" t="str">
        <f>IF(sample_log!$C1897="", "", IF(sample_log!$C1897="Chapin", "chapin_mon", IF(sample_log!$C1897="Oatka", "oatka_mon", IF(sample_log!$C1897="Seneca", "seneca_mon", "one"))))</f>
        <v/>
      </c>
    </row>
    <row r="1898" spans="6:6" s="2" customFormat="1" ht="15" x14ac:dyDescent="0.25">
      <c r="F1898" s="22" t="str">
        <f>IF(sample_log!$C1898="", "", IF(sample_log!$C1898="Chapin", "chapin_mon", IF(sample_log!$C1898="Oatka", "oatka_mon", IF(sample_log!$C1898="Seneca", "seneca_mon", "one"))))</f>
        <v/>
      </c>
    </row>
    <row r="1899" spans="6:6" s="2" customFormat="1" ht="15" x14ac:dyDescent="0.25">
      <c r="F1899" s="22" t="str">
        <f>IF(sample_log!$C1899="", "", IF(sample_log!$C1899="Chapin", "chapin_mon", IF(sample_log!$C1899="Oatka", "oatka_mon", IF(sample_log!$C1899="Seneca", "seneca_mon", "one"))))</f>
        <v/>
      </c>
    </row>
    <row r="1900" spans="6:6" s="2" customFormat="1" ht="15" x14ac:dyDescent="0.25">
      <c r="F1900" s="22" t="str">
        <f>IF(sample_log!$C1900="", "", IF(sample_log!$C1900="Chapin", "chapin_mon", IF(sample_log!$C1900="Oatka", "oatka_mon", IF(sample_log!$C1900="Seneca", "seneca_mon", "one"))))</f>
        <v/>
      </c>
    </row>
    <row r="1901" spans="6:6" s="2" customFormat="1" ht="15" x14ac:dyDescent="0.25">
      <c r="F1901" s="22" t="str">
        <f>IF(sample_log!$C1901="", "", IF(sample_log!$C1901="Chapin", "chapin_mon", IF(sample_log!$C1901="Oatka", "oatka_mon", IF(sample_log!$C1901="Seneca", "seneca_mon", "one"))))</f>
        <v/>
      </c>
    </row>
    <row r="1902" spans="6:6" s="2" customFormat="1" ht="15" x14ac:dyDescent="0.25">
      <c r="F1902" s="22" t="str">
        <f>IF(sample_log!$C1902="", "", IF(sample_log!$C1902="Chapin", "chapin_mon", IF(sample_log!$C1902="Oatka", "oatka_mon", IF(sample_log!$C1902="Seneca", "seneca_mon", "one"))))</f>
        <v/>
      </c>
    </row>
    <row r="1903" spans="6:6" s="2" customFormat="1" ht="15" x14ac:dyDescent="0.25">
      <c r="F1903" s="22" t="str">
        <f>IF(sample_log!$C1903="", "", IF(sample_log!$C1903="Chapin", "chapin_mon", IF(sample_log!$C1903="Oatka", "oatka_mon", IF(sample_log!$C1903="Seneca", "seneca_mon", "one"))))</f>
        <v/>
      </c>
    </row>
    <row r="1904" spans="6:6" s="2" customFormat="1" ht="15" x14ac:dyDescent="0.25">
      <c r="F1904" s="22" t="str">
        <f>IF(sample_log!$C1904="", "", IF(sample_log!$C1904="Chapin", "chapin_mon", IF(sample_log!$C1904="Oatka", "oatka_mon", IF(sample_log!$C1904="Seneca", "seneca_mon", "one"))))</f>
        <v/>
      </c>
    </row>
    <row r="1905" spans="6:6" s="2" customFormat="1" ht="15" x14ac:dyDescent="0.25">
      <c r="F1905" s="22" t="str">
        <f>IF(sample_log!$C1905="", "", IF(sample_log!$C1905="Chapin", "chapin_mon", IF(sample_log!$C1905="Oatka", "oatka_mon", IF(sample_log!$C1905="Seneca", "seneca_mon", "one"))))</f>
        <v/>
      </c>
    </row>
    <row r="1906" spans="6:6" s="2" customFormat="1" ht="15" x14ac:dyDescent="0.25">
      <c r="F1906" s="22" t="str">
        <f>IF(sample_log!$C1906="", "", IF(sample_log!$C1906="Chapin", "chapin_mon", IF(sample_log!$C1906="Oatka", "oatka_mon", IF(sample_log!$C1906="Seneca", "seneca_mon", "one"))))</f>
        <v/>
      </c>
    </row>
    <row r="1907" spans="6:6" s="2" customFormat="1" ht="15" x14ac:dyDescent="0.25">
      <c r="F1907" s="22" t="str">
        <f>IF(sample_log!$C1907="", "", IF(sample_log!$C1907="Chapin", "chapin_mon", IF(sample_log!$C1907="Oatka", "oatka_mon", IF(sample_log!$C1907="Seneca", "seneca_mon", "one"))))</f>
        <v/>
      </c>
    </row>
    <row r="1908" spans="6:6" s="2" customFormat="1" ht="15" x14ac:dyDescent="0.25">
      <c r="F1908" s="22" t="str">
        <f>IF(sample_log!$C1908="", "", IF(sample_log!$C1908="Chapin", "chapin_mon", IF(sample_log!$C1908="Oatka", "oatka_mon", IF(sample_log!$C1908="Seneca", "seneca_mon", "one"))))</f>
        <v/>
      </c>
    </row>
    <row r="1909" spans="6:6" s="2" customFormat="1" ht="15" x14ac:dyDescent="0.25">
      <c r="F1909" s="22" t="str">
        <f>IF(sample_log!$C1909="", "", IF(sample_log!$C1909="Chapin", "chapin_mon", IF(sample_log!$C1909="Oatka", "oatka_mon", IF(sample_log!$C1909="Seneca", "seneca_mon", "one"))))</f>
        <v/>
      </c>
    </row>
    <row r="1910" spans="6:6" s="2" customFormat="1" ht="15" x14ac:dyDescent="0.25">
      <c r="F1910" s="22" t="str">
        <f>IF(sample_log!$C1910="", "", IF(sample_log!$C1910="Chapin", "chapin_mon", IF(sample_log!$C1910="Oatka", "oatka_mon", IF(sample_log!$C1910="Seneca", "seneca_mon", "one"))))</f>
        <v/>
      </c>
    </row>
    <row r="1911" spans="6:6" s="2" customFormat="1" ht="15" x14ac:dyDescent="0.25">
      <c r="F1911" s="22" t="str">
        <f>IF(sample_log!$C1911="", "", IF(sample_log!$C1911="Chapin", "chapin_mon", IF(sample_log!$C1911="Oatka", "oatka_mon", IF(sample_log!$C1911="Seneca", "seneca_mon", "one"))))</f>
        <v/>
      </c>
    </row>
    <row r="1912" spans="6:6" s="2" customFormat="1" ht="15" x14ac:dyDescent="0.25">
      <c r="F1912" s="22" t="str">
        <f>IF(sample_log!$C1912="", "", IF(sample_log!$C1912="Chapin", "chapin_mon", IF(sample_log!$C1912="Oatka", "oatka_mon", IF(sample_log!$C1912="Seneca", "seneca_mon", "one"))))</f>
        <v/>
      </c>
    </row>
    <row r="1913" spans="6:6" s="2" customFormat="1" ht="15" x14ac:dyDescent="0.25">
      <c r="F1913" s="22" t="str">
        <f>IF(sample_log!$C1913="", "", IF(sample_log!$C1913="Chapin", "chapin_mon", IF(sample_log!$C1913="Oatka", "oatka_mon", IF(sample_log!$C1913="Seneca", "seneca_mon", "one"))))</f>
        <v/>
      </c>
    </row>
    <row r="1914" spans="6:6" s="2" customFormat="1" ht="15" x14ac:dyDescent="0.25">
      <c r="F1914" s="22" t="str">
        <f>IF(sample_log!$C1914="", "", IF(sample_log!$C1914="Chapin", "chapin_mon", IF(sample_log!$C1914="Oatka", "oatka_mon", IF(sample_log!$C1914="Seneca", "seneca_mon", "one"))))</f>
        <v/>
      </c>
    </row>
    <row r="1915" spans="6:6" s="2" customFormat="1" ht="15" x14ac:dyDescent="0.25">
      <c r="F1915" s="22" t="str">
        <f>IF(sample_log!$C1915="", "", IF(sample_log!$C1915="Chapin", "chapin_mon", IF(sample_log!$C1915="Oatka", "oatka_mon", IF(sample_log!$C1915="Seneca", "seneca_mon", "one"))))</f>
        <v/>
      </c>
    </row>
    <row r="1916" spans="6:6" s="2" customFormat="1" ht="15" x14ac:dyDescent="0.25">
      <c r="F1916" s="22" t="str">
        <f>IF(sample_log!$C1916="", "", IF(sample_log!$C1916="Chapin", "chapin_mon", IF(sample_log!$C1916="Oatka", "oatka_mon", IF(sample_log!$C1916="Seneca", "seneca_mon", "one"))))</f>
        <v/>
      </c>
    </row>
    <row r="1917" spans="6:6" s="2" customFormat="1" ht="15" x14ac:dyDescent="0.25">
      <c r="F1917" s="22" t="str">
        <f>IF(sample_log!$C1917="", "", IF(sample_log!$C1917="Chapin", "chapin_mon", IF(sample_log!$C1917="Oatka", "oatka_mon", IF(sample_log!$C1917="Seneca", "seneca_mon", "one"))))</f>
        <v/>
      </c>
    </row>
    <row r="1918" spans="6:6" s="2" customFormat="1" ht="15" x14ac:dyDescent="0.25">
      <c r="F1918" s="22" t="str">
        <f>IF(sample_log!$C1918="", "", IF(sample_log!$C1918="Chapin", "chapin_mon", IF(sample_log!$C1918="Oatka", "oatka_mon", IF(sample_log!$C1918="Seneca", "seneca_mon", "one"))))</f>
        <v/>
      </c>
    </row>
    <row r="1919" spans="6:6" s="2" customFormat="1" ht="15" x14ac:dyDescent="0.25">
      <c r="F1919" s="22" t="str">
        <f>IF(sample_log!$C1919="", "", IF(sample_log!$C1919="Chapin", "chapin_mon", IF(sample_log!$C1919="Oatka", "oatka_mon", IF(sample_log!$C1919="Seneca", "seneca_mon", "one"))))</f>
        <v/>
      </c>
    </row>
    <row r="1920" spans="6:6" s="2" customFormat="1" ht="15" x14ac:dyDescent="0.25">
      <c r="F1920" s="22" t="str">
        <f>IF(sample_log!$C1920="", "", IF(sample_log!$C1920="Chapin", "chapin_mon", IF(sample_log!$C1920="Oatka", "oatka_mon", IF(sample_log!$C1920="Seneca", "seneca_mon", "one"))))</f>
        <v/>
      </c>
    </row>
    <row r="1921" spans="6:6" s="2" customFormat="1" ht="15" x14ac:dyDescent="0.25">
      <c r="F1921" s="22" t="str">
        <f>IF(sample_log!$C1921="", "", IF(sample_log!$C1921="Chapin", "chapin_mon", IF(sample_log!$C1921="Oatka", "oatka_mon", IF(sample_log!$C1921="Seneca", "seneca_mon", "one"))))</f>
        <v/>
      </c>
    </row>
    <row r="1922" spans="6:6" s="2" customFormat="1" ht="15" x14ac:dyDescent="0.25">
      <c r="F1922" s="22" t="str">
        <f>IF(sample_log!$C1922="", "", IF(sample_log!$C1922="Chapin", "chapin_mon", IF(sample_log!$C1922="Oatka", "oatka_mon", IF(sample_log!$C1922="Seneca", "seneca_mon", "one"))))</f>
        <v/>
      </c>
    </row>
    <row r="1923" spans="6:6" s="2" customFormat="1" ht="15" x14ac:dyDescent="0.25">
      <c r="F1923" s="22" t="str">
        <f>IF(sample_log!$C1923="", "", IF(sample_log!$C1923="Chapin", "chapin_mon", IF(sample_log!$C1923="Oatka", "oatka_mon", IF(sample_log!$C1923="Seneca", "seneca_mon", "one"))))</f>
        <v/>
      </c>
    </row>
    <row r="1924" spans="6:6" s="2" customFormat="1" ht="15" x14ac:dyDescent="0.25">
      <c r="F1924" s="22" t="str">
        <f>IF(sample_log!$C1924="", "", IF(sample_log!$C1924="Chapin", "chapin_mon", IF(sample_log!$C1924="Oatka", "oatka_mon", IF(sample_log!$C1924="Seneca", "seneca_mon", "one"))))</f>
        <v/>
      </c>
    </row>
    <row r="1925" spans="6:6" s="2" customFormat="1" ht="15" x14ac:dyDescent="0.25">
      <c r="F1925" s="22" t="str">
        <f>IF(sample_log!$C1925="", "", IF(sample_log!$C1925="Chapin", "chapin_mon", IF(sample_log!$C1925="Oatka", "oatka_mon", IF(sample_log!$C1925="Seneca", "seneca_mon", "one"))))</f>
        <v/>
      </c>
    </row>
    <row r="1926" spans="6:6" s="2" customFormat="1" ht="15" x14ac:dyDescent="0.25">
      <c r="F1926" s="22" t="str">
        <f>IF(sample_log!$C1926="", "", IF(sample_log!$C1926="Chapin", "chapin_mon", IF(sample_log!$C1926="Oatka", "oatka_mon", IF(sample_log!$C1926="Seneca", "seneca_mon", "one"))))</f>
        <v/>
      </c>
    </row>
    <row r="1927" spans="6:6" s="2" customFormat="1" ht="15" x14ac:dyDescent="0.25">
      <c r="F1927" s="22" t="str">
        <f>IF(sample_log!$C1927="", "", IF(sample_log!$C1927="Chapin", "chapin_mon", IF(sample_log!$C1927="Oatka", "oatka_mon", IF(sample_log!$C1927="Seneca", "seneca_mon", "one"))))</f>
        <v/>
      </c>
    </row>
    <row r="1928" spans="6:6" s="2" customFormat="1" ht="15" x14ac:dyDescent="0.25">
      <c r="F1928" s="22" t="str">
        <f>IF(sample_log!$C1928="", "", IF(sample_log!$C1928="Chapin", "chapin_mon", IF(sample_log!$C1928="Oatka", "oatka_mon", IF(sample_log!$C1928="Seneca", "seneca_mon", "one"))))</f>
        <v/>
      </c>
    </row>
    <row r="1929" spans="6:6" s="2" customFormat="1" ht="15" x14ac:dyDescent="0.25">
      <c r="F1929" s="22" t="str">
        <f>IF(sample_log!$C1929="", "", IF(sample_log!$C1929="Chapin", "chapin_mon", IF(sample_log!$C1929="Oatka", "oatka_mon", IF(sample_log!$C1929="Seneca", "seneca_mon", "one"))))</f>
        <v/>
      </c>
    </row>
    <row r="1930" spans="6:6" s="2" customFormat="1" ht="15" x14ac:dyDescent="0.25">
      <c r="F1930" s="22" t="str">
        <f>IF(sample_log!$C1930="", "", IF(sample_log!$C1930="Chapin", "chapin_mon", IF(sample_log!$C1930="Oatka", "oatka_mon", IF(sample_log!$C1930="Seneca", "seneca_mon", "one"))))</f>
        <v/>
      </c>
    </row>
    <row r="1931" spans="6:6" s="2" customFormat="1" ht="15" x14ac:dyDescent="0.25">
      <c r="F1931" s="22" t="str">
        <f>IF(sample_log!$C1931="", "", IF(sample_log!$C1931="Chapin", "chapin_mon", IF(sample_log!$C1931="Oatka", "oatka_mon", IF(sample_log!$C1931="Seneca", "seneca_mon", "one"))))</f>
        <v/>
      </c>
    </row>
    <row r="1932" spans="6:6" s="2" customFormat="1" ht="15" x14ac:dyDescent="0.25">
      <c r="F1932" s="22" t="str">
        <f>IF(sample_log!$C1932="", "", IF(sample_log!$C1932="Chapin", "chapin_mon", IF(sample_log!$C1932="Oatka", "oatka_mon", IF(sample_log!$C1932="Seneca", "seneca_mon", "one"))))</f>
        <v/>
      </c>
    </row>
    <row r="1933" spans="6:6" s="2" customFormat="1" ht="15" x14ac:dyDescent="0.25">
      <c r="F1933" s="22" t="str">
        <f>IF(sample_log!$C1933="", "", IF(sample_log!$C1933="Chapin", "chapin_mon", IF(sample_log!$C1933="Oatka", "oatka_mon", IF(sample_log!$C1933="Seneca", "seneca_mon", "one"))))</f>
        <v/>
      </c>
    </row>
    <row r="1934" spans="6:6" s="2" customFormat="1" ht="15" x14ac:dyDescent="0.25">
      <c r="F1934" s="22" t="str">
        <f>IF(sample_log!$C1934="", "", IF(sample_log!$C1934="Chapin", "chapin_mon", IF(sample_log!$C1934="Oatka", "oatka_mon", IF(sample_log!$C1934="Seneca", "seneca_mon", "one"))))</f>
        <v/>
      </c>
    </row>
    <row r="1935" spans="6:6" s="2" customFormat="1" ht="15" x14ac:dyDescent="0.25">
      <c r="F1935" s="22" t="str">
        <f>IF(sample_log!$C1935="", "", IF(sample_log!$C1935="Chapin", "chapin_mon", IF(sample_log!$C1935="Oatka", "oatka_mon", IF(sample_log!$C1935="Seneca", "seneca_mon", "one"))))</f>
        <v/>
      </c>
    </row>
    <row r="1936" spans="6:6" s="2" customFormat="1" ht="15" x14ac:dyDescent="0.25">
      <c r="F1936" s="22" t="str">
        <f>IF(sample_log!$C1936="", "", IF(sample_log!$C1936="Chapin", "chapin_mon", IF(sample_log!$C1936="Oatka", "oatka_mon", IF(sample_log!$C1936="Seneca", "seneca_mon", "one"))))</f>
        <v/>
      </c>
    </row>
    <row r="1937" spans="6:6" s="2" customFormat="1" ht="15" x14ac:dyDescent="0.25">
      <c r="F1937" s="22" t="str">
        <f>IF(sample_log!$C1937="", "", IF(sample_log!$C1937="Chapin", "chapin_mon", IF(sample_log!$C1937="Oatka", "oatka_mon", IF(sample_log!$C1937="Seneca", "seneca_mon", "one"))))</f>
        <v/>
      </c>
    </row>
    <row r="1938" spans="6:6" s="2" customFormat="1" ht="15" x14ac:dyDescent="0.25">
      <c r="F1938" s="22" t="str">
        <f>IF(sample_log!$C1938="", "", IF(sample_log!$C1938="Chapin", "chapin_mon", IF(sample_log!$C1938="Oatka", "oatka_mon", IF(sample_log!$C1938="Seneca", "seneca_mon", "one"))))</f>
        <v/>
      </c>
    </row>
    <row r="1939" spans="6:6" s="2" customFormat="1" ht="15" x14ac:dyDescent="0.25">
      <c r="F1939" s="22" t="str">
        <f>IF(sample_log!$C1939="", "", IF(sample_log!$C1939="Chapin", "chapin_mon", IF(sample_log!$C1939="Oatka", "oatka_mon", IF(sample_log!$C1939="Seneca", "seneca_mon", "one"))))</f>
        <v/>
      </c>
    </row>
    <row r="1940" spans="6:6" s="2" customFormat="1" ht="15" x14ac:dyDescent="0.25">
      <c r="F1940" s="22" t="str">
        <f>IF(sample_log!$C1940="", "", IF(sample_log!$C1940="Chapin", "chapin_mon", IF(sample_log!$C1940="Oatka", "oatka_mon", IF(sample_log!$C1940="Seneca", "seneca_mon", "one"))))</f>
        <v/>
      </c>
    </row>
    <row r="1941" spans="6:6" s="2" customFormat="1" ht="15" x14ac:dyDescent="0.25">
      <c r="F1941" s="22" t="str">
        <f>IF(sample_log!$C1941="", "", IF(sample_log!$C1941="Chapin", "chapin_mon", IF(sample_log!$C1941="Oatka", "oatka_mon", IF(sample_log!$C1941="Seneca", "seneca_mon", "one"))))</f>
        <v/>
      </c>
    </row>
    <row r="1942" spans="6:6" s="2" customFormat="1" ht="15" x14ac:dyDescent="0.25">
      <c r="F1942" s="22" t="str">
        <f>IF(sample_log!$C1942="", "", IF(sample_log!$C1942="Chapin", "chapin_mon", IF(sample_log!$C1942="Oatka", "oatka_mon", IF(sample_log!$C1942="Seneca", "seneca_mon", "one"))))</f>
        <v/>
      </c>
    </row>
    <row r="1943" spans="6:6" s="2" customFormat="1" ht="15" x14ac:dyDescent="0.25">
      <c r="F1943" s="22" t="str">
        <f>IF(sample_log!$C1943="", "", IF(sample_log!$C1943="Chapin", "chapin_mon", IF(sample_log!$C1943="Oatka", "oatka_mon", IF(sample_log!$C1943="Seneca", "seneca_mon", "one"))))</f>
        <v/>
      </c>
    </row>
    <row r="1944" spans="6:6" s="2" customFormat="1" ht="15" x14ac:dyDescent="0.25">
      <c r="F1944" s="22" t="str">
        <f>IF(sample_log!$C1944="", "", IF(sample_log!$C1944="Chapin", "chapin_mon", IF(sample_log!$C1944="Oatka", "oatka_mon", IF(sample_log!$C1944="Seneca", "seneca_mon", "one"))))</f>
        <v/>
      </c>
    </row>
    <row r="1945" spans="6:6" s="2" customFormat="1" ht="15" x14ac:dyDescent="0.25">
      <c r="F1945" s="22" t="str">
        <f>IF(sample_log!$C1945="", "", IF(sample_log!$C1945="Chapin", "chapin_mon", IF(sample_log!$C1945="Oatka", "oatka_mon", IF(sample_log!$C1945="Seneca", "seneca_mon", "one"))))</f>
        <v/>
      </c>
    </row>
    <row r="1946" spans="6:6" s="2" customFormat="1" ht="15" x14ac:dyDescent="0.25">
      <c r="F1946" s="22" t="str">
        <f>IF(sample_log!$C1946="", "", IF(sample_log!$C1946="Chapin", "chapin_mon", IF(sample_log!$C1946="Oatka", "oatka_mon", IF(sample_log!$C1946="Seneca", "seneca_mon", "one"))))</f>
        <v/>
      </c>
    </row>
    <row r="1947" spans="6:6" s="2" customFormat="1" ht="15" x14ac:dyDescent="0.25">
      <c r="F1947" s="22" t="str">
        <f>IF(sample_log!$C1947="", "", IF(sample_log!$C1947="Chapin", "chapin_mon", IF(sample_log!$C1947="Oatka", "oatka_mon", IF(sample_log!$C1947="Seneca", "seneca_mon", "one"))))</f>
        <v/>
      </c>
    </row>
    <row r="1948" spans="6:6" s="2" customFormat="1" ht="15" x14ac:dyDescent="0.25">
      <c r="F1948" s="22" t="str">
        <f>IF(sample_log!$C1948="", "", IF(sample_log!$C1948="Chapin", "chapin_mon", IF(sample_log!$C1948="Oatka", "oatka_mon", IF(sample_log!$C1948="Seneca", "seneca_mon", "one"))))</f>
        <v/>
      </c>
    </row>
    <row r="1949" spans="6:6" s="2" customFormat="1" ht="15" x14ac:dyDescent="0.25">
      <c r="F1949" s="22" t="str">
        <f>IF(sample_log!$C1949="", "", IF(sample_log!$C1949="Chapin", "chapin_mon", IF(sample_log!$C1949="Oatka", "oatka_mon", IF(sample_log!$C1949="Seneca", "seneca_mon", "one"))))</f>
        <v/>
      </c>
    </row>
    <row r="1950" spans="6:6" s="2" customFormat="1" ht="15" x14ac:dyDescent="0.25">
      <c r="F1950" s="22" t="str">
        <f>IF(sample_log!$C1950="", "", IF(sample_log!$C1950="Chapin", "chapin_mon", IF(sample_log!$C1950="Oatka", "oatka_mon", IF(sample_log!$C1950="Seneca", "seneca_mon", "one"))))</f>
        <v/>
      </c>
    </row>
    <row r="1951" spans="6:6" s="2" customFormat="1" ht="15" x14ac:dyDescent="0.25">
      <c r="F1951" s="22" t="str">
        <f>IF(sample_log!$C1951="", "", IF(sample_log!$C1951="Chapin", "chapin_mon", IF(sample_log!$C1951="Oatka", "oatka_mon", IF(sample_log!$C1951="Seneca", "seneca_mon", "one"))))</f>
        <v/>
      </c>
    </row>
    <row r="1952" spans="6:6" s="2" customFormat="1" ht="15" x14ac:dyDescent="0.25">
      <c r="F1952" s="22" t="str">
        <f>IF(sample_log!$C1952="", "", IF(sample_log!$C1952="Chapin", "chapin_mon", IF(sample_log!$C1952="Oatka", "oatka_mon", IF(sample_log!$C1952="Seneca", "seneca_mon", "one"))))</f>
        <v/>
      </c>
    </row>
    <row r="1953" spans="6:6" s="2" customFormat="1" ht="15" x14ac:dyDescent="0.25">
      <c r="F1953" s="22" t="str">
        <f>IF(sample_log!$C1953="", "", IF(sample_log!$C1953="Chapin", "chapin_mon", IF(sample_log!$C1953="Oatka", "oatka_mon", IF(sample_log!$C1953="Seneca", "seneca_mon", "one"))))</f>
        <v/>
      </c>
    </row>
    <row r="1954" spans="6:6" s="2" customFormat="1" ht="15" x14ac:dyDescent="0.25">
      <c r="F1954" s="22" t="str">
        <f>IF(sample_log!$C1954="", "", IF(sample_log!$C1954="Chapin", "chapin_mon", IF(sample_log!$C1954="Oatka", "oatka_mon", IF(sample_log!$C1954="Seneca", "seneca_mon", "one"))))</f>
        <v/>
      </c>
    </row>
    <row r="1955" spans="6:6" s="2" customFormat="1" ht="15" x14ac:dyDescent="0.25">
      <c r="F1955" s="22" t="str">
        <f>IF(sample_log!$C1955="", "", IF(sample_log!$C1955="Chapin", "chapin_mon", IF(sample_log!$C1955="Oatka", "oatka_mon", IF(sample_log!$C1955="Seneca", "seneca_mon", "one"))))</f>
        <v/>
      </c>
    </row>
    <row r="1956" spans="6:6" s="2" customFormat="1" ht="15" x14ac:dyDescent="0.25">
      <c r="F1956" s="22" t="str">
        <f>IF(sample_log!$C1956="", "", IF(sample_log!$C1956="Chapin", "chapin_mon", IF(sample_log!$C1956="Oatka", "oatka_mon", IF(sample_log!$C1956="Seneca", "seneca_mon", "one"))))</f>
        <v/>
      </c>
    </row>
    <row r="1957" spans="6:6" s="2" customFormat="1" ht="15" x14ac:dyDescent="0.25">
      <c r="F1957" s="22" t="str">
        <f>IF(sample_log!$C1957="", "", IF(sample_log!$C1957="Chapin", "chapin_mon", IF(sample_log!$C1957="Oatka", "oatka_mon", IF(sample_log!$C1957="Seneca", "seneca_mon", "one"))))</f>
        <v/>
      </c>
    </row>
    <row r="1958" spans="6:6" s="2" customFormat="1" ht="15" x14ac:dyDescent="0.25">
      <c r="F1958" s="22" t="str">
        <f>IF(sample_log!$C1958="", "", IF(sample_log!$C1958="Chapin", "chapin_mon", IF(sample_log!$C1958="Oatka", "oatka_mon", IF(sample_log!$C1958="Seneca", "seneca_mon", "one"))))</f>
        <v/>
      </c>
    </row>
    <row r="1959" spans="6:6" s="2" customFormat="1" ht="15" x14ac:dyDescent="0.25">
      <c r="F1959" s="22" t="str">
        <f>IF(sample_log!$C1959="", "", IF(sample_log!$C1959="Chapin", "chapin_mon", IF(sample_log!$C1959="Oatka", "oatka_mon", IF(sample_log!$C1959="Seneca", "seneca_mon", "one"))))</f>
        <v/>
      </c>
    </row>
    <row r="1960" spans="6:6" s="2" customFormat="1" ht="15" x14ac:dyDescent="0.25">
      <c r="F1960" s="22" t="str">
        <f>IF(sample_log!$C1960="", "", IF(sample_log!$C1960="Chapin", "chapin_mon", IF(sample_log!$C1960="Oatka", "oatka_mon", IF(sample_log!$C1960="Seneca", "seneca_mon", "one"))))</f>
        <v/>
      </c>
    </row>
    <row r="1961" spans="6:6" s="2" customFormat="1" ht="15" x14ac:dyDescent="0.25">
      <c r="F1961" s="22" t="str">
        <f>IF(sample_log!$C1961="", "", IF(sample_log!$C1961="Chapin", "chapin_mon", IF(sample_log!$C1961="Oatka", "oatka_mon", IF(sample_log!$C1961="Seneca", "seneca_mon", "one"))))</f>
        <v/>
      </c>
    </row>
    <row r="1962" spans="6:6" s="2" customFormat="1" ht="15" x14ac:dyDescent="0.25">
      <c r="F1962" s="22" t="str">
        <f>IF(sample_log!$C1962="", "", IF(sample_log!$C1962="Chapin", "chapin_mon", IF(sample_log!$C1962="Oatka", "oatka_mon", IF(sample_log!$C1962="Seneca", "seneca_mon", "one"))))</f>
        <v/>
      </c>
    </row>
    <row r="1963" spans="6:6" s="2" customFormat="1" ht="15" x14ac:dyDescent="0.25">
      <c r="F1963" s="22" t="str">
        <f>IF(sample_log!$C1963="", "", IF(sample_log!$C1963="Chapin", "chapin_mon", IF(sample_log!$C1963="Oatka", "oatka_mon", IF(sample_log!$C1963="Seneca", "seneca_mon", "one"))))</f>
        <v/>
      </c>
    </row>
    <row r="1964" spans="6:6" s="2" customFormat="1" ht="15" x14ac:dyDescent="0.25">
      <c r="F1964" s="22" t="str">
        <f>IF(sample_log!$C1964="", "", IF(sample_log!$C1964="Chapin", "chapin_mon", IF(sample_log!$C1964="Oatka", "oatka_mon", IF(sample_log!$C1964="Seneca", "seneca_mon", "one"))))</f>
        <v/>
      </c>
    </row>
    <row r="1965" spans="6:6" s="2" customFormat="1" ht="15" x14ac:dyDescent="0.25">
      <c r="F1965" s="22" t="str">
        <f>IF(sample_log!$C1965="", "", IF(sample_log!$C1965="Chapin", "chapin_mon", IF(sample_log!$C1965="Oatka", "oatka_mon", IF(sample_log!$C1965="Seneca", "seneca_mon", "one"))))</f>
        <v/>
      </c>
    </row>
    <row r="1966" spans="6:6" s="2" customFormat="1" ht="15" x14ac:dyDescent="0.25">
      <c r="F1966" s="22" t="str">
        <f>IF(sample_log!$C1966="", "", IF(sample_log!$C1966="Chapin", "chapin_mon", IF(sample_log!$C1966="Oatka", "oatka_mon", IF(sample_log!$C1966="Seneca", "seneca_mon", "one"))))</f>
        <v/>
      </c>
    </row>
    <row r="1967" spans="6:6" s="2" customFormat="1" ht="15" x14ac:dyDescent="0.25">
      <c r="F1967" s="22" t="str">
        <f>IF(sample_log!$C1967="", "", IF(sample_log!$C1967="Chapin", "chapin_mon", IF(sample_log!$C1967="Oatka", "oatka_mon", IF(sample_log!$C1967="Seneca", "seneca_mon", "one"))))</f>
        <v/>
      </c>
    </row>
    <row r="1968" spans="6:6" s="2" customFormat="1" ht="15" x14ac:dyDescent="0.25">
      <c r="F1968" s="22" t="str">
        <f>IF(sample_log!$C1968="", "", IF(sample_log!$C1968="Chapin", "chapin_mon", IF(sample_log!$C1968="Oatka", "oatka_mon", IF(sample_log!$C1968="Seneca", "seneca_mon", "one"))))</f>
        <v/>
      </c>
    </row>
    <row r="1969" spans="6:6" s="2" customFormat="1" ht="15" x14ac:dyDescent="0.25">
      <c r="F1969" s="22" t="str">
        <f>IF(sample_log!$C1969="", "", IF(sample_log!$C1969="Chapin", "chapin_mon", IF(sample_log!$C1969="Oatka", "oatka_mon", IF(sample_log!$C1969="Seneca", "seneca_mon", "one"))))</f>
        <v/>
      </c>
    </row>
    <row r="1970" spans="6:6" s="2" customFormat="1" ht="15" x14ac:dyDescent="0.25">
      <c r="F1970" s="22" t="str">
        <f>IF(sample_log!$C1970="", "", IF(sample_log!$C1970="Chapin", "chapin_mon", IF(sample_log!$C1970="Oatka", "oatka_mon", IF(sample_log!$C1970="Seneca", "seneca_mon", "one"))))</f>
        <v/>
      </c>
    </row>
    <row r="1971" spans="6:6" s="2" customFormat="1" ht="15" x14ac:dyDescent="0.25">
      <c r="F1971" s="22" t="str">
        <f>IF(sample_log!$C1971="", "", IF(sample_log!$C1971="Chapin", "chapin_mon", IF(sample_log!$C1971="Oatka", "oatka_mon", IF(sample_log!$C1971="Seneca", "seneca_mon", "one"))))</f>
        <v/>
      </c>
    </row>
    <row r="1972" spans="6:6" s="2" customFormat="1" ht="15" x14ac:dyDescent="0.25">
      <c r="F1972" s="22" t="str">
        <f>IF(sample_log!$C1972="", "", IF(sample_log!$C1972="Chapin", "chapin_mon", IF(sample_log!$C1972="Oatka", "oatka_mon", IF(sample_log!$C1972="Seneca", "seneca_mon", "one"))))</f>
        <v/>
      </c>
    </row>
    <row r="1973" spans="6:6" s="2" customFormat="1" ht="15" x14ac:dyDescent="0.25">
      <c r="F1973" s="22" t="str">
        <f>IF(sample_log!$C1973="", "", IF(sample_log!$C1973="Chapin", "chapin_mon", IF(sample_log!$C1973="Oatka", "oatka_mon", IF(sample_log!$C1973="Seneca", "seneca_mon", "one"))))</f>
        <v/>
      </c>
    </row>
    <row r="1974" spans="6:6" s="2" customFormat="1" ht="15" x14ac:dyDescent="0.25">
      <c r="F1974" s="22" t="str">
        <f>IF(sample_log!$C1974="", "", IF(sample_log!$C1974="Chapin", "chapin_mon", IF(sample_log!$C1974="Oatka", "oatka_mon", IF(sample_log!$C1974="Seneca", "seneca_mon", "one"))))</f>
        <v/>
      </c>
    </row>
    <row r="1975" spans="6:6" s="2" customFormat="1" ht="15" x14ac:dyDescent="0.25">
      <c r="F1975" s="22" t="str">
        <f>IF(sample_log!$C1975="", "", IF(sample_log!$C1975="Chapin", "chapin_mon", IF(sample_log!$C1975="Oatka", "oatka_mon", IF(sample_log!$C1975="Seneca", "seneca_mon", "one"))))</f>
        <v/>
      </c>
    </row>
    <row r="1976" spans="6:6" s="2" customFormat="1" ht="15" x14ac:dyDescent="0.25">
      <c r="F1976" s="22" t="str">
        <f>IF(sample_log!$C1976="", "", IF(sample_log!$C1976="Chapin", "chapin_mon", IF(sample_log!$C1976="Oatka", "oatka_mon", IF(sample_log!$C1976="Seneca", "seneca_mon", "one"))))</f>
        <v/>
      </c>
    </row>
    <row r="1977" spans="6:6" s="2" customFormat="1" ht="15" x14ac:dyDescent="0.25">
      <c r="F1977" s="22" t="str">
        <f>IF(sample_log!$C1977="", "", IF(sample_log!$C1977="Chapin", "chapin_mon", IF(sample_log!$C1977="Oatka", "oatka_mon", IF(sample_log!$C1977="Seneca", "seneca_mon", "one"))))</f>
        <v/>
      </c>
    </row>
    <row r="1978" spans="6:6" s="2" customFormat="1" ht="15" x14ac:dyDescent="0.25">
      <c r="F1978" s="22" t="str">
        <f>IF(sample_log!$C1978="", "", IF(sample_log!$C1978="Chapin", "chapin_mon", IF(sample_log!$C1978="Oatka", "oatka_mon", IF(sample_log!$C1978="Seneca", "seneca_mon", "one"))))</f>
        <v/>
      </c>
    </row>
    <row r="1979" spans="6:6" s="2" customFormat="1" ht="15" x14ac:dyDescent="0.25">
      <c r="F1979" s="22" t="str">
        <f>IF(sample_log!$C1979="", "", IF(sample_log!$C1979="Chapin", "chapin_mon", IF(sample_log!$C1979="Oatka", "oatka_mon", IF(sample_log!$C1979="Seneca", "seneca_mon", "one"))))</f>
        <v/>
      </c>
    </row>
    <row r="1980" spans="6:6" s="2" customFormat="1" ht="15" x14ac:dyDescent="0.25">
      <c r="F1980" s="22" t="str">
        <f>IF(sample_log!$C1980="", "", IF(sample_log!$C1980="Chapin", "chapin_mon", IF(sample_log!$C1980="Oatka", "oatka_mon", IF(sample_log!$C1980="Seneca", "seneca_mon", "one"))))</f>
        <v/>
      </c>
    </row>
    <row r="1981" spans="6:6" s="2" customFormat="1" ht="15" x14ac:dyDescent="0.25">
      <c r="F1981" s="22" t="str">
        <f>IF(sample_log!$C1981="", "", IF(sample_log!$C1981="Chapin", "chapin_mon", IF(sample_log!$C1981="Oatka", "oatka_mon", IF(sample_log!$C1981="Seneca", "seneca_mon", "one"))))</f>
        <v/>
      </c>
    </row>
    <row r="1982" spans="6:6" s="2" customFormat="1" ht="15" x14ac:dyDescent="0.25">
      <c r="F1982" s="22" t="str">
        <f>IF(sample_log!$C1982="", "", IF(sample_log!$C1982="Chapin", "chapin_mon", IF(sample_log!$C1982="Oatka", "oatka_mon", IF(sample_log!$C1982="Seneca", "seneca_mon", "one"))))</f>
        <v/>
      </c>
    </row>
    <row r="1983" spans="6:6" s="2" customFormat="1" ht="15" x14ac:dyDescent="0.25">
      <c r="F1983" s="22" t="str">
        <f>IF(sample_log!$C1983="", "", IF(sample_log!$C1983="Chapin", "chapin_mon", IF(sample_log!$C1983="Oatka", "oatka_mon", IF(sample_log!$C1983="Seneca", "seneca_mon", "one"))))</f>
        <v/>
      </c>
    </row>
    <row r="1984" spans="6:6" s="2" customFormat="1" ht="15" x14ac:dyDescent="0.25">
      <c r="F1984" s="22" t="str">
        <f>IF(sample_log!$C1984="", "", IF(sample_log!$C1984="Chapin", "chapin_mon", IF(sample_log!$C1984="Oatka", "oatka_mon", IF(sample_log!$C1984="Seneca", "seneca_mon", "one"))))</f>
        <v/>
      </c>
    </row>
    <row r="1985" spans="6:6" s="2" customFormat="1" ht="15" x14ac:dyDescent="0.25">
      <c r="F1985" s="22" t="str">
        <f>IF(sample_log!$C1985="", "", IF(sample_log!$C1985="Chapin", "chapin_mon", IF(sample_log!$C1985="Oatka", "oatka_mon", IF(sample_log!$C1985="Seneca", "seneca_mon", "one"))))</f>
        <v/>
      </c>
    </row>
    <row r="1986" spans="6:6" s="2" customFormat="1" ht="15" x14ac:dyDescent="0.25">
      <c r="F1986" s="22" t="str">
        <f>IF(sample_log!$C1986="", "", IF(sample_log!$C1986="Chapin", "chapin_mon", IF(sample_log!$C1986="Oatka", "oatka_mon", IF(sample_log!$C1986="Seneca", "seneca_mon", "one"))))</f>
        <v/>
      </c>
    </row>
    <row r="1987" spans="6:6" s="2" customFormat="1" ht="15" x14ac:dyDescent="0.25">
      <c r="F1987" s="22" t="str">
        <f>IF(sample_log!$C1987="", "", IF(sample_log!$C1987="Chapin", "chapin_mon", IF(sample_log!$C1987="Oatka", "oatka_mon", IF(sample_log!$C1987="Seneca", "seneca_mon", "one"))))</f>
        <v/>
      </c>
    </row>
    <row r="1988" spans="6:6" s="2" customFormat="1" ht="15" x14ac:dyDescent="0.25">
      <c r="F1988" s="22" t="str">
        <f>IF(sample_log!$C1988="", "", IF(sample_log!$C1988="Chapin", "chapin_mon", IF(sample_log!$C1988="Oatka", "oatka_mon", IF(sample_log!$C1988="Seneca", "seneca_mon", "one"))))</f>
        <v/>
      </c>
    </row>
    <row r="1989" spans="6:6" s="2" customFormat="1" ht="15" x14ac:dyDescent="0.25">
      <c r="F1989" s="22" t="str">
        <f>IF(sample_log!$C1989="", "", IF(sample_log!$C1989="Chapin", "chapin_mon", IF(sample_log!$C1989="Oatka", "oatka_mon", IF(sample_log!$C1989="Seneca", "seneca_mon", "one"))))</f>
        <v/>
      </c>
    </row>
    <row r="1990" spans="6:6" s="2" customFormat="1" ht="15" x14ac:dyDescent="0.25">
      <c r="F1990" s="22" t="str">
        <f>IF(sample_log!$C1990="", "", IF(sample_log!$C1990="Chapin", "chapin_mon", IF(sample_log!$C1990="Oatka", "oatka_mon", IF(sample_log!$C1990="Seneca", "seneca_mon", "one"))))</f>
        <v/>
      </c>
    </row>
    <row r="1991" spans="6:6" s="2" customFormat="1" ht="15" x14ac:dyDescent="0.25">
      <c r="F1991" s="22" t="str">
        <f>IF(sample_log!$C1991="", "", IF(sample_log!$C1991="Chapin", "chapin_mon", IF(sample_log!$C1991="Oatka", "oatka_mon", IF(sample_log!$C1991="Seneca", "seneca_mon", "one"))))</f>
        <v/>
      </c>
    </row>
    <row r="1992" spans="6:6" s="2" customFormat="1" ht="15" x14ac:dyDescent="0.25">
      <c r="F1992" s="22" t="str">
        <f>IF(sample_log!$C1992="", "", IF(sample_log!$C1992="Chapin", "chapin_mon", IF(sample_log!$C1992="Oatka", "oatka_mon", IF(sample_log!$C1992="Seneca", "seneca_mon", "one"))))</f>
        <v/>
      </c>
    </row>
    <row r="1993" spans="6:6" s="2" customFormat="1" ht="15" x14ac:dyDescent="0.25">
      <c r="F1993" s="22" t="str">
        <f>IF(sample_log!$C1993="", "", IF(sample_log!$C1993="Chapin", "chapin_mon", IF(sample_log!$C1993="Oatka", "oatka_mon", IF(sample_log!$C1993="Seneca", "seneca_mon", "one"))))</f>
        <v/>
      </c>
    </row>
    <row r="1994" spans="6:6" s="2" customFormat="1" ht="15" x14ac:dyDescent="0.25">
      <c r="F1994" s="22" t="str">
        <f>IF(sample_log!$C1994="", "", IF(sample_log!$C1994="Chapin", "chapin_mon", IF(sample_log!$C1994="Oatka", "oatka_mon", IF(sample_log!$C1994="Seneca", "seneca_mon", "one"))))</f>
        <v/>
      </c>
    </row>
    <row r="1995" spans="6:6" s="2" customFormat="1" ht="15" x14ac:dyDescent="0.25">
      <c r="F1995" s="22" t="str">
        <f>IF(sample_log!$C1995="", "", IF(sample_log!$C1995="Chapin", "chapin_mon", IF(sample_log!$C1995="Oatka", "oatka_mon", IF(sample_log!$C1995="Seneca", "seneca_mon", "one"))))</f>
        <v/>
      </c>
    </row>
    <row r="1996" spans="6:6" s="2" customFormat="1" ht="15" x14ac:dyDescent="0.25">
      <c r="F1996" s="22" t="str">
        <f>IF(sample_log!$C1996="", "", IF(sample_log!$C1996="Chapin", "chapin_mon", IF(sample_log!$C1996="Oatka", "oatka_mon", IF(sample_log!$C1996="Seneca", "seneca_mon", "one"))))</f>
        <v/>
      </c>
    </row>
    <row r="1997" spans="6:6" s="2" customFormat="1" ht="15" x14ac:dyDescent="0.25">
      <c r="F1997" s="22" t="str">
        <f>IF(sample_log!$C1997="", "", IF(sample_log!$C1997="Chapin", "chapin_mon", IF(sample_log!$C1997="Oatka", "oatka_mon", IF(sample_log!$C1997="Seneca", "seneca_mon", "one"))))</f>
        <v/>
      </c>
    </row>
    <row r="1998" spans="6:6" s="2" customFormat="1" ht="15" x14ac:dyDescent="0.25">
      <c r="F1998" s="22" t="str">
        <f>IF(sample_log!$C1998="", "", IF(sample_log!$C1998="Chapin", "chapin_mon", IF(sample_log!$C1998="Oatka", "oatka_mon", IF(sample_log!$C1998="Seneca", "seneca_mon", "one"))))</f>
        <v/>
      </c>
    </row>
    <row r="1999" spans="6:6" s="2" customFormat="1" ht="15" x14ac:dyDescent="0.25">
      <c r="F1999" s="22" t="str">
        <f>IF(sample_log!$C1999="", "", IF(sample_log!$C1999="Chapin", "chapin_mon", IF(sample_log!$C1999="Oatka", "oatka_mon", IF(sample_log!$C1999="Seneca", "seneca_mon", "one"))))</f>
        <v/>
      </c>
    </row>
    <row r="2000" spans="6:6" s="2" customFormat="1" ht="15" x14ac:dyDescent="0.25">
      <c r="F2000" s="22" t="s">
        <v>46</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B48"/>
  <sheetViews>
    <sheetView zoomScaleNormal="100" workbookViewId="0">
      <selection activeCell="B1" sqref="B1"/>
    </sheetView>
  </sheetViews>
  <sheetFormatPr defaultColWidth="9.109375" defaultRowHeight="15" x14ac:dyDescent="0.25"/>
  <cols>
    <col min="1" max="1" width="3.5546875" style="2" customWidth="1"/>
    <col min="2" max="2" width="18" style="2" customWidth="1"/>
    <col min="3" max="3" width="15" style="2" bestFit="1" customWidth="1"/>
    <col min="4" max="4" width="17.88671875" style="2" customWidth="1"/>
    <col min="5" max="5" width="13.88671875" style="2" bestFit="1" customWidth="1"/>
    <col min="6" max="6" width="17.109375" style="2" customWidth="1"/>
    <col min="7" max="7" width="18.109375" style="2" customWidth="1"/>
    <col min="8" max="8" width="18.33203125" style="2" customWidth="1"/>
    <col min="9" max="9" width="13.88671875" style="2" customWidth="1"/>
    <col min="10" max="10" width="15" style="2" bestFit="1" customWidth="1"/>
    <col min="11" max="11" width="20.44140625" style="2" customWidth="1"/>
    <col min="12" max="12" width="13.109375" style="2" bestFit="1" customWidth="1"/>
    <col min="13" max="13" width="15" style="2" bestFit="1" customWidth="1"/>
    <col min="14" max="14" width="13.5546875" style="2" customWidth="1"/>
    <col min="15" max="15" width="13.88671875" style="2" bestFit="1" customWidth="1"/>
    <col min="16" max="16" width="15" style="2" bestFit="1" customWidth="1"/>
    <col min="17" max="18" width="13.88671875" style="2" bestFit="1" customWidth="1"/>
    <col min="19" max="19" width="18.109375" style="2" bestFit="1" customWidth="1"/>
    <col min="20" max="20" width="22.5546875" style="2" customWidth="1"/>
    <col min="21" max="21" width="18.109375" style="2" customWidth="1"/>
    <col min="22" max="22" width="22.109375" style="2" customWidth="1"/>
    <col min="23" max="23" width="19.88671875" style="2" customWidth="1"/>
    <col min="24" max="24" width="18.88671875" style="2" customWidth="1"/>
    <col min="25" max="25" width="20" style="2" customWidth="1"/>
    <col min="26" max="26" width="20.5546875" style="2" customWidth="1"/>
    <col min="27" max="27" width="21.109375" style="2" customWidth="1"/>
    <col min="28" max="28" width="26.6640625" style="2" customWidth="1"/>
    <col min="29" max="16384" width="9.109375" style="2"/>
  </cols>
  <sheetData>
    <row r="1" spans="1:28" x14ac:dyDescent="0.25">
      <c r="A1" s="11"/>
      <c r="B1" s="15" t="s">
        <v>103</v>
      </c>
      <c r="C1" s="15"/>
      <c r="D1" s="15"/>
      <c r="E1" s="15"/>
      <c r="F1" s="15"/>
      <c r="G1" s="15"/>
      <c r="H1" s="11"/>
      <c r="I1" s="11"/>
      <c r="J1" s="15"/>
      <c r="K1" s="11"/>
      <c r="L1" s="15"/>
      <c r="M1" s="15"/>
      <c r="N1" s="15"/>
      <c r="O1" s="15"/>
      <c r="P1" s="15"/>
      <c r="Q1" s="11"/>
      <c r="R1" s="11"/>
      <c r="S1" s="11"/>
    </row>
    <row r="2" spans="1:28" ht="31.2" x14ac:dyDescent="0.3">
      <c r="A2" s="11"/>
      <c r="B2" s="30" t="s">
        <v>84</v>
      </c>
      <c r="C2" s="30" t="s">
        <v>85</v>
      </c>
      <c r="D2" s="30" t="s">
        <v>86</v>
      </c>
      <c r="E2" s="30" t="s">
        <v>87</v>
      </c>
      <c r="F2" s="30" t="s">
        <v>88</v>
      </c>
      <c r="G2" s="30" t="s">
        <v>89</v>
      </c>
      <c r="H2" s="30" t="s">
        <v>90</v>
      </c>
      <c r="I2" s="30" t="s">
        <v>91</v>
      </c>
      <c r="J2" s="30" t="s">
        <v>92</v>
      </c>
      <c r="K2" s="30" t="s">
        <v>93</v>
      </c>
      <c r="L2" s="30" t="s">
        <v>94</v>
      </c>
      <c r="M2" s="30" t="s">
        <v>95</v>
      </c>
      <c r="N2" s="30" t="s">
        <v>96</v>
      </c>
      <c r="O2" s="30" t="s">
        <v>97</v>
      </c>
      <c r="P2" s="30" t="s">
        <v>98</v>
      </c>
      <c r="Q2" s="30" t="s">
        <v>99</v>
      </c>
      <c r="R2" s="30" t="s">
        <v>100</v>
      </c>
      <c r="S2" s="8"/>
    </row>
    <row r="3" spans="1:28" x14ac:dyDescent="0.25">
      <c r="A3" s="11"/>
      <c r="B3" s="8" t="s">
        <v>22</v>
      </c>
      <c r="C3" s="8" t="s">
        <v>22</v>
      </c>
      <c r="D3" s="8" t="s">
        <v>22</v>
      </c>
      <c r="E3" s="16" t="s">
        <v>44</v>
      </c>
      <c r="F3" s="16" t="s">
        <v>44</v>
      </c>
      <c r="G3" s="5" t="s">
        <v>21</v>
      </c>
      <c r="H3" s="5" t="s">
        <v>23</v>
      </c>
      <c r="I3" s="8" t="s">
        <v>8</v>
      </c>
      <c r="J3" s="8" t="s">
        <v>71</v>
      </c>
      <c r="K3" s="8" t="s">
        <v>45</v>
      </c>
      <c r="L3" s="8" t="s">
        <v>8</v>
      </c>
      <c r="M3" s="8" t="s">
        <v>22</v>
      </c>
      <c r="N3" s="8" t="s">
        <v>23</v>
      </c>
      <c r="O3" s="16" t="s">
        <v>44</v>
      </c>
      <c r="P3" s="8" t="s">
        <v>22</v>
      </c>
      <c r="Q3" s="16" t="s">
        <v>44</v>
      </c>
      <c r="R3" s="16" t="s">
        <v>44</v>
      </c>
      <c r="S3" s="11"/>
      <c r="AB3" s="6"/>
    </row>
    <row r="4" spans="1:28" x14ac:dyDescent="0.25">
      <c r="A4" s="11"/>
      <c r="B4" s="8" t="s">
        <v>23</v>
      </c>
      <c r="C4" s="8" t="s">
        <v>23</v>
      </c>
      <c r="D4" s="8" t="s">
        <v>17</v>
      </c>
      <c r="E4" s="8" t="s">
        <v>21</v>
      </c>
      <c r="F4" s="8" t="s">
        <v>21</v>
      </c>
      <c r="G4" s="16" t="s">
        <v>25</v>
      </c>
      <c r="H4" s="8" t="s">
        <v>9</v>
      </c>
      <c r="I4" s="8" t="s">
        <v>71</v>
      </c>
      <c r="J4" s="8" t="s">
        <v>22</v>
      </c>
      <c r="K4" s="8" t="s">
        <v>72</v>
      </c>
      <c r="L4" s="8" t="s">
        <v>71</v>
      </c>
      <c r="M4" s="8" t="s">
        <v>23</v>
      </c>
      <c r="N4" s="8" t="s">
        <v>6</v>
      </c>
      <c r="O4" s="11" t="s">
        <v>21</v>
      </c>
      <c r="P4" s="8" t="s">
        <v>23</v>
      </c>
      <c r="Q4" s="11" t="s">
        <v>21</v>
      </c>
      <c r="R4" s="11" t="s">
        <v>21</v>
      </c>
      <c r="S4" s="8"/>
      <c r="AB4" s="6"/>
    </row>
    <row r="5" spans="1:28" x14ac:dyDescent="0.25">
      <c r="A5" s="11"/>
      <c r="B5" s="8" t="s">
        <v>19</v>
      </c>
      <c r="C5" s="8" t="s">
        <v>19</v>
      </c>
      <c r="D5" s="8" t="s">
        <v>10</v>
      </c>
      <c r="E5" s="8" t="s">
        <v>45</v>
      </c>
      <c r="F5" s="8" t="s">
        <v>45</v>
      </c>
      <c r="G5" s="16" t="s">
        <v>16</v>
      </c>
      <c r="H5" s="16" t="s">
        <v>16</v>
      </c>
      <c r="I5" s="8" t="s">
        <v>72</v>
      </c>
      <c r="J5" s="8" t="s">
        <v>23</v>
      </c>
      <c r="K5" s="5" t="s">
        <v>25</v>
      </c>
      <c r="L5" s="8" t="s">
        <v>72</v>
      </c>
      <c r="M5" s="8" t="s">
        <v>15</v>
      </c>
      <c r="N5" s="5" t="s">
        <v>16</v>
      </c>
      <c r="O5" s="5" t="s">
        <v>25</v>
      </c>
      <c r="P5" s="8" t="s">
        <v>19</v>
      </c>
      <c r="Q5" s="8" t="s">
        <v>45</v>
      </c>
      <c r="R5" s="8" t="s">
        <v>45</v>
      </c>
      <c r="S5" s="8"/>
      <c r="AB5" s="6"/>
    </row>
    <row r="6" spans="1:28" x14ac:dyDescent="0.25">
      <c r="A6" s="11"/>
      <c r="B6" s="8" t="s">
        <v>15</v>
      </c>
      <c r="C6" s="8" t="s">
        <v>15</v>
      </c>
      <c r="D6" s="8" t="s">
        <v>23</v>
      </c>
      <c r="E6" s="8" t="s">
        <v>72</v>
      </c>
      <c r="F6" s="8" t="s">
        <v>72</v>
      </c>
      <c r="G6" s="11"/>
      <c r="H6" s="11"/>
      <c r="I6" s="11" t="s">
        <v>21</v>
      </c>
      <c r="J6" s="8" t="s">
        <v>19</v>
      </c>
      <c r="K6" s="8" t="s">
        <v>24</v>
      </c>
      <c r="L6" s="5" t="s">
        <v>25</v>
      </c>
      <c r="M6" s="8" t="s">
        <v>13</v>
      </c>
      <c r="N6" s="11"/>
      <c r="O6" s="16" t="s">
        <v>24</v>
      </c>
      <c r="P6" s="8" t="s">
        <v>15</v>
      </c>
      <c r="Q6" s="8" t="s">
        <v>72</v>
      </c>
      <c r="R6" s="8" t="s">
        <v>72</v>
      </c>
      <c r="S6" s="8"/>
      <c r="AB6" s="6"/>
    </row>
    <row r="7" spans="1:28" x14ac:dyDescent="0.25">
      <c r="A7" s="11"/>
      <c r="B7" s="8" t="s">
        <v>13</v>
      </c>
      <c r="C7" s="8" t="s">
        <v>13</v>
      </c>
      <c r="D7" s="8" t="s">
        <v>19</v>
      </c>
      <c r="E7" s="5" t="s">
        <v>25</v>
      </c>
      <c r="F7" s="5" t="s">
        <v>25</v>
      </c>
      <c r="G7" s="11"/>
      <c r="H7" s="11"/>
      <c r="I7" s="5" t="s">
        <v>25</v>
      </c>
      <c r="J7" s="8" t="s">
        <v>15</v>
      </c>
      <c r="K7" s="5" t="s">
        <v>16</v>
      </c>
      <c r="L7" s="8" t="s">
        <v>24</v>
      </c>
      <c r="M7" s="8" t="s">
        <v>6</v>
      </c>
      <c r="N7" s="11"/>
      <c r="O7" s="5" t="s">
        <v>16</v>
      </c>
      <c r="P7" s="8" t="s">
        <v>13</v>
      </c>
      <c r="Q7" s="5" t="s">
        <v>25</v>
      </c>
      <c r="R7" s="5" t="s">
        <v>25</v>
      </c>
      <c r="S7" s="8"/>
      <c r="AB7" s="6"/>
    </row>
    <row r="8" spans="1:28" x14ac:dyDescent="0.25">
      <c r="A8" s="11"/>
      <c r="B8" s="8" t="s">
        <v>6</v>
      </c>
      <c r="C8" s="8" t="s">
        <v>6</v>
      </c>
      <c r="D8" s="8" t="s">
        <v>15</v>
      </c>
      <c r="E8" s="8" t="s">
        <v>24</v>
      </c>
      <c r="F8" s="8" t="s">
        <v>24</v>
      </c>
      <c r="G8" s="11"/>
      <c r="H8" s="11"/>
      <c r="I8" s="16" t="s">
        <v>24</v>
      </c>
      <c r="J8" s="8" t="s">
        <v>13</v>
      </c>
      <c r="K8" s="11"/>
      <c r="L8" s="5" t="s">
        <v>16</v>
      </c>
      <c r="M8" s="8" t="s">
        <v>9</v>
      </c>
      <c r="N8" s="11"/>
      <c r="O8" s="11"/>
      <c r="P8" s="8" t="s">
        <v>6</v>
      </c>
      <c r="Q8" s="16" t="s">
        <v>24</v>
      </c>
      <c r="R8" s="16" t="s">
        <v>24</v>
      </c>
      <c r="S8" s="8"/>
      <c r="AB8" s="6"/>
    </row>
    <row r="9" spans="1:28" x14ac:dyDescent="0.25">
      <c r="A9" s="11"/>
      <c r="B9" s="8" t="s">
        <v>9</v>
      </c>
      <c r="C9" s="8" t="s">
        <v>9</v>
      </c>
      <c r="D9" s="8" t="s">
        <v>13</v>
      </c>
      <c r="E9" s="5" t="s">
        <v>16</v>
      </c>
      <c r="F9" s="5" t="s">
        <v>16</v>
      </c>
      <c r="G9" s="11"/>
      <c r="H9" s="11"/>
      <c r="I9" s="5" t="s">
        <v>16</v>
      </c>
      <c r="J9" s="8" t="s">
        <v>6</v>
      </c>
      <c r="K9" s="11"/>
      <c r="L9" s="11"/>
      <c r="M9" s="8" t="s">
        <v>7</v>
      </c>
      <c r="N9" s="11"/>
      <c r="O9" s="11"/>
      <c r="P9" s="8" t="s">
        <v>9</v>
      </c>
      <c r="Q9" s="5" t="s">
        <v>16</v>
      </c>
      <c r="R9" s="5" t="s">
        <v>16</v>
      </c>
      <c r="S9" s="8"/>
      <c r="AB9" s="6"/>
    </row>
    <row r="10" spans="1:28" x14ac:dyDescent="0.25">
      <c r="A10" s="11"/>
      <c r="B10" s="8" t="s">
        <v>7</v>
      </c>
      <c r="C10" s="8" t="s">
        <v>7</v>
      </c>
      <c r="D10" s="8" t="s">
        <v>6</v>
      </c>
      <c r="E10" s="11"/>
      <c r="F10" s="11"/>
      <c r="G10" s="11"/>
      <c r="H10" s="11"/>
      <c r="I10" s="11"/>
      <c r="J10" s="8" t="s">
        <v>9</v>
      </c>
      <c r="K10" s="11"/>
      <c r="L10" s="11"/>
      <c r="M10" s="8" t="s">
        <v>72</v>
      </c>
      <c r="N10" s="11"/>
      <c r="O10" s="11"/>
      <c r="P10" s="8" t="s">
        <v>7</v>
      </c>
      <c r="Q10" s="11"/>
      <c r="R10" s="6"/>
      <c r="S10" s="8"/>
      <c r="AB10" s="6"/>
    </row>
    <row r="11" spans="1:28" x14ac:dyDescent="0.25">
      <c r="A11" s="11"/>
      <c r="B11" s="5" t="s">
        <v>12</v>
      </c>
      <c r="C11" s="5" t="s">
        <v>12</v>
      </c>
      <c r="D11" s="8" t="s">
        <v>9</v>
      </c>
      <c r="E11" s="11"/>
      <c r="F11" s="11"/>
      <c r="G11" s="11"/>
      <c r="H11" s="11"/>
      <c r="I11" s="11"/>
      <c r="J11" s="8" t="s">
        <v>7</v>
      </c>
      <c r="K11" s="11"/>
      <c r="L11" s="11"/>
      <c r="M11" s="11" t="s">
        <v>21</v>
      </c>
      <c r="N11" s="11"/>
      <c r="O11" s="11"/>
      <c r="P11" s="16" t="s">
        <v>44</v>
      </c>
      <c r="Q11" s="11"/>
      <c r="R11" s="11"/>
      <c r="S11" s="8"/>
      <c r="AB11" s="6"/>
    </row>
    <row r="12" spans="1:28" x14ac:dyDescent="0.25">
      <c r="A12" s="11"/>
      <c r="B12" s="5" t="s">
        <v>21</v>
      </c>
      <c r="C12" s="5" t="s">
        <v>16</v>
      </c>
      <c r="D12" s="8" t="s">
        <v>7</v>
      </c>
      <c r="E12" s="11"/>
      <c r="F12" s="11"/>
      <c r="G12" s="11"/>
      <c r="H12" s="11"/>
      <c r="I12" s="11"/>
      <c r="J12" s="5" t="s">
        <v>12</v>
      </c>
      <c r="K12" s="11"/>
      <c r="L12" s="11"/>
      <c r="M12" s="5" t="s">
        <v>25</v>
      </c>
      <c r="N12" s="11"/>
      <c r="O12" s="11"/>
      <c r="P12" s="11" t="s">
        <v>21</v>
      </c>
      <c r="Q12" s="11"/>
      <c r="R12" s="11"/>
      <c r="S12" s="8"/>
      <c r="AB12" s="6"/>
    </row>
    <row r="13" spans="1:28" x14ac:dyDescent="0.25">
      <c r="A13" s="11"/>
      <c r="B13" s="5" t="s">
        <v>25</v>
      </c>
      <c r="C13" s="8"/>
      <c r="D13" s="5" t="s">
        <v>12</v>
      </c>
      <c r="E13" s="11"/>
      <c r="F13" s="11"/>
      <c r="G13" s="11"/>
      <c r="H13" s="11"/>
      <c r="I13" s="11"/>
      <c r="J13" s="5" t="s">
        <v>21</v>
      </c>
      <c r="K13" s="11"/>
      <c r="L13" s="11"/>
      <c r="M13" s="16" t="s">
        <v>24</v>
      </c>
      <c r="N13" s="11"/>
      <c r="O13" s="11"/>
      <c r="P13" s="5" t="s">
        <v>25</v>
      </c>
      <c r="Q13" s="11"/>
      <c r="R13" s="11"/>
      <c r="S13" s="8"/>
      <c r="AB13" s="5"/>
    </row>
    <row r="14" spans="1:28" x14ac:dyDescent="0.25">
      <c r="A14" s="11"/>
      <c r="B14" s="5" t="s">
        <v>16</v>
      </c>
      <c r="C14" s="5"/>
      <c r="D14" s="5" t="s">
        <v>21</v>
      </c>
      <c r="E14" s="11"/>
      <c r="F14" s="11"/>
      <c r="G14" s="11"/>
      <c r="H14" s="11"/>
      <c r="I14" s="11"/>
      <c r="J14" s="16" t="s">
        <v>25</v>
      </c>
      <c r="K14" s="11"/>
      <c r="L14" s="11"/>
      <c r="M14" s="5" t="s">
        <v>16</v>
      </c>
      <c r="N14" s="11"/>
      <c r="O14" s="11"/>
      <c r="P14" s="16" t="s">
        <v>24</v>
      </c>
      <c r="Q14" s="11"/>
      <c r="R14" s="11"/>
      <c r="S14" s="8"/>
      <c r="AB14" s="5"/>
    </row>
    <row r="15" spans="1:28" x14ac:dyDescent="0.25">
      <c r="A15" s="11"/>
      <c r="B15" s="11"/>
      <c r="C15" s="11"/>
      <c r="D15" s="5" t="s">
        <v>25</v>
      </c>
      <c r="E15" s="11"/>
      <c r="F15" s="11"/>
      <c r="G15" s="11"/>
      <c r="H15" s="11"/>
      <c r="I15" s="11"/>
      <c r="J15" s="5" t="s">
        <v>16</v>
      </c>
      <c r="K15" s="11"/>
      <c r="L15" s="11"/>
      <c r="M15" s="11"/>
      <c r="N15" s="11"/>
      <c r="O15" s="11"/>
      <c r="P15" s="5" t="s">
        <v>16</v>
      </c>
      <c r="Q15" s="11"/>
      <c r="R15" s="11"/>
      <c r="S15" s="8"/>
      <c r="AB15" s="5"/>
    </row>
    <row r="16" spans="1:28" x14ac:dyDescent="0.25">
      <c r="A16" s="11"/>
      <c r="B16" s="11"/>
      <c r="C16" s="11"/>
      <c r="D16" s="5" t="s">
        <v>16</v>
      </c>
      <c r="E16" s="11"/>
      <c r="F16" s="11"/>
      <c r="G16" s="11"/>
      <c r="H16" s="11"/>
      <c r="I16" s="11"/>
      <c r="J16" s="11"/>
      <c r="K16" s="11"/>
      <c r="L16" s="11"/>
      <c r="M16" s="11"/>
      <c r="N16" s="11"/>
      <c r="O16" s="11"/>
      <c r="P16" s="11"/>
      <c r="Q16" s="11"/>
      <c r="R16" s="11"/>
      <c r="S16" s="8"/>
      <c r="AB16" s="5"/>
    </row>
    <row r="17" spans="1:26" x14ac:dyDescent="0.25">
      <c r="A17" s="11"/>
      <c r="B17" s="5"/>
      <c r="C17" s="11"/>
      <c r="D17" s="11"/>
      <c r="E17" s="11"/>
      <c r="F17" s="11"/>
      <c r="G17" s="11"/>
      <c r="H17" s="11"/>
      <c r="I17" s="11"/>
      <c r="J17" s="11"/>
      <c r="K17" s="11"/>
      <c r="L17" s="11"/>
      <c r="M17" s="11"/>
      <c r="N17" s="11"/>
      <c r="O17" s="11"/>
      <c r="P17" s="11"/>
      <c r="Q17" s="11"/>
      <c r="R17" s="11"/>
      <c r="S17" s="8"/>
    </row>
    <row r="18" spans="1:26" x14ac:dyDescent="0.25">
      <c r="B18" s="5"/>
    </row>
    <row r="19" spans="1:26" x14ac:dyDescent="0.25">
      <c r="S19" s="6"/>
    </row>
    <row r="22" spans="1:26" x14ac:dyDescent="0.25">
      <c r="H22" s="14"/>
    </row>
    <row r="23" spans="1:26" x14ac:dyDescent="0.25">
      <c r="H23" s="14"/>
      <c r="Z23" s="8"/>
    </row>
    <row r="24" spans="1:26" x14ac:dyDescent="0.25">
      <c r="H24" s="14"/>
      <c r="Z24" s="7"/>
    </row>
    <row r="25" spans="1:26" x14ac:dyDescent="0.25">
      <c r="H25" s="14"/>
      <c r="Z25" s="6"/>
    </row>
    <row r="26" spans="1:26" x14ac:dyDescent="0.25">
      <c r="H26" s="14"/>
    </row>
    <row r="27" spans="1:26" x14ac:dyDescent="0.25">
      <c r="H27" s="14"/>
    </row>
    <row r="28" spans="1:26" x14ac:dyDescent="0.25">
      <c r="H28" s="14"/>
    </row>
    <row r="29" spans="1:26" x14ac:dyDescent="0.25">
      <c r="H29" s="14"/>
    </row>
    <row r="30" spans="1:26" x14ac:dyDescent="0.25">
      <c r="G30" s="14"/>
      <c r="H30" s="14"/>
    </row>
    <row r="31" spans="1:26" x14ac:dyDescent="0.25">
      <c r="G31" s="14"/>
      <c r="H31" s="14"/>
    </row>
    <row r="32" spans="1:26" x14ac:dyDescent="0.25">
      <c r="G32" s="14"/>
      <c r="H32" s="14"/>
    </row>
    <row r="33" spans="7:9" x14ac:dyDescent="0.25">
      <c r="G33" s="14"/>
      <c r="H33" s="14"/>
    </row>
    <row r="34" spans="7:9" x14ac:dyDescent="0.25">
      <c r="G34" s="14"/>
      <c r="H34" s="14"/>
    </row>
    <row r="35" spans="7:9" x14ac:dyDescent="0.25">
      <c r="G35" s="14"/>
      <c r="H35" s="14"/>
    </row>
    <row r="36" spans="7:9" x14ac:dyDescent="0.25">
      <c r="G36" s="14"/>
      <c r="H36" s="14"/>
    </row>
    <row r="37" spans="7:9" x14ac:dyDescent="0.25">
      <c r="G37" s="14"/>
      <c r="H37" s="14"/>
    </row>
    <row r="38" spans="7:9" x14ac:dyDescent="0.25">
      <c r="G38" s="14"/>
      <c r="H38" s="14"/>
    </row>
    <row r="39" spans="7:9" x14ac:dyDescent="0.25">
      <c r="G39" s="14"/>
      <c r="H39" s="14"/>
    </row>
    <row r="40" spans="7:9" x14ac:dyDescent="0.25">
      <c r="G40" s="14"/>
      <c r="H40" s="14"/>
    </row>
    <row r="41" spans="7:9" x14ac:dyDescent="0.25">
      <c r="G41" s="14"/>
      <c r="H41" s="14"/>
    </row>
    <row r="42" spans="7:9" x14ac:dyDescent="0.25">
      <c r="G42" s="14"/>
      <c r="H42" s="14"/>
    </row>
    <row r="43" spans="7:9" x14ac:dyDescent="0.25">
      <c r="G43" s="14"/>
      <c r="H43" s="14"/>
    </row>
    <row r="44" spans="7:9" x14ac:dyDescent="0.25">
      <c r="G44" s="14"/>
      <c r="H44" s="14"/>
    </row>
    <row r="45" spans="7:9" ht="15.6" x14ac:dyDescent="0.3">
      <c r="G45" s="14"/>
      <c r="H45" s="14"/>
      <c r="I45"/>
    </row>
    <row r="46" spans="7:9" x14ac:dyDescent="0.25">
      <c r="G46" s="14"/>
      <c r="H46" s="14"/>
    </row>
    <row r="47" spans="7:9" x14ac:dyDescent="0.25">
      <c r="G47" s="14"/>
      <c r="H47" s="14"/>
    </row>
    <row r="48" spans="7:9" x14ac:dyDescent="0.25">
      <c r="G48" s="14"/>
      <c r="H48" s="14"/>
    </row>
  </sheetData>
  <sortState ref="H20:I37">
    <sortCondition descending="1" ref="H20:H3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29"/>
  <sheetViews>
    <sheetView workbookViewId="0">
      <selection activeCell="B1" sqref="B1"/>
    </sheetView>
  </sheetViews>
  <sheetFormatPr defaultColWidth="9.109375" defaultRowHeight="15.6" x14ac:dyDescent="0.3"/>
  <cols>
    <col min="1" max="1" width="3.5546875" style="2" customWidth="1"/>
    <col min="2" max="10" width="18.109375" bestFit="1" customWidth="1"/>
    <col min="11" max="11" width="21.33203125" customWidth="1"/>
    <col min="12" max="18" width="18.109375" bestFit="1" customWidth="1"/>
  </cols>
  <sheetData>
    <row r="1" spans="1:18" s="9" customFormat="1" ht="16.5" customHeight="1" x14ac:dyDescent="0.25">
      <c r="A1" s="15"/>
      <c r="B1" s="4" t="s">
        <v>127</v>
      </c>
      <c r="C1" s="15"/>
      <c r="D1" s="15"/>
      <c r="E1" s="15"/>
      <c r="F1" s="15"/>
      <c r="G1" s="15"/>
      <c r="H1" s="15"/>
      <c r="I1" s="15"/>
      <c r="J1" s="15"/>
      <c r="K1" s="15"/>
      <c r="L1" s="15"/>
      <c r="M1" s="15"/>
      <c r="N1" s="15"/>
      <c r="O1" s="15"/>
      <c r="P1" s="15"/>
      <c r="Q1" s="15"/>
      <c r="R1" s="15"/>
    </row>
    <row r="2" spans="1:18" s="2" customFormat="1" ht="31.2" x14ac:dyDescent="0.3">
      <c r="A2" s="11"/>
      <c r="B2" s="30" t="s">
        <v>84</v>
      </c>
      <c r="C2" s="30" t="s">
        <v>85</v>
      </c>
      <c r="D2" s="30" t="s">
        <v>86</v>
      </c>
      <c r="E2" s="30" t="s">
        <v>87</v>
      </c>
      <c r="F2" s="30" t="s">
        <v>88</v>
      </c>
      <c r="G2" s="30" t="s">
        <v>89</v>
      </c>
      <c r="H2" s="30" t="s">
        <v>90</v>
      </c>
      <c r="I2" s="30" t="s">
        <v>91</v>
      </c>
      <c r="J2" s="30" t="s">
        <v>92</v>
      </c>
      <c r="K2" s="30" t="s">
        <v>93</v>
      </c>
      <c r="L2" s="30" t="s">
        <v>94</v>
      </c>
      <c r="M2" s="30" t="s">
        <v>95</v>
      </c>
      <c r="N2" s="30" t="s">
        <v>96</v>
      </c>
      <c r="O2" s="30" t="s">
        <v>97</v>
      </c>
      <c r="P2" s="30" t="s">
        <v>98</v>
      </c>
      <c r="Q2" s="30" t="s">
        <v>99</v>
      </c>
      <c r="R2" s="30" t="s">
        <v>100</v>
      </c>
    </row>
    <row r="3" spans="1:18" s="2" customFormat="1" ht="15" x14ac:dyDescent="0.25">
      <c r="A3" s="11"/>
      <c r="B3" s="8" t="s">
        <v>20</v>
      </c>
      <c r="C3" s="8" t="s">
        <v>20</v>
      </c>
      <c r="D3" s="8" t="s">
        <v>20</v>
      </c>
      <c r="E3" s="11" t="s">
        <v>22</v>
      </c>
      <c r="F3" s="11" t="s">
        <v>22</v>
      </c>
      <c r="G3" s="11" t="s">
        <v>22</v>
      </c>
      <c r="H3" s="11" t="s">
        <v>22</v>
      </c>
      <c r="I3" s="11" t="s">
        <v>22</v>
      </c>
      <c r="J3" s="8" t="s">
        <v>20</v>
      </c>
      <c r="K3" s="11" t="s">
        <v>22</v>
      </c>
      <c r="L3" s="11" t="s">
        <v>22</v>
      </c>
      <c r="M3" s="8" t="s">
        <v>20</v>
      </c>
      <c r="N3" s="11" t="s">
        <v>22</v>
      </c>
      <c r="O3" s="11" t="s">
        <v>22</v>
      </c>
      <c r="P3" s="8" t="s">
        <v>20</v>
      </c>
      <c r="Q3" s="11" t="s">
        <v>22</v>
      </c>
      <c r="R3" s="11" t="s">
        <v>22</v>
      </c>
    </row>
    <row r="4" spans="1:18" s="2" customFormat="1" ht="15" x14ac:dyDescent="0.25">
      <c r="A4" s="11"/>
      <c r="B4" s="8" t="s">
        <v>18</v>
      </c>
      <c r="C4" s="8" t="s">
        <v>18</v>
      </c>
      <c r="D4" s="8" t="s">
        <v>18</v>
      </c>
      <c r="E4" s="8" t="s">
        <v>23</v>
      </c>
      <c r="F4" s="8" t="s">
        <v>23</v>
      </c>
      <c r="G4" s="8" t="s">
        <v>23</v>
      </c>
      <c r="H4" s="8" t="s">
        <v>20</v>
      </c>
      <c r="I4" s="8" t="s">
        <v>23</v>
      </c>
      <c r="J4" s="8" t="s">
        <v>18</v>
      </c>
      <c r="K4" s="8" t="s">
        <v>23</v>
      </c>
      <c r="L4" s="8" t="s">
        <v>23</v>
      </c>
      <c r="M4" s="8" t="s">
        <v>19</v>
      </c>
      <c r="N4" s="8" t="s">
        <v>20</v>
      </c>
      <c r="O4" s="8" t="s">
        <v>23</v>
      </c>
      <c r="P4" s="8" t="s">
        <v>18</v>
      </c>
      <c r="Q4" s="8" t="s">
        <v>23</v>
      </c>
      <c r="R4" s="8" t="s">
        <v>23</v>
      </c>
    </row>
    <row r="5" spans="1:18" s="2" customFormat="1" ht="15" x14ac:dyDescent="0.25">
      <c r="A5" s="11"/>
      <c r="B5" s="8" t="s">
        <v>14</v>
      </c>
      <c r="C5" s="8" t="s">
        <v>14</v>
      </c>
      <c r="D5" s="8" t="s">
        <v>14</v>
      </c>
      <c r="E5" s="8" t="s">
        <v>20</v>
      </c>
      <c r="F5" s="8" t="s">
        <v>20</v>
      </c>
      <c r="G5" s="8" t="s">
        <v>20</v>
      </c>
      <c r="H5" s="8" t="s">
        <v>19</v>
      </c>
      <c r="I5" s="8" t="s">
        <v>20</v>
      </c>
      <c r="J5" s="8" t="s">
        <v>14</v>
      </c>
      <c r="K5" s="8" t="s">
        <v>20</v>
      </c>
      <c r="L5" s="8" t="s">
        <v>20</v>
      </c>
      <c r="M5" s="8" t="s">
        <v>18</v>
      </c>
      <c r="N5" s="8" t="s">
        <v>19</v>
      </c>
      <c r="O5" s="8" t="s">
        <v>20</v>
      </c>
      <c r="P5" s="8" t="s">
        <v>14</v>
      </c>
      <c r="Q5" s="8" t="s">
        <v>20</v>
      </c>
      <c r="R5" s="8" t="s">
        <v>20</v>
      </c>
    </row>
    <row r="6" spans="1:18" s="2" customFormat="1" ht="15" x14ac:dyDescent="0.25">
      <c r="A6" s="11"/>
      <c r="B6" s="8" t="s">
        <v>71</v>
      </c>
      <c r="C6" s="8" t="s">
        <v>71</v>
      </c>
      <c r="D6" s="8" t="s">
        <v>71</v>
      </c>
      <c r="E6" s="8" t="s">
        <v>19</v>
      </c>
      <c r="F6" s="8" t="s">
        <v>19</v>
      </c>
      <c r="G6" s="8" t="s">
        <v>19</v>
      </c>
      <c r="H6" s="8" t="s">
        <v>18</v>
      </c>
      <c r="I6" s="8" t="s">
        <v>19</v>
      </c>
      <c r="J6" s="8" t="s">
        <v>11</v>
      </c>
      <c r="K6" s="8" t="s">
        <v>19</v>
      </c>
      <c r="L6" s="8" t="s">
        <v>19</v>
      </c>
      <c r="M6" s="8" t="s">
        <v>14</v>
      </c>
      <c r="N6" s="8" t="s">
        <v>18</v>
      </c>
      <c r="O6" s="8" t="s">
        <v>19</v>
      </c>
      <c r="P6" s="8" t="s">
        <v>71</v>
      </c>
      <c r="Q6" s="8" t="s">
        <v>19</v>
      </c>
      <c r="R6" s="8" t="s">
        <v>19</v>
      </c>
    </row>
    <row r="7" spans="1:18" s="2" customFormat="1" ht="15" x14ac:dyDescent="0.25">
      <c r="A7" s="11"/>
      <c r="B7" s="8" t="s">
        <v>11</v>
      </c>
      <c r="C7" s="8" t="s">
        <v>11</v>
      </c>
      <c r="D7" s="8" t="s">
        <v>11</v>
      </c>
      <c r="E7" s="8" t="s">
        <v>18</v>
      </c>
      <c r="F7" s="8" t="s">
        <v>18</v>
      </c>
      <c r="G7" s="8" t="s">
        <v>18</v>
      </c>
      <c r="H7" s="8" t="s">
        <v>15</v>
      </c>
      <c r="I7" s="8" t="s">
        <v>18</v>
      </c>
      <c r="J7" s="8" t="s">
        <v>65</v>
      </c>
      <c r="K7" s="8" t="s">
        <v>18</v>
      </c>
      <c r="L7" s="8" t="s">
        <v>18</v>
      </c>
      <c r="M7" s="8" t="s">
        <v>71</v>
      </c>
      <c r="N7" s="8" t="s">
        <v>15</v>
      </c>
      <c r="O7" s="8" t="s">
        <v>18</v>
      </c>
      <c r="P7" s="8" t="s">
        <v>12</v>
      </c>
      <c r="Q7" s="8" t="s">
        <v>18</v>
      </c>
      <c r="R7" s="8" t="s">
        <v>18</v>
      </c>
    </row>
    <row r="8" spans="1:18" s="2" customFormat="1" ht="15" x14ac:dyDescent="0.25">
      <c r="A8" s="11"/>
      <c r="B8" s="8" t="s">
        <v>65</v>
      </c>
      <c r="C8" s="8" t="s">
        <v>65</v>
      </c>
      <c r="D8" s="8" t="s">
        <v>65</v>
      </c>
      <c r="E8" s="8" t="s">
        <v>15</v>
      </c>
      <c r="F8" s="8" t="s">
        <v>15</v>
      </c>
      <c r="G8" s="8" t="s">
        <v>15</v>
      </c>
      <c r="H8" s="8" t="s">
        <v>14</v>
      </c>
      <c r="I8" s="8" t="s">
        <v>15</v>
      </c>
      <c r="J8" s="8" t="s">
        <v>71</v>
      </c>
      <c r="K8" s="8" t="s">
        <v>15</v>
      </c>
      <c r="L8" s="8" t="s">
        <v>15</v>
      </c>
      <c r="M8" s="8" t="s">
        <v>12</v>
      </c>
      <c r="N8" s="8" t="s">
        <v>14</v>
      </c>
      <c r="O8" s="8" t="s">
        <v>15</v>
      </c>
      <c r="P8" s="8" t="s">
        <v>11</v>
      </c>
      <c r="Q8" s="8" t="s">
        <v>15</v>
      </c>
      <c r="R8" s="8" t="s">
        <v>15</v>
      </c>
    </row>
    <row r="9" spans="1:18" s="2" customFormat="1" ht="15" x14ac:dyDescent="0.25">
      <c r="A9" s="11"/>
      <c r="B9" s="8" t="s">
        <v>22</v>
      </c>
      <c r="C9" s="8" t="s">
        <v>22</v>
      </c>
      <c r="D9" s="8" t="s">
        <v>22</v>
      </c>
      <c r="E9" s="8" t="s">
        <v>14</v>
      </c>
      <c r="F9" s="8" t="s">
        <v>14</v>
      </c>
      <c r="G9" s="8" t="s">
        <v>14</v>
      </c>
      <c r="H9" s="8" t="s">
        <v>13</v>
      </c>
      <c r="I9" s="8" t="s">
        <v>14</v>
      </c>
      <c r="J9" s="8" t="s">
        <v>22</v>
      </c>
      <c r="K9" s="8" t="s">
        <v>14</v>
      </c>
      <c r="L9" s="8" t="s">
        <v>14</v>
      </c>
      <c r="M9" s="8" t="s">
        <v>11</v>
      </c>
      <c r="N9" s="8" t="s">
        <v>13</v>
      </c>
      <c r="O9" s="8" t="s">
        <v>14</v>
      </c>
      <c r="P9" s="8" t="s">
        <v>65</v>
      </c>
      <c r="Q9" s="8" t="s">
        <v>14</v>
      </c>
      <c r="R9" s="8" t="s">
        <v>14</v>
      </c>
    </row>
    <row r="10" spans="1:18" s="2" customFormat="1" ht="15" x14ac:dyDescent="0.25">
      <c r="A10" s="11"/>
      <c r="B10" s="8" t="s">
        <v>23</v>
      </c>
      <c r="C10" s="8" t="s">
        <v>23</v>
      </c>
      <c r="D10" s="8" t="s">
        <v>17</v>
      </c>
      <c r="E10" s="8" t="s">
        <v>13</v>
      </c>
      <c r="F10" s="8" t="s">
        <v>13</v>
      </c>
      <c r="G10" s="8" t="s">
        <v>13</v>
      </c>
      <c r="H10" s="8" t="s">
        <v>71</v>
      </c>
      <c r="I10" s="8" t="s">
        <v>13</v>
      </c>
      <c r="J10" s="8" t="s">
        <v>23</v>
      </c>
      <c r="K10" s="8" t="s">
        <v>13</v>
      </c>
      <c r="L10" s="8" t="s">
        <v>13</v>
      </c>
      <c r="M10" s="8" t="s">
        <v>65</v>
      </c>
      <c r="N10" s="8" t="s">
        <v>71</v>
      </c>
      <c r="O10" s="8" t="s">
        <v>13</v>
      </c>
      <c r="P10" s="8" t="s">
        <v>22</v>
      </c>
      <c r="Q10" s="8" t="s">
        <v>13</v>
      </c>
      <c r="R10" s="8" t="s">
        <v>13</v>
      </c>
    </row>
    <row r="11" spans="1:18" s="2" customFormat="1" ht="15" x14ac:dyDescent="0.25">
      <c r="A11" s="11"/>
      <c r="B11" s="8" t="s">
        <v>19</v>
      </c>
      <c r="C11" s="8" t="s">
        <v>19</v>
      </c>
      <c r="D11" s="8" t="s">
        <v>10</v>
      </c>
      <c r="E11" s="8" t="s">
        <v>71</v>
      </c>
      <c r="F11" s="8" t="s">
        <v>71</v>
      </c>
      <c r="G11" s="8" t="s">
        <v>71</v>
      </c>
      <c r="H11" s="8" t="s">
        <v>12</v>
      </c>
      <c r="I11" s="8" t="s">
        <v>12</v>
      </c>
      <c r="J11" s="8" t="s">
        <v>19</v>
      </c>
      <c r="K11" s="8" t="s">
        <v>71</v>
      </c>
      <c r="L11" s="8" t="s">
        <v>12</v>
      </c>
      <c r="M11" s="8" t="s">
        <v>22</v>
      </c>
      <c r="N11" s="8" t="s">
        <v>12</v>
      </c>
      <c r="O11" s="8" t="s">
        <v>71</v>
      </c>
      <c r="P11" s="8" t="s">
        <v>23</v>
      </c>
      <c r="Q11" s="8" t="s">
        <v>71</v>
      </c>
      <c r="R11" s="8" t="s">
        <v>71</v>
      </c>
    </row>
    <row r="12" spans="1:18" s="2" customFormat="1" ht="15" x14ac:dyDescent="0.25">
      <c r="A12" s="11"/>
      <c r="B12" s="8" t="s">
        <v>15</v>
      </c>
      <c r="C12" s="8" t="s">
        <v>15</v>
      </c>
      <c r="D12" s="8" t="s">
        <v>23</v>
      </c>
      <c r="E12" s="8" t="s">
        <v>12</v>
      </c>
      <c r="F12" s="8" t="s">
        <v>12</v>
      </c>
      <c r="G12" s="8" t="s">
        <v>12</v>
      </c>
      <c r="H12" s="8" t="s">
        <v>11</v>
      </c>
      <c r="I12" s="8" t="s">
        <v>11</v>
      </c>
      <c r="J12" s="8" t="s">
        <v>15</v>
      </c>
      <c r="K12" s="8" t="s">
        <v>12</v>
      </c>
      <c r="L12" s="8" t="s">
        <v>11</v>
      </c>
      <c r="M12" s="8" t="s">
        <v>23</v>
      </c>
      <c r="N12" s="8" t="s">
        <v>11</v>
      </c>
      <c r="O12" s="8" t="s">
        <v>12</v>
      </c>
      <c r="P12" s="8" t="s">
        <v>19</v>
      </c>
      <c r="Q12" s="8" t="s">
        <v>12</v>
      </c>
      <c r="R12" s="8" t="s">
        <v>12</v>
      </c>
    </row>
    <row r="13" spans="1:18" s="2" customFormat="1" ht="15" x14ac:dyDescent="0.25">
      <c r="A13" s="11"/>
      <c r="B13" s="8" t="s">
        <v>13</v>
      </c>
      <c r="C13" s="8" t="s">
        <v>13</v>
      </c>
      <c r="D13" s="8" t="s">
        <v>19</v>
      </c>
      <c r="E13" s="8" t="s">
        <v>11</v>
      </c>
      <c r="F13" s="8" t="s">
        <v>11</v>
      </c>
      <c r="G13" s="8" t="s">
        <v>11</v>
      </c>
      <c r="H13" s="8" t="s">
        <v>6</v>
      </c>
      <c r="I13" s="8" t="s">
        <v>6</v>
      </c>
      <c r="J13" s="8" t="s">
        <v>13</v>
      </c>
      <c r="K13" s="8" t="s">
        <v>11</v>
      </c>
      <c r="L13" s="8" t="s">
        <v>6</v>
      </c>
      <c r="M13" s="8" t="s">
        <v>15</v>
      </c>
      <c r="N13" s="8" t="s">
        <v>9</v>
      </c>
      <c r="O13" s="8" t="s">
        <v>11</v>
      </c>
      <c r="P13" s="8" t="s">
        <v>15</v>
      </c>
      <c r="Q13" s="8" t="s">
        <v>11</v>
      </c>
      <c r="R13" s="8" t="s">
        <v>11</v>
      </c>
    </row>
    <row r="14" spans="1:18" s="2" customFormat="1" ht="15" x14ac:dyDescent="0.25">
      <c r="A14" s="11"/>
      <c r="B14" s="8" t="s">
        <v>6</v>
      </c>
      <c r="C14" s="8" t="s">
        <v>6</v>
      </c>
      <c r="D14" s="8" t="s">
        <v>15</v>
      </c>
      <c r="E14" s="8" t="s">
        <v>6</v>
      </c>
      <c r="F14" s="8" t="s">
        <v>6</v>
      </c>
      <c r="G14" s="8" t="s">
        <v>6</v>
      </c>
      <c r="H14" s="8" t="s">
        <v>7</v>
      </c>
      <c r="I14" s="8" t="s">
        <v>9</v>
      </c>
      <c r="J14" s="8" t="s">
        <v>6</v>
      </c>
      <c r="K14" s="8" t="s">
        <v>6</v>
      </c>
      <c r="L14" s="8" t="s">
        <v>9</v>
      </c>
      <c r="M14" s="8" t="s">
        <v>13</v>
      </c>
      <c r="N14" s="8" t="s">
        <v>7</v>
      </c>
      <c r="O14" s="8" t="s">
        <v>6</v>
      </c>
      <c r="P14" s="8" t="s">
        <v>13</v>
      </c>
      <c r="Q14" s="8" t="s">
        <v>6</v>
      </c>
      <c r="R14" s="8" t="s">
        <v>6</v>
      </c>
    </row>
    <row r="15" spans="1:18" s="2" customFormat="1" ht="15" x14ac:dyDescent="0.25">
      <c r="A15" s="11"/>
      <c r="B15" s="8" t="s">
        <v>9</v>
      </c>
      <c r="C15" s="8" t="s">
        <v>9</v>
      </c>
      <c r="D15" s="8" t="s">
        <v>13</v>
      </c>
      <c r="E15" s="8" t="s">
        <v>9</v>
      </c>
      <c r="F15" s="8" t="s">
        <v>9</v>
      </c>
      <c r="G15" s="8" t="s">
        <v>9</v>
      </c>
      <c r="H15" s="8" t="s">
        <v>65</v>
      </c>
      <c r="I15" s="8" t="s">
        <v>7</v>
      </c>
      <c r="J15" s="8" t="s">
        <v>9</v>
      </c>
      <c r="K15" s="8" t="s">
        <v>9</v>
      </c>
      <c r="L15" s="8" t="s">
        <v>7</v>
      </c>
      <c r="M15" s="8" t="s">
        <v>6</v>
      </c>
      <c r="N15" s="8" t="s">
        <v>65</v>
      </c>
      <c r="O15" s="8" t="s">
        <v>9</v>
      </c>
      <c r="P15" s="8" t="s">
        <v>6</v>
      </c>
      <c r="Q15" s="8" t="s">
        <v>9</v>
      </c>
      <c r="R15" s="8" t="s">
        <v>9</v>
      </c>
    </row>
    <row r="16" spans="1:18" s="2" customFormat="1" ht="15" x14ac:dyDescent="0.25">
      <c r="A16" s="11"/>
      <c r="B16" s="8" t="s">
        <v>7</v>
      </c>
      <c r="C16" s="8" t="s">
        <v>7</v>
      </c>
      <c r="D16" s="8" t="s">
        <v>6</v>
      </c>
      <c r="E16" s="8" t="s">
        <v>7</v>
      </c>
      <c r="F16" s="8" t="s">
        <v>7</v>
      </c>
      <c r="G16" s="8" t="s">
        <v>7</v>
      </c>
      <c r="H16" s="5" t="s">
        <v>23</v>
      </c>
      <c r="I16" s="8" t="s">
        <v>65</v>
      </c>
      <c r="J16" s="8" t="s">
        <v>7</v>
      </c>
      <c r="K16" s="8" t="s">
        <v>7</v>
      </c>
      <c r="L16" s="8" t="s">
        <v>65</v>
      </c>
      <c r="M16" s="8" t="s">
        <v>9</v>
      </c>
      <c r="N16" s="8" t="s">
        <v>23</v>
      </c>
      <c r="O16" s="8" t="s">
        <v>7</v>
      </c>
      <c r="P16" s="8" t="s">
        <v>9</v>
      </c>
      <c r="Q16" s="8" t="s">
        <v>7</v>
      </c>
      <c r="R16" s="8" t="s">
        <v>7</v>
      </c>
    </row>
    <row r="17" spans="1:18" s="2" customFormat="1" ht="15" x14ac:dyDescent="0.25">
      <c r="A17" s="11"/>
      <c r="B17" s="5" t="s">
        <v>12</v>
      </c>
      <c r="C17" s="5" t="s">
        <v>12</v>
      </c>
      <c r="D17" s="8" t="s">
        <v>9</v>
      </c>
      <c r="E17" s="8" t="s">
        <v>65</v>
      </c>
      <c r="F17" s="8" t="s">
        <v>65</v>
      </c>
      <c r="G17" s="8" t="s">
        <v>65</v>
      </c>
      <c r="H17" s="8" t="s">
        <v>9</v>
      </c>
      <c r="I17" s="8" t="s">
        <v>8</v>
      </c>
      <c r="J17" s="5" t="s">
        <v>12</v>
      </c>
      <c r="K17" s="8" t="s">
        <v>65</v>
      </c>
      <c r="L17" s="8" t="s">
        <v>8</v>
      </c>
      <c r="M17" s="8" t="s">
        <v>7</v>
      </c>
      <c r="N17" s="8" t="s">
        <v>6</v>
      </c>
      <c r="O17" s="8" t="s">
        <v>65</v>
      </c>
      <c r="P17" s="8" t="s">
        <v>7</v>
      </c>
      <c r="Q17" s="8" t="s">
        <v>65</v>
      </c>
      <c r="R17" s="8" t="s">
        <v>65</v>
      </c>
    </row>
    <row r="18" spans="1:18" s="2" customFormat="1" ht="15" x14ac:dyDescent="0.25">
      <c r="A18" s="11"/>
      <c r="B18" s="5" t="s">
        <v>21</v>
      </c>
      <c r="C18" s="5" t="s">
        <v>16</v>
      </c>
      <c r="D18" s="8" t="s">
        <v>7</v>
      </c>
      <c r="E18" s="16" t="s">
        <v>44</v>
      </c>
      <c r="F18" s="16" t="s">
        <v>44</v>
      </c>
      <c r="G18" s="5" t="s">
        <v>21</v>
      </c>
      <c r="H18" s="16" t="s">
        <v>16</v>
      </c>
      <c r="I18" s="8" t="s">
        <v>71</v>
      </c>
      <c r="J18" s="5" t="s">
        <v>21</v>
      </c>
      <c r="K18" s="8" t="s">
        <v>45</v>
      </c>
      <c r="L18" s="8" t="s">
        <v>71</v>
      </c>
      <c r="M18" s="8" t="s">
        <v>72</v>
      </c>
      <c r="N18" s="5" t="s">
        <v>16</v>
      </c>
      <c r="O18" s="16" t="s">
        <v>44</v>
      </c>
      <c r="P18" s="16" t="s">
        <v>44</v>
      </c>
      <c r="Q18" s="16" t="s">
        <v>44</v>
      </c>
      <c r="R18" s="16" t="s">
        <v>44</v>
      </c>
    </row>
    <row r="19" spans="1:18" s="2" customFormat="1" ht="15" x14ac:dyDescent="0.25">
      <c r="A19" s="11"/>
      <c r="B19" s="5" t="s">
        <v>25</v>
      </c>
      <c r="C19" s="8"/>
      <c r="D19" s="5" t="s">
        <v>12</v>
      </c>
      <c r="E19" s="8" t="s">
        <v>21</v>
      </c>
      <c r="F19" s="8" t="s">
        <v>21</v>
      </c>
      <c r="G19" s="16" t="s">
        <v>25</v>
      </c>
      <c r="H19" s="8"/>
      <c r="I19" s="8" t="s">
        <v>72</v>
      </c>
      <c r="J19" s="16" t="s">
        <v>25</v>
      </c>
      <c r="K19" s="8" t="s">
        <v>72</v>
      </c>
      <c r="L19" s="8" t="s">
        <v>72</v>
      </c>
      <c r="M19" s="11" t="s">
        <v>21</v>
      </c>
      <c r="N19" s="11"/>
      <c r="O19" s="11" t="s">
        <v>21</v>
      </c>
      <c r="P19" s="11" t="s">
        <v>21</v>
      </c>
      <c r="Q19" s="11" t="s">
        <v>21</v>
      </c>
      <c r="R19" s="11" t="s">
        <v>21</v>
      </c>
    </row>
    <row r="20" spans="1:18" s="2" customFormat="1" ht="15" x14ac:dyDescent="0.25">
      <c r="A20" s="11"/>
      <c r="B20" s="5" t="s">
        <v>16</v>
      </c>
      <c r="C20" s="8"/>
      <c r="D20" s="5" t="s">
        <v>21</v>
      </c>
      <c r="E20" s="8" t="s">
        <v>45</v>
      </c>
      <c r="F20" s="8" t="s">
        <v>45</v>
      </c>
      <c r="G20" s="16" t="s">
        <v>16</v>
      </c>
      <c r="H20" s="16"/>
      <c r="I20" s="11" t="s">
        <v>21</v>
      </c>
      <c r="J20" s="5" t="s">
        <v>16</v>
      </c>
      <c r="K20" s="5" t="s">
        <v>25</v>
      </c>
      <c r="L20" s="5" t="s">
        <v>25</v>
      </c>
      <c r="M20" s="5" t="s">
        <v>25</v>
      </c>
      <c r="N20" s="11"/>
      <c r="O20" s="5" t="s">
        <v>25</v>
      </c>
      <c r="P20" s="5" t="s">
        <v>25</v>
      </c>
      <c r="Q20" s="8" t="s">
        <v>45</v>
      </c>
      <c r="R20" s="8" t="s">
        <v>45</v>
      </c>
    </row>
    <row r="21" spans="1:18" s="2" customFormat="1" x14ac:dyDescent="0.3">
      <c r="A21" s="11"/>
      <c r="B21" s="17"/>
      <c r="C21" s="8"/>
      <c r="D21" s="5" t="s">
        <v>25</v>
      </c>
      <c r="E21" s="8" t="s">
        <v>72</v>
      </c>
      <c r="F21" s="8" t="s">
        <v>72</v>
      </c>
      <c r="G21" s="11"/>
      <c r="H21" s="11"/>
      <c r="I21" s="5" t="s">
        <v>25</v>
      </c>
      <c r="J21" s="11"/>
      <c r="K21" s="8" t="s">
        <v>24</v>
      </c>
      <c r="L21" s="8" t="s">
        <v>24</v>
      </c>
      <c r="M21" s="16" t="s">
        <v>24</v>
      </c>
      <c r="N21" s="11"/>
      <c r="O21" s="16" t="s">
        <v>24</v>
      </c>
      <c r="P21" s="16" t="s">
        <v>24</v>
      </c>
      <c r="Q21" s="8" t="s">
        <v>72</v>
      </c>
      <c r="R21" s="8" t="s">
        <v>72</v>
      </c>
    </row>
    <row r="22" spans="1:18" s="2" customFormat="1" x14ac:dyDescent="0.3">
      <c r="A22" s="11"/>
      <c r="B22" s="17"/>
      <c r="C22" s="8"/>
      <c r="D22" s="5" t="s">
        <v>16</v>
      </c>
      <c r="E22" s="5" t="s">
        <v>25</v>
      </c>
      <c r="F22" s="5" t="s">
        <v>25</v>
      </c>
      <c r="G22" s="11"/>
      <c r="H22" s="11"/>
      <c r="I22" s="16" t="s">
        <v>24</v>
      </c>
      <c r="J22" s="11"/>
      <c r="K22" s="5" t="s">
        <v>16</v>
      </c>
      <c r="L22" s="5" t="s">
        <v>16</v>
      </c>
      <c r="M22" s="5" t="s">
        <v>16</v>
      </c>
      <c r="N22" s="11"/>
      <c r="O22" s="5" t="s">
        <v>16</v>
      </c>
      <c r="P22" s="5" t="s">
        <v>16</v>
      </c>
      <c r="Q22" s="5" t="s">
        <v>25</v>
      </c>
      <c r="R22" s="5" t="s">
        <v>25</v>
      </c>
    </row>
    <row r="23" spans="1:18" s="2" customFormat="1" x14ac:dyDescent="0.3">
      <c r="A23" s="11"/>
      <c r="B23" s="17"/>
      <c r="C23" s="8"/>
      <c r="D23" s="11"/>
      <c r="E23" s="8" t="s">
        <v>24</v>
      </c>
      <c r="F23" s="8" t="s">
        <v>24</v>
      </c>
      <c r="G23" s="11"/>
      <c r="H23" s="11"/>
      <c r="I23" s="5" t="s">
        <v>16</v>
      </c>
      <c r="J23" s="11"/>
      <c r="K23" s="11"/>
      <c r="L23" s="11"/>
      <c r="M23" s="11"/>
      <c r="N23" s="11"/>
      <c r="O23" s="11"/>
      <c r="P23" s="11"/>
      <c r="Q23" s="16" t="s">
        <v>24</v>
      </c>
      <c r="R23" s="16" t="s">
        <v>24</v>
      </c>
    </row>
    <row r="24" spans="1:18" s="2" customFormat="1" x14ac:dyDescent="0.3">
      <c r="A24" s="11"/>
      <c r="B24" s="17"/>
      <c r="C24" s="8"/>
      <c r="D24" s="11"/>
      <c r="E24" s="5" t="s">
        <v>16</v>
      </c>
      <c r="F24" s="5" t="s">
        <v>16</v>
      </c>
      <c r="G24" s="11"/>
      <c r="H24" s="11"/>
      <c r="I24" s="11"/>
      <c r="J24" s="11"/>
      <c r="K24" s="11"/>
      <c r="L24" s="11"/>
      <c r="M24" s="11"/>
      <c r="N24" s="11"/>
      <c r="O24" s="11"/>
      <c r="P24" s="11"/>
      <c r="Q24" s="5" t="s">
        <v>16</v>
      </c>
      <c r="R24" s="5" t="s">
        <v>16</v>
      </c>
    </row>
    <row r="25" spans="1:18" s="2" customFormat="1" x14ac:dyDescent="0.3">
      <c r="B25"/>
      <c r="C25" s="6"/>
    </row>
    <row r="26" spans="1:18" s="2" customFormat="1" x14ac:dyDescent="0.3">
      <c r="B26"/>
      <c r="C26" s="5"/>
    </row>
    <row r="27" spans="1:18" s="2" customFormat="1" x14ac:dyDescent="0.3">
      <c r="B27"/>
      <c r="C27" s="5"/>
    </row>
    <row r="28" spans="1:18" s="2" customFormat="1" ht="15" x14ac:dyDescent="0.25"/>
    <row r="29" spans="1:18" s="2" customFormat="1" ht="15" x14ac:dyDescent="0.25"/>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000"/>
  <sheetViews>
    <sheetView workbookViewId="0">
      <selection activeCell="D1" sqref="D1"/>
    </sheetView>
  </sheetViews>
  <sheetFormatPr defaultRowHeight="14.4" x14ac:dyDescent="0.3"/>
  <cols>
    <col min="1" max="1" width="4" customWidth="1"/>
    <col min="2" max="2" width="14.6640625" bestFit="1" customWidth="1"/>
    <col min="3" max="3" width="14.6640625" customWidth="1"/>
    <col min="4" max="4" width="17.5546875" bestFit="1" customWidth="1"/>
    <col min="5" max="5" width="18.109375" bestFit="1" customWidth="1"/>
    <col min="6" max="6" width="14.44140625" bestFit="1" customWidth="1"/>
    <col min="7" max="7" width="13.5546875" bestFit="1" customWidth="1"/>
    <col min="8" max="8" width="18.109375" bestFit="1" customWidth="1"/>
    <col min="13" max="13" width="13.6640625" bestFit="1" customWidth="1"/>
  </cols>
  <sheetData>
    <row r="1" spans="1:13" ht="15.6" x14ac:dyDescent="0.3">
      <c r="A1" s="9" t="s">
        <v>104</v>
      </c>
      <c r="B1" s="4" t="s">
        <v>109</v>
      </c>
      <c r="C1" s="4" t="s">
        <v>110</v>
      </c>
      <c r="D1" s="4" t="s">
        <v>111</v>
      </c>
      <c r="E1" s="4" t="s">
        <v>113</v>
      </c>
      <c r="F1" s="4" t="s">
        <v>59</v>
      </c>
      <c r="G1" s="4" t="s">
        <v>62</v>
      </c>
      <c r="H1" s="4" t="s">
        <v>63</v>
      </c>
      <c r="I1" s="9"/>
      <c r="J1" s="9"/>
      <c r="K1" s="9"/>
      <c r="L1" s="9"/>
      <c r="M1" s="4"/>
    </row>
    <row r="2" spans="1:13" ht="15.6" x14ac:dyDescent="0.3">
      <c r="A2" s="2"/>
      <c r="B2" s="1" t="s">
        <v>57</v>
      </c>
      <c r="C2" s="1" t="s">
        <v>70</v>
      </c>
      <c r="D2" s="1" t="s">
        <v>58</v>
      </c>
      <c r="E2" s="1" t="s">
        <v>47</v>
      </c>
      <c r="F2" s="1" t="s">
        <v>60</v>
      </c>
      <c r="G2" s="1" t="s">
        <v>61</v>
      </c>
      <c r="H2" s="1" t="s">
        <v>2</v>
      </c>
      <c r="I2" s="2"/>
      <c r="J2" s="2"/>
      <c r="K2" s="2"/>
      <c r="L2" s="2"/>
      <c r="M2" s="2"/>
    </row>
    <row r="3" spans="1:13" ht="15.6" x14ac:dyDescent="0.3">
      <c r="A3" s="2"/>
      <c r="B3" s="5" t="str">
        <f>IF(COUNTIF(data_val!$E$3:$E$5, sample_log!$E3), sample_log!$C3 &amp; "_" &amp; sample_log!$D3, "")</f>
        <v/>
      </c>
      <c r="C3" s="5" t="str">
        <f>IF(B3="", IF(F3="", "", C2), IF(sample_log!E3="Triennial SASS", "tri_params", "params"))</f>
        <v/>
      </c>
      <c r="D3" s="5" t="str">
        <f>IF(B3="", "", C3 &amp; "!" &amp; CHAR(65+MATCH(B3, params!$B$2:$R$2, 0)))</f>
        <v/>
      </c>
      <c r="E3" s="5" t="str">
        <f ca="1">IF(B3="", "", COUNTA(INDIRECT(D3 &amp; 3):INDIRECT(D3 &amp; 24)))</f>
        <v/>
      </c>
      <c r="F3" s="5" t="str">
        <f t="shared" ref="F3:F34" si="0">IF(B3="", IF(NOT(ISNUMBER(F2)), "", IF(F2-1&gt;0, F2-1, "")), E3)</f>
        <v/>
      </c>
      <c r="G3" s="5" t="str">
        <f>IF(F3="", "", IF(B3&lt;&gt;"", MATCH(B3, params!$B$2:$R$2, 0), G2))</f>
        <v/>
      </c>
      <c r="H3" s="5" t="str">
        <f t="shared" ref="H3:H66" ca="1" si="1">IF($F3="", "", INDEX(INDIRECT("'" &amp; C3 &amp; "'!$B$3:$R$24"), $F3, $G3))</f>
        <v/>
      </c>
      <c r="I3" s="2"/>
      <c r="K3" s="2"/>
      <c r="L3" s="2"/>
      <c r="M3" s="2"/>
    </row>
    <row r="4" spans="1:13" ht="15.6" x14ac:dyDescent="0.3">
      <c r="A4" s="2"/>
      <c r="B4" s="5" t="str">
        <f>IF(COUNTIF(data_val!$E$3:$E$5, sample_log!$E4), sample_log!$C4 &amp; "_" &amp; sample_log!$D4, "")</f>
        <v/>
      </c>
      <c r="C4" s="5" t="str">
        <f>IF(B4="", IF(F4="", "", C3), IF(sample_log!E4="Triennial SASS", "tri_params", "params"))</f>
        <v/>
      </c>
      <c r="D4" s="5" t="str">
        <f>IF(B4="", "", C4 &amp; "!" &amp; CHAR(65+MATCH(B4, params!$B$2:$R$2, 0)))</f>
        <v/>
      </c>
      <c r="E4" s="5" t="str">
        <f ca="1">IF(B4="", "", COUNTA(INDIRECT(D4 &amp; 3):INDIRECT(D4 &amp; 24)))</f>
        <v/>
      </c>
      <c r="F4" s="5" t="str">
        <f t="shared" si="0"/>
        <v/>
      </c>
      <c r="G4" s="5" t="str">
        <f>IF(F4="", "", IF(B4&lt;&gt;"", MATCH(B4, params!$B$2:$R$2, 0), G3))</f>
        <v/>
      </c>
      <c r="H4" s="5" t="str">
        <f t="shared" ca="1" si="1"/>
        <v/>
      </c>
      <c r="I4" s="2"/>
      <c r="J4" s="2"/>
      <c r="K4" s="2"/>
      <c r="L4" s="2"/>
      <c r="M4" s="2"/>
    </row>
    <row r="5" spans="1:13" ht="15.6" x14ac:dyDescent="0.3">
      <c r="A5" s="2"/>
      <c r="B5" s="5" t="str">
        <f>IF(COUNTIF(data_val!$E$3:$E$5, sample_log!$E5), sample_log!$C5 &amp; "_" &amp; sample_log!$D5, "")</f>
        <v/>
      </c>
      <c r="C5" s="5" t="str">
        <f>IF(B5="", IF(F5="", "", C4), IF(sample_log!E5="Triennial SASS", "tri_params", "params"))</f>
        <v/>
      </c>
      <c r="D5" s="5" t="str">
        <f>IF(B5="", "", C5 &amp; "!" &amp; CHAR(65+MATCH(B5, params!$B$2:$R$2, 0)))</f>
        <v/>
      </c>
      <c r="E5" s="5" t="str">
        <f ca="1">IF(B5="", "", COUNTA(INDIRECT(D5 &amp; 3):INDIRECT(D5 &amp; 24)))</f>
        <v/>
      </c>
      <c r="F5" s="5" t="str">
        <f t="shared" si="0"/>
        <v/>
      </c>
      <c r="G5" s="5" t="str">
        <f>IF(F5="", "", IF(B5&lt;&gt;"", MATCH(B5, params!$B$2:$R$2, 0), G4))</f>
        <v/>
      </c>
      <c r="H5" s="5" t="str">
        <f t="shared" ca="1" si="1"/>
        <v/>
      </c>
      <c r="I5" s="2"/>
      <c r="J5" s="2"/>
      <c r="K5" s="2"/>
      <c r="L5" s="2"/>
      <c r="M5" s="2"/>
    </row>
    <row r="6" spans="1:13" ht="15.6" x14ac:dyDescent="0.3">
      <c r="A6" s="2"/>
      <c r="B6" s="5" t="str">
        <f>IF(COUNTIF(data_val!$E$3:$E$5, sample_log!$E6), sample_log!$C6 &amp; "_" &amp; sample_log!$D6, "")</f>
        <v/>
      </c>
      <c r="C6" s="5" t="str">
        <f>IF(B6="", IF(F6="", "", C5), IF(sample_log!E6="Triennial SASS", "tri_params", "params"))</f>
        <v/>
      </c>
      <c r="D6" s="5" t="str">
        <f>IF(B6="", "", C6 &amp; "!" &amp; CHAR(65+MATCH(B6, params!$B$2:$R$2, 0)))</f>
        <v/>
      </c>
      <c r="E6" s="5" t="str">
        <f ca="1">IF(B6="", "", COUNTA(INDIRECT(D6 &amp; 3):INDIRECT(D6 &amp; 24)))</f>
        <v/>
      </c>
      <c r="F6" s="5" t="str">
        <f t="shared" si="0"/>
        <v/>
      </c>
      <c r="G6" s="5" t="str">
        <f>IF(F6="", "", IF(B6&lt;&gt;"", MATCH(B6, params!$B$2:$R$2, 0), G5))</f>
        <v/>
      </c>
      <c r="H6" s="5" t="str">
        <f t="shared" ca="1" si="1"/>
        <v/>
      </c>
      <c r="I6" s="2"/>
      <c r="J6" s="2"/>
      <c r="K6" s="2"/>
      <c r="L6" s="2"/>
      <c r="M6" s="2"/>
    </row>
    <row r="7" spans="1:13" ht="15.6" x14ac:dyDescent="0.3">
      <c r="A7" s="2"/>
      <c r="B7" s="5" t="str">
        <f>IF(COUNTIF(data_val!$E$3:$E$5, sample_log!$E7), sample_log!$C7 &amp; "_" &amp; sample_log!$D7, "")</f>
        <v/>
      </c>
      <c r="C7" s="5" t="str">
        <f>IF(B7="", IF(F7="", "", C6), IF(sample_log!E7="Triennial SASS", "tri_params", "params"))</f>
        <v/>
      </c>
      <c r="D7" s="5" t="str">
        <f>IF(B7="", "", C7 &amp; "!" &amp; CHAR(65+MATCH(B7, params!$B$2:$R$2, 0)))</f>
        <v/>
      </c>
      <c r="E7" s="5" t="str">
        <f ca="1">IF(B7="", "", COUNTA(INDIRECT(D7 &amp; 3):INDIRECT(D7 &amp; 24)))</f>
        <v/>
      </c>
      <c r="F7" s="5" t="str">
        <f t="shared" si="0"/>
        <v/>
      </c>
      <c r="G7" s="5" t="str">
        <f>IF(F7="", "", IF(B7&lt;&gt;"", MATCH(B7, params!$B$2:$R$2, 0), G6))</f>
        <v/>
      </c>
      <c r="H7" s="5" t="str">
        <f t="shared" ca="1" si="1"/>
        <v/>
      </c>
      <c r="I7" s="2"/>
      <c r="J7" s="2"/>
      <c r="K7" s="2"/>
      <c r="L7" s="2"/>
      <c r="M7" s="2"/>
    </row>
    <row r="8" spans="1:13" ht="15.6" x14ac:dyDescent="0.3">
      <c r="A8" s="2"/>
      <c r="B8" s="5" t="str">
        <f>IF(COUNTIF(data_val!$E$3:$E$5, sample_log!$E8), sample_log!$C8 &amp; "_" &amp; sample_log!$D8, "")</f>
        <v/>
      </c>
      <c r="C8" s="5" t="str">
        <f>IF(B8="", IF(F8="", "", C7), IF(sample_log!E8="Triennial SASS", "tri_params", "params"))</f>
        <v/>
      </c>
      <c r="D8" s="5" t="str">
        <f>IF(B8="", "", C8 &amp; "!" &amp; CHAR(65+MATCH(B8, params!$B$2:$R$2, 0)))</f>
        <v/>
      </c>
      <c r="E8" s="5" t="str">
        <f ca="1">IF(B8="", "", COUNTA(INDIRECT(D8 &amp; 3):INDIRECT(D8 &amp; 24)))</f>
        <v/>
      </c>
      <c r="F8" s="5" t="str">
        <f t="shared" si="0"/>
        <v/>
      </c>
      <c r="G8" s="5" t="str">
        <f>IF(F8="", "", IF(B8&lt;&gt;"", MATCH(B8, params!$B$2:$R$2, 0), G7))</f>
        <v/>
      </c>
      <c r="H8" s="5" t="str">
        <f t="shared" ca="1" si="1"/>
        <v/>
      </c>
      <c r="I8" s="2"/>
      <c r="J8" s="2"/>
      <c r="K8" s="2"/>
      <c r="L8" s="2"/>
      <c r="M8" s="2"/>
    </row>
    <row r="9" spans="1:13" ht="15.6" x14ac:dyDescent="0.3">
      <c r="A9" s="2"/>
      <c r="B9" s="5" t="str">
        <f>IF(COUNTIF(data_val!$E$3:$E$5, sample_log!$E9), sample_log!$C9 &amp; "_" &amp; sample_log!$D9, "")</f>
        <v/>
      </c>
      <c r="C9" s="5" t="str">
        <f>IF(B9="", IF(F9="", "", C8), IF(sample_log!E9="Triennial SASS", "tri_params", "params"))</f>
        <v/>
      </c>
      <c r="D9" s="5" t="str">
        <f>IF(B9="", "", C9 &amp; "!" &amp; CHAR(65+MATCH(B9, params!$B$2:$R$2, 0)))</f>
        <v/>
      </c>
      <c r="E9" s="5" t="str">
        <f ca="1">IF(B9="", "", COUNTA(INDIRECT(D9 &amp; 3):INDIRECT(D9 &amp; 24)))</f>
        <v/>
      </c>
      <c r="F9" s="5" t="str">
        <f t="shared" si="0"/>
        <v/>
      </c>
      <c r="G9" s="5" t="str">
        <f>IF(F9="", "", IF(B9&lt;&gt;"", MATCH(B9, params!$B$2:$R$2, 0), G8))</f>
        <v/>
      </c>
      <c r="H9" s="5" t="str">
        <f t="shared" ca="1" si="1"/>
        <v/>
      </c>
      <c r="I9" s="2"/>
      <c r="J9" s="2"/>
      <c r="K9" s="2"/>
      <c r="L9" s="2"/>
      <c r="M9" s="2"/>
    </row>
    <row r="10" spans="1:13" ht="15.6" x14ac:dyDescent="0.3">
      <c r="A10" s="2"/>
      <c r="B10" s="5" t="str">
        <f>IF(COUNTIF(data_val!$E$3:$E$5, sample_log!$E10), sample_log!$C10 &amp; "_" &amp; sample_log!$D10, "")</f>
        <v/>
      </c>
      <c r="C10" s="5" t="str">
        <f>IF(B10="", IF(F10="", "", C9), IF(sample_log!E10="Triennial SASS", "tri_params", "params"))</f>
        <v/>
      </c>
      <c r="D10" s="5" t="str">
        <f>IF(B10="", "", C10 &amp; "!" &amp; CHAR(65+MATCH(B10, params!$B$2:$R$2, 0)))</f>
        <v/>
      </c>
      <c r="E10" s="5" t="str">
        <f ca="1">IF(B10="", "", COUNTA(INDIRECT(D10 &amp; 3):INDIRECT(D10 &amp; 24)))</f>
        <v/>
      </c>
      <c r="F10" s="5" t="str">
        <f t="shared" si="0"/>
        <v/>
      </c>
      <c r="G10" s="5" t="str">
        <f>IF(F10="", "", IF(B10&lt;&gt;"", MATCH(B10, params!$B$2:$R$2, 0), G9))</f>
        <v/>
      </c>
      <c r="H10" s="5" t="str">
        <f t="shared" ca="1" si="1"/>
        <v/>
      </c>
      <c r="I10" s="2"/>
      <c r="J10" s="2"/>
      <c r="K10" s="2"/>
      <c r="L10" s="2"/>
      <c r="M10" s="2"/>
    </row>
    <row r="11" spans="1:13" ht="15.6" x14ac:dyDescent="0.3">
      <c r="A11" s="2"/>
      <c r="B11" s="5" t="str">
        <f>IF(COUNTIF(data_val!$E$3:$E$5, sample_log!$E11), sample_log!$C11 &amp; "_" &amp; sample_log!$D11, "")</f>
        <v/>
      </c>
      <c r="C11" s="5" t="str">
        <f>IF(B11="", IF(F11="", "", C10), IF(sample_log!E11="Triennial SASS", "tri_params", "params"))</f>
        <v/>
      </c>
      <c r="D11" s="5" t="str">
        <f>IF(B11="", "", C11 &amp; "!" &amp; CHAR(65+MATCH(B11, params!$B$2:$R$2, 0)))</f>
        <v/>
      </c>
      <c r="E11" s="5" t="str">
        <f ca="1">IF(B11="", "", COUNTA(INDIRECT(D11 &amp; 3):INDIRECT(D11 &amp; 24)))</f>
        <v/>
      </c>
      <c r="F11" s="5" t="str">
        <f t="shared" si="0"/>
        <v/>
      </c>
      <c r="G11" s="5" t="str">
        <f>IF(F11="", "", IF(B11&lt;&gt;"", MATCH(B11, params!$B$2:$R$2, 0), G10))</f>
        <v/>
      </c>
      <c r="H11" s="5" t="str">
        <f t="shared" ca="1" si="1"/>
        <v/>
      </c>
      <c r="I11" s="2"/>
      <c r="J11" s="2"/>
      <c r="K11" s="2"/>
      <c r="L11" s="2"/>
      <c r="M11" s="2"/>
    </row>
    <row r="12" spans="1:13" ht="15.6" x14ac:dyDescent="0.3">
      <c r="A12" s="2"/>
      <c r="B12" s="5" t="str">
        <f>IF(COUNTIF(data_val!$E$3:$E$5, sample_log!$E12), sample_log!$C12 &amp; "_" &amp; sample_log!$D12, "")</f>
        <v/>
      </c>
      <c r="C12" s="5" t="str">
        <f>IF(B12="", IF(F12="", "", C11), IF(sample_log!E12="Triennial SASS", "tri_params", "params"))</f>
        <v/>
      </c>
      <c r="D12" s="5" t="str">
        <f>IF(B12="", "", C12 &amp; "!" &amp; CHAR(65+MATCH(B12, params!$B$2:$R$2, 0)))</f>
        <v/>
      </c>
      <c r="E12" s="5" t="str">
        <f ca="1">IF(B12="", "", COUNTA(INDIRECT(D12 &amp; 3):INDIRECT(D12 &amp; 24)))</f>
        <v/>
      </c>
      <c r="F12" s="5" t="str">
        <f t="shared" si="0"/>
        <v/>
      </c>
      <c r="G12" s="5" t="str">
        <f>IF(F12="", "", IF(B12&lt;&gt;"", MATCH(B12, params!$B$2:$R$2, 0), G11))</f>
        <v/>
      </c>
      <c r="H12" s="5" t="str">
        <f t="shared" ca="1" si="1"/>
        <v/>
      </c>
      <c r="I12" s="2"/>
      <c r="J12" s="2"/>
      <c r="K12" s="2"/>
      <c r="L12" s="2"/>
      <c r="M12" s="2"/>
    </row>
    <row r="13" spans="1:13" ht="15.6" x14ac:dyDescent="0.3">
      <c r="A13" s="2"/>
      <c r="B13" s="5" t="str">
        <f>IF(COUNTIF(data_val!$E$3:$E$5, sample_log!$E13), sample_log!$C13 &amp; "_" &amp; sample_log!$D13, "")</f>
        <v/>
      </c>
      <c r="C13" s="5" t="str">
        <f>IF(B13="", IF(F13="", "", C12), IF(sample_log!E13="Triennial SASS", "tri_params", "params"))</f>
        <v/>
      </c>
      <c r="D13" s="5" t="str">
        <f>IF(B13="", "", C13 &amp; "!" &amp; CHAR(65+MATCH(B13, params!$B$2:$R$2, 0)))</f>
        <v/>
      </c>
      <c r="E13" s="5" t="str">
        <f ca="1">IF(B13="", "", COUNTA(INDIRECT(D13 &amp; 3):INDIRECT(D13 &amp; 24)))</f>
        <v/>
      </c>
      <c r="F13" s="5" t="str">
        <f t="shared" si="0"/>
        <v/>
      </c>
      <c r="G13" s="5" t="str">
        <f>IF(F13="", "", IF(B13&lt;&gt;"", MATCH(B13, params!$B$2:$R$2, 0), G12))</f>
        <v/>
      </c>
      <c r="H13" s="5" t="str">
        <f t="shared" ca="1" si="1"/>
        <v/>
      </c>
      <c r="I13" s="2"/>
      <c r="J13" s="2"/>
      <c r="K13" s="2"/>
      <c r="L13" s="2"/>
      <c r="M13" s="2"/>
    </row>
    <row r="14" spans="1:13" ht="15.6" x14ac:dyDescent="0.3">
      <c r="A14" s="2"/>
      <c r="B14" s="5" t="str">
        <f>IF(COUNTIF(data_val!$E$3:$E$5, sample_log!$E14), sample_log!$C14 &amp; "_" &amp; sample_log!$D14, "")</f>
        <v/>
      </c>
      <c r="C14" s="5" t="str">
        <f>IF(B14="", IF(F14="", "", C13), IF(sample_log!E14="Triennial SASS", "tri_params", "params"))</f>
        <v/>
      </c>
      <c r="D14" s="5" t="str">
        <f>IF(B14="", "", C14 &amp; "!" &amp; CHAR(65+MATCH(B14, params!$B$2:$R$2, 0)))</f>
        <v/>
      </c>
      <c r="E14" s="5" t="str">
        <f ca="1">IF(B14="", "", COUNTA(INDIRECT(D14 &amp; 3):INDIRECT(D14 &amp; 24)))</f>
        <v/>
      </c>
      <c r="F14" s="5" t="str">
        <f t="shared" si="0"/>
        <v/>
      </c>
      <c r="G14" s="5" t="str">
        <f>IF(F14="", "", IF(B14&lt;&gt;"", MATCH(B14, params!$B$2:$R$2, 0), G13))</f>
        <v/>
      </c>
      <c r="H14" s="5" t="str">
        <f t="shared" ca="1" si="1"/>
        <v/>
      </c>
      <c r="I14" s="2"/>
      <c r="J14" s="2"/>
      <c r="K14" s="2"/>
      <c r="L14" s="2"/>
      <c r="M14" s="2"/>
    </row>
    <row r="15" spans="1:13" ht="15.6" x14ac:dyDescent="0.3">
      <c r="A15" s="2"/>
      <c r="B15" s="5" t="str">
        <f>IF(COUNTIF(data_val!$E$3:$E$5, sample_log!$E15), sample_log!$C15 &amp; "_" &amp; sample_log!$D15, "")</f>
        <v/>
      </c>
      <c r="C15" s="5" t="str">
        <f>IF(B15="", IF(F15="", "", C14), IF(sample_log!E15="Triennial SASS", "tri_params", "params"))</f>
        <v/>
      </c>
      <c r="D15" s="5" t="str">
        <f>IF(B15="", "", C15 &amp; "!" &amp; CHAR(65+MATCH(B15, params!$B$2:$R$2, 0)))</f>
        <v/>
      </c>
      <c r="E15" s="5" t="str">
        <f ca="1">IF(B15="", "", COUNTA(INDIRECT(D15 &amp; 3):INDIRECT(D15 &amp; 24)))</f>
        <v/>
      </c>
      <c r="F15" s="5" t="str">
        <f t="shared" si="0"/>
        <v/>
      </c>
      <c r="G15" s="5" t="str">
        <f>IF(F15="", "", IF(B15&lt;&gt;"", MATCH(B15, params!$B$2:$R$2, 0), G14))</f>
        <v/>
      </c>
      <c r="H15" s="5" t="str">
        <f t="shared" ca="1" si="1"/>
        <v/>
      </c>
      <c r="I15" s="2"/>
      <c r="J15" s="2"/>
      <c r="K15" s="2"/>
      <c r="L15" s="2"/>
      <c r="M15" s="2"/>
    </row>
    <row r="16" spans="1:13" ht="15.6" x14ac:dyDescent="0.3">
      <c r="A16" s="2"/>
      <c r="B16" s="5" t="str">
        <f>IF(COUNTIF(data_val!$E$3:$E$5, sample_log!$E16), sample_log!$C16 &amp; "_" &amp; sample_log!$D16, "")</f>
        <v/>
      </c>
      <c r="C16" s="5" t="str">
        <f>IF(B16="", IF(F16="", "", C15), IF(sample_log!E16="Triennial SASS", "tri_params", "params"))</f>
        <v/>
      </c>
      <c r="D16" s="5" t="str">
        <f>IF(B16="", "", C16 &amp; "!" &amp; CHAR(65+MATCH(B16, params!$B$2:$R$2, 0)))</f>
        <v/>
      </c>
      <c r="E16" s="5" t="str">
        <f ca="1">IF(B16="", "", COUNTA(INDIRECT(D16 &amp; 3):INDIRECT(D16 &amp; 24)))</f>
        <v/>
      </c>
      <c r="F16" s="5" t="str">
        <f t="shared" si="0"/>
        <v/>
      </c>
      <c r="G16" s="5" t="str">
        <f>IF(F16="", "", IF(B16&lt;&gt;"", MATCH(B16, params!$B$2:$R$2, 0), G15))</f>
        <v/>
      </c>
      <c r="H16" s="5" t="str">
        <f t="shared" ca="1" si="1"/>
        <v/>
      </c>
      <c r="I16" s="2"/>
      <c r="J16" s="2"/>
      <c r="K16" s="2"/>
      <c r="L16" s="2"/>
      <c r="M16" s="2"/>
    </row>
    <row r="17" spans="1:13" ht="15.6" x14ac:dyDescent="0.3">
      <c r="A17" s="2"/>
      <c r="B17" s="5" t="str">
        <f>IF(COUNTIF(data_val!$E$3:$E$5, sample_log!$E17), sample_log!$C17 &amp; "_" &amp; sample_log!$D17, "")</f>
        <v/>
      </c>
      <c r="C17" s="5" t="str">
        <f>IF(B17="", IF(F17="", "", C16), IF(sample_log!E17="Triennial SASS", "tri_params", "params"))</f>
        <v/>
      </c>
      <c r="D17" s="5" t="str">
        <f>IF(B17="", "", C17 &amp; "!" &amp; CHAR(65+MATCH(B17, params!$B$2:$R$2, 0)))</f>
        <v/>
      </c>
      <c r="E17" s="5" t="str">
        <f ca="1">IF(B17="", "", COUNTA(INDIRECT(D17 &amp; 3):INDIRECT(D17 &amp; 24)))</f>
        <v/>
      </c>
      <c r="F17" s="5" t="str">
        <f t="shared" si="0"/>
        <v/>
      </c>
      <c r="G17" s="5" t="str">
        <f>IF(F17="", "", IF(B17&lt;&gt;"", MATCH(B17, params!$B$2:$R$2, 0), G16))</f>
        <v/>
      </c>
      <c r="H17" s="5" t="str">
        <f t="shared" ca="1" si="1"/>
        <v/>
      </c>
      <c r="I17" s="2"/>
      <c r="J17" s="2"/>
      <c r="K17" s="2"/>
      <c r="L17" s="2"/>
      <c r="M17" s="2"/>
    </row>
    <row r="18" spans="1:13" ht="15.6" x14ac:dyDescent="0.3">
      <c r="A18" s="2"/>
      <c r="B18" s="5" t="str">
        <f>IF(COUNTIF(data_val!$E$3:$E$5, sample_log!$E18), sample_log!$C18 &amp; "_" &amp; sample_log!$D18, "")</f>
        <v/>
      </c>
      <c r="C18" s="5" t="str">
        <f>IF(B18="", IF(F18="", "", C17), IF(sample_log!E18="Triennial SASS", "tri_params", "params"))</f>
        <v/>
      </c>
      <c r="D18" s="5" t="str">
        <f>IF(B18="", "", C18 &amp; "!" &amp; CHAR(65+MATCH(B18, params!$B$2:$R$2, 0)))</f>
        <v/>
      </c>
      <c r="E18" s="5" t="str">
        <f ca="1">IF(B18="", "", COUNTA(INDIRECT(D18 &amp; 3):INDIRECT(D18 &amp; 24)))</f>
        <v/>
      </c>
      <c r="F18" s="5" t="str">
        <f t="shared" si="0"/>
        <v/>
      </c>
      <c r="G18" s="5" t="str">
        <f>IF(F18="", "", IF(B18&lt;&gt;"", MATCH(B18, params!$B$2:$R$2, 0), G17))</f>
        <v/>
      </c>
      <c r="H18" s="5" t="str">
        <f t="shared" ca="1" si="1"/>
        <v/>
      </c>
      <c r="I18" s="2"/>
      <c r="J18" s="2"/>
      <c r="K18" s="2"/>
      <c r="L18" s="2"/>
      <c r="M18" s="2"/>
    </row>
    <row r="19" spans="1:13" ht="15.6" x14ac:dyDescent="0.3">
      <c r="A19" s="2"/>
      <c r="B19" s="5" t="str">
        <f>IF(COUNTIF(data_val!$E$3:$E$5, sample_log!$E19), sample_log!$C19 &amp; "_" &amp; sample_log!$D19, "")</f>
        <v/>
      </c>
      <c r="C19" s="5" t="str">
        <f>IF(B19="", IF(F19="", "", C18), IF(sample_log!E19="Triennial SASS", "tri_params", "params"))</f>
        <v/>
      </c>
      <c r="D19" s="5" t="str">
        <f>IF(B19="", "", C19 &amp; "!" &amp; CHAR(65+MATCH(B19, params!$B$2:$R$2, 0)))</f>
        <v/>
      </c>
      <c r="E19" s="5" t="str">
        <f ca="1">IF(B19="", "", COUNTA(INDIRECT(D19 &amp; 3):INDIRECT(D19 &amp; 24)))</f>
        <v/>
      </c>
      <c r="F19" s="5" t="str">
        <f t="shared" si="0"/>
        <v/>
      </c>
      <c r="G19" s="5" t="str">
        <f>IF(F19="", "", IF(B19&lt;&gt;"", MATCH(B19, params!$B$2:$R$2, 0), G18))</f>
        <v/>
      </c>
      <c r="H19" s="5" t="str">
        <f t="shared" ca="1" si="1"/>
        <v/>
      </c>
      <c r="I19" s="2"/>
      <c r="J19" s="2"/>
      <c r="K19" s="2"/>
      <c r="L19" s="2"/>
      <c r="M19" s="2"/>
    </row>
    <row r="20" spans="1:13" ht="15.6" x14ac:dyDescent="0.3">
      <c r="A20" s="2"/>
      <c r="B20" s="5" t="str">
        <f>IF(COUNTIF(data_val!$E$3:$E$5, sample_log!$E20), sample_log!$C20 &amp; "_" &amp; sample_log!$D20, "")</f>
        <v/>
      </c>
      <c r="C20" s="5" t="str">
        <f>IF(B20="", IF(F20="", "", C19), IF(sample_log!E20="Triennial SASS", "tri_params", "params"))</f>
        <v/>
      </c>
      <c r="D20" s="5" t="str">
        <f>IF(B20="", "", C20 &amp; "!" &amp; CHAR(65+MATCH(B20, params!$B$2:$R$2, 0)))</f>
        <v/>
      </c>
      <c r="E20" s="5" t="str">
        <f ca="1">IF(B20="", "", COUNTA(INDIRECT(D20 &amp; 3):INDIRECT(D20 &amp; 24)))</f>
        <v/>
      </c>
      <c r="F20" s="5" t="str">
        <f t="shared" si="0"/>
        <v/>
      </c>
      <c r="G20" s="5" t="str">
        <f>IF(F20="", "", IF(B20&lt;&gt;"", MATCH(B20, params!$B$2:$R$2, 0), G19))</f>
        <v/>
      </c>
      <c r="H20" s="5" t="str">
        <f t="shared" ca="1" si="1"/>
        <v/>
      </c>
      <c r="I20" s="2"/>
      <c r="J20" s="2"/>
      <c r="K20" s="2"/>
      <c r="L20" s="2"/>
      <c r="M20" s="2"/>
    </row>
    <row r="21" spans="1:13" ht="15.6" x14ac:dyDescent="0.3">
      <c r="A21" s="2"/>
      <c r="B21" s="5" t="str">
        <f>IF(COUNTIF(data_val!$E$3:$E$5, sample_log!$E21), sample_log!$C21 &amp; "_" &amp; sample_log!$D21, "")</f>
        <v/>
      </c>
      <c r="C21" s="5" t="str">
        <f>IF(B21="", IF(F21="", "", C20), IF(sample_log!E21="Triennial SASS", "tri_params", "params"))</f>
        <v/>
      </c>
      <c r="D21" s="5" t="str">
        <f>IF(B21="", "", C21 &amp; "!" &amp; CHAR(65+MATCH(B21, params!$B$2:$R$2, 0)))</f>
        <v/>
      </c>
      <c r="E21" s="5" t="str">
        <f ca="1">IF(B21="", "", COUNTA(INDIRECT(D21 &amp; 3):INDIRECT(D21 &amp; 24)))</f>
        <v/>
      </c>
      <c r="F21" s="5" t="str">
        <f t="shared" si="0"/>
        <v/>
      </c>
      <c r="G21" s="5" t="str">
        <f>IF(F21="", "", IF(B21&lt;&gt;"", MATCH(B21, params!$B$2:$R$2, 0), G20))</f>
        <v/>
      </c>
      <c r="H21" s="5" t="str">
        <f t="shared" ca="1" si="1"/>
        <v/>
      </c>
      <c r="I21" s="2"/>
      <c r="J21" s="2"/>
      <c r="K21" s="2"/>
      <c r="L21" s="2"/>
      <c r="M21" s="2"/>
    </row>
    <row r="22" spans="1:13" ht="15.6" x14ac:dyDescent="0.3">
      <c r="A22" s="2"/>
      <c r="B22" s="5" t="str">
        <f>IF(COUNTIF(data_val!$E$3:$E$5, sample_log!$E22), sample_log!$C22 &amp; "_" &amp; sample_log!$D22, "")</f>
        <v/>
      </c>
      <c r="C22" s="5" t="str">
        <f>IF(B22="", IF(F22="", "", C21), IF(sample_log!E22="Triennial SASS", "tri_params", "params"))</f>
        <v/>
      </c>
      <c r="D22" s="5" t="str">
        <f>IF(B22="", "", C22 &amp; "!" &amp; CHAR(65+MATCH(B22, params!$B$2:$R$2, 0)))</f>
        <v/>
      </c>
      <c r="E22" s="5" t="str">
        <f ca="1">IF(B22="", "", COUNTA(INDIRECT(D22 &amp; 3):INDIRECT(D22 &amp; 24)))</f>
        <v/>
      </c>
      <c r="F22" s="5" t="str">
        <f t="shared" si="0"/>
        <v/>
      </c>
      <c r="G22" s="5" t="str">
        <f>IF(F22="", "", IF(B22&lt;&gt;"", MATCH(B22, params!$B$2:$R$2, 0), G21))</f>
        <v/>
      </c>
      <c r="H22" s="5" t="str">
        <f t="shared" ca="1" si="1"/>
        <v/>
      </c>
      <c r="I22" s="2"/>
      <c r="J22" s="2"/>
      <c r="K22" s="2"/>
      <c r="L22" s="2"/>
      <c r="M22" s="2"/>
    </row>
    <row r="23" spans="1:13" ht="15.6" x14ac:dyDescent="0.3">
      <c r="A23" s="2"/>
      <c r="B23" s="5" t="str">
        <f>IF(COUNTIF(data_val!$E$3:$E$5, sample_log!$E23), sample_log!$C23 &amp; "_" &amp; sample_log!$D23, "")</f>
        <v/>
      </c>
      <c r="C23" s="5" t="str">
        <f>IF(B23="", IF(F23="", "", C22), IF(sample_log!E23="Triennial SASS", "tri_params", "params"))</f>
        <v/>
      </c>
      <c r="D23" s="5" t="str">
        <f>IF(B23="", "", C23 &amp; "!" &amp; CHAR(65+MATCH(B23, params!$B$2:$R$2, 0)))</f>
        <v/>
      </c>
      <c r="E23" s="5" t="str">
        <f ca="1">IF(B23="", "", COUNTA(INDIRECT(D23 &amp; 3):INDIRECT(D23 &amp; 24)))</f>
        <v/>
      </c>
      <c r="F23" s="5" t="str">
        <f t="shared" si="0"/>
        <v/>
      </c>
      <c r="G23" s="5" t="str">
        <f>IF(F23="", "", IF(B23&lt;&gt;"", MATCH(B23, params!$B$2:$R$2, 0), G22))</f>
        <v/>
      </c>
      <c r="H23" s="5" t="str">
        <f t="shared" ca="1" si="1"/>
        <v/>
      </c>
      <c r="I23" s="2"/>
      <c r="J23" s="2"/>
      <c r="K23" s="2"/>
      <c r="L23" s="2"/>
      <c r="M23" s="2"/>
    </row>
    <row r="24" spans="1:13" ht="15.6" x14ac:dyDescent="0.3">
      <c r="A24" s="2"/>
      <c r="B24" s="5" t="str">
        <f>IF(COUNTIF(data_val!$E$3:$E$5, sample_log!$E24), sample_log!$C24 &amp; "_" &amp; sample_log!$D24, "")</f>
        <v/>
      </c>
      <c r="C24" s="5" t="str">
        <f>IF(B24="", IF(F24="", "", C23), IF(sample_log!E24="Triennial SASS", "tri_params", "params"))</f>
        <v/>
      </c>
      <c r="D24" s="5" t="str">
        <f>IF(B24="", "", C24 &amp; "!" &amp; CHAR(65+MATCH(B24, params!$B$2:$R$2, 0)))</f>
        <v/>
      </c>
      <c r="E24" s="5" t="str">
        <f ca="1">IF(B24="", "", COUNTA(INDIRECT(D24 &amp; 3):INDIRECT(D24 &amp; 24)))</f>
        <v/>
      </c>
      <c r="F24" s="5" t="str">
        <f t="shared" si="0"/>
        <v/>
      </c>
      <c r="G24" s="5" t="str">
        <f>IF(F24="", "", IF(B24&lt;&gt;"", MATCH(B24, params!$B$2:$R$2, 0), G23))</f>
        <v/>
      </c>
      <c r="H24" s="5" t="str">
        <f t="shared" ca="1" si="1"/>
        <v/>
      </c>
      <c r="I24" s="2"/>
      <c r="J24" s="2"/>
      <c r="K24" s="2"/>
      <c r="L24" s="2"/>
      <c r="M24" s="2"/>
    </row>
    <row r="25" spans="1:13" ht="15.6" x14ac:dyDescent="0.3">
      <c r="A25" s="2"/>
      <c r="B25" s="5" t="str">
        <f>IF(COUNTIF(data_val!$E$3:$E$5, sample_log!$E25), sample_log!$C25 &amp; "_" &amp; sample_log!$D25, "")</f>
        <v/>
      </c>
      <c r="C25" s="5" t="str">
        <f>IF(B25="", IF(F25="", "", C24), IF(sample_log!E25="Triennial SASS", "tri_params", "params"))</f>
        <v/>
      </c>
      <c r="D25" s="5" t="str">
        <f>IF(B25="", "", C25 &amp; "!" &amp; CHAR(65+MATCH(B25, params!$B$2:$R$2, 0)))</f>
        <v/>
      </c>
      <c r="E25" s="5" t="str">
        <f ca="1">IF(B25="", "", COUNTA(INDIRECT(D25 &amp; 3):INDIRECT(D25 &amp; 24)))</f>
        <v/>
      </c>
      <c r="F25" s="5" t="str">
        <f t="shared" si="0"/>
        <v/>
      </c>
      <c r="G25" s="5" t="str">
        <f>IF(F25="", "", IF(B25&lt;&gt;"", MATCH(B25, params!$B$2:$R$2, 0), G24))</f>
        <v/>
      </c>
      <c r="H25" s="5" t="str">
        <f t="shared" ca="1" si="1"/>
        <v/>
      </c>
      <c r="I25" s="2"/>
      <c r="J25" s="2"/>
      <c r="K25" s="2"/>
      <c r="L25" s="2"/>
      <c r="M25" s="2"/>
    </row>
    <row r="26" spans="1:13" ht="15.6" x14ac:dyDescent="0.3">
      <c r="A26" s="2"/>
      <c r="B26" s="5" t="str">
        <f>IF(COUNTIF(data_val!$E$3:$E$5, sample_log!$E26), sample_log!$C26 &amp; "_" &amp; sample_log!$D26, "")</f>
        <v/>
      </c>
      <c r="C26" s="5" t="str">
        <f>IF(B26="", IF(F26="", "", C25), IF(sample_log!E26="Triennial SASS", "tri_params", "params"))</f>
        <v/>
      </c>
      <c r="D26" s="5" t="str">
        <f>IF(B26="", "", C26 &amp; "!" &amp; CHAR(65+MATCH(B26, params!$B$2:$R$2, 0)))</f>
        <v/>
      </c>
      <c r="E26" s="5" t="str">
        <f ca="1">IF(B26="", "", COUNTA(INDIRECT(D26 &amp; 3):INDIRECT(D26 &amp; 24)))</f>
        <v/>
      </c>
      <c r="F26" s="5" t="str">
        <f t="shared" si="0"/>
        <v/>
      </c>
      <c r="G26" s="5" t="str">
        <f>IF(F26="", "", IF(B26&lt;&gt;"", MATCH(B26, params!$B$2:$R$2, 0), G25))</f>
        <v/>
      </c>
      <c r="H26" s="5" t="str">
        <f t="shared" ca="1" si="1"/>
        <v/>
      </c>
      <c r="I26" s="2"/>
      <c r="J26" s="2"/>
      <c r="K26" s="2"/>
      <c r="L26" s="2"/>
      <c r="M26" s="2"/>
    </row>
    <row r="27" spans="1:13" ht="15.6" x14ac:dyDescent="0.3">
      <c r="A27" s="2"/>
      <c r="B27" s="5" t="str">
        <f>IF(COUNTIF(data_val!$E$3:$E$5, sample_log!$E27), sample_log!$C27 &amp; "_" &amp; sample_log!$D27, "")</f>
        <v/>
      </c>
      <c r="C27" s="5" t="str">
        <f>IF(B27="", IF(F27="", "", C26), IF(sample_log!E27="Triennial SASS", "tri_params", "params"))</f>
        <v/>
      </c>
      <c r="D27" s="5" t="str">
        <f>IF(B27="", "", C27 &amp; "!" &amp; CHAR(65+MATCH(B27, params!$B$2:$R$2, 0)))</f>
        <v/>
      </c>
      <c r="E27" s="5" t="str">
        <f ca="1">IF(B27="", "", COUNTA(INDIRECT(D27 &amp; 3):INDIRECT(D27 &amp; 24)))</f>
        <v/>
      </c>
      <c r="F27" s="5" t="str">
        <f t="shared" si="0"/>
        <v/>
      </c>
      <c r="G27" s="5" t="str">
        <f>IF(F27="", "", IF(B27&lt;&gt;"", MATCH(B27, params!$B$2:$R$2, 0), G26))</f>
        <v/>
      </c>
      <c r="H27" s="5" t="str">
        <f t="shared" ca="1" si="1"/>
        <v/>
      </c>
      <c r="I27" s="2"/>
      <c r="J27" s="2"/>
      <c r="K27" s="2"/>
      <c r="L27" s="2"/>
      <c r="M27" s="2"/>
    </row>
    <row r="28" spans="1:13" ht="15.6" x14ac:dyDescent="0.3">
      <c r="A28" s="2"/>
      <c r="B28" s="5" t="str">
        <f>IF(COUNTIF(data_val!$E$3:$E$5, sample_log!$E28), sample_log!$C28 &amp; "_" &amp; sample_log!$D28, "")</f>
        <v/>
      </c>
      <c r="C28" s="5" t="str">
        <f>IF(B28="", IF(F28="", "", C27), IF(sample_log!E28="Triennial SASS", "tri_params", "params"))</f>
        <v/>
      </c>
      <c r="D28" s="5" t="str">
        <f>IF(B28="", "", C28 &amp; "!" &amp; CHAR(65+MATCH(B28, params!$B$2:$R$2, 0)))</f>
        <v/>
      </c>
      <c r="E28" s="5" t="str">
        <f ca="1">IF(B28="", "", COUNTA(INDIRECT(D28 &amp; 3):INDIRECT(D28 &amp; 24)))</f>
        <v/>
      </c>
      <c r="F28" s="5" t="str">
        <f t="shared" si="0"/>
        <v/>
      </c>
      <c r="G28" s="5" t="str">
        <f>IF(F28="", "", IF(B28&lt;&gt;"", MATCH(B28, params!$B$2:$R$2, 0), G27))</f>
        <v/>
      </c>
      <c r="H28" s="5" t="str">
        <f t="shared" ca="1" si="1"/>
        <v/>
      </c>
      <c r="I28" s="2"/>
      <c r="J28" s="2"/>
      <c r="K28" s="2"/>
      <c r="L28" s="2"/>
      <c r="M28" s="2"/>
    </row>
    <row r="29" spans="1:13" ht="15.6" x14ac:dyDescent="0.3">
      <c r="A29" s="2"/>
      <c r="B29" s="5" t="str">
        <f>IF(COUNTIF(data_val!$E$3:$E$5, sample_log!$E29), sample_log!$C29 &amp; "_" &amp; sample_log!$D29, "")</f>
        <v/>
      </c>
      <c r="C29" s="5" t="str">
        <f>IF(B29="", IF(F29="", "", C28), IF(sample_log!E29="Triennial SASS", "tri_params", "params"))</f>
        <v/>
      </c>
      <c r="D29" s="5" t="str">
        <f>IF(B29="", "", C29 &amp; "!" &amp; CHAR(65+MATCH(B29, params!$B$2:$R$2, 0)))</f>
        <v/>
      </c>
      <c r="E29" s="5" t="str">
        <f ca="1">IF(B29="", "", COUNTA(INDIRECT(D29 &amp; 3):INDIRECT(D29 &amp; 24)))</f>
        <v/>
      </c>
      <c r="F29" s="5" t="str">
        <f t="shared" si="0"/>
        <v/>
      </c>
      <c r="G29" s="5" t="str">
        <f>IF(F29="", "", IF(B29&lt;&gt;"", MATCH(B29, params!$B$2:$R$2, 0), G28))</f>
        <v/>
      </c>
      <c r="H29" s="5" t="str">
        <f t="shared" ca="1" si="1"/>
        <v/>
      </c>
      <c r="I29" s="2"/>
      <c r="J29" s="2"/>
      <c r="K29" s="2"/>
      <c r="L29" s="2"/>
      <c r="M29" s="2"/>
    </row>
    <row r="30" spans="1:13" ht="15.6" x14ac:dyDescent="0.3">
      <c r="A30" s="2"/>
      <c r="B30" s="5" t="str">
        <f>IF(COUNTIF(data_val!$E$3:$E$5, sample_log!$E30), sample_log!$C30 &amp; "_" &amp; sample_log!$D30, "")</f>
        <v/>
      </c>
      <c r="C30" s="5" t="str">
        <f>IF(B30="", IF(F30="", "", C29), IF(sample_log!E30="Triennial SASS", "tri_params", "params"))</f>
        <v/>
      </c>
      <c r="D30" s="5" t="str">
        <f>IF(B30="", "", C30 &amp; "!" &amp; CHAR(65+MATCH(B30, params!$B$2:$R$2, 0)))</f>
        <v/>
      </c>
      <c r="E30" s="5" t="str">
        <f ca="1">IF(B30="", "", COUNTA(INDIRECT(D30 &amp; 3):INDIRECT(D30 &amp; 24)))</f>
        <v/>
      </c>
      <c r="F30" s="5" t="str">
        <f t="shared" si="0"/>
        <v/>
      </c>
      <c r="G30" s="5" t="str">
        <f>IF(F30="", "", IF(B30&lt;&gt;"", MATCH(B30, params!$B$2:$R$2, 0), G29))</f>
        <v/>
      </c>
      <c r="H30" s="5" t="str">
        <f t="shared" ca="1" si="1"/>
        <v/>
      </c>
      <c r="I30" s="2"/>
      <c r="J30" s="2"/>
      <c r="K30" s="2"/>
      <c r="L30" s="2"/>
      <c r="M30" s="2"/>
    </row>
    <row r="31" spans="1:13" ht="15.6" x14ac:dyDescent="0.3">
      <c r="A31" s="2"/>
      <c r="B31" s="5" t="str">
        <f>IF(COUNTIF(data_val!$E$3:$E$5, sample_log!$E31), sample_log!$C31 &amp; "_" &amp; sample_log!$D31, "")</f>
        <v/>
      </c>
      <c r="C31" s="5" t="str">
        <f>IF(B31="", IF(F31="", "", C30), IF(sample_log!E31="Triennial SASS", "tri_params", "params"))</f>
        <v/>
      </c>
      <c r="D31" s="5" t="str">
        <f>IF(B31="", "", C31 &amp; "!" &amp; CHAR(65+MATCH(B31, params!$B$2:$R$2, 0)))</f>
        <v/>
      </c>
      <c r="E31" s="5" t="str">
        <f ca="1">IF(B31="", "", COUNTA(INDIRECT(D31 &amp; 3):INDIRECT(D31 &amp; 24)))</f>
        <v/>
      </c>
      <c r="F31" s="5" t="str">
        <f t="shared" si="0"/>
        <v/>
      </c>
      <c r="G31" s="5" t="str">
        <f>IF(F31="", "", IF(B31&lt;&gt;"", MATCH(B31, params!$B$2:$R$2, 0), G30))</f>
        <v/>
      </c>
      <c r="H31" s="5" t="str">
        <f t="shared" ca="1" si="1"/>
        <v/>
      </c>
      <c r="I31" s="2"/>
      <c r="J31" s="2"/>
      <c r="K31" s="2"/>
      <c r="L31" s="2"/>
      <c r="M31" s="2"/>
    </row>
    <row r="32" spans="1:13" ht="15.6" x14ac:dyDescent="0.3">
      <c r="A32" s="2"/>
      <c r="B32" s="5" t="str">
        <f>IF(COUNTIF(data_val!$E$3:$E$5, sample_log!$E32), sample_log!$C32 &amp; "_" &amp; sample_log!$D32, "")</f>
        <v/>
      </c>
      <c r="C32" s="5" t="str">
        <f>IF(B32="", IF(F32="", "", C31), IF(sample_log!E32="Triennial SASS", "tri_params", "params"))</f>
        <v/>
      </c>
      <c r="D32" s="5" t="str">
        <f>IF(B32="", "", C32 &amp; "!" &amp; CHAR(65+MATCH(B32, params!$B$2:$R$2, 0)))</f>
        <v/>
      </c>
      <c r="E32" s="5" t="str">
        <f ca="1">IF(B32="", "", COUNTA(INDIRECT(D32 &amp; 3):INDIRECT(D32 &amp; 24)))</f>
        <v/>
      </c>
      <c r="F32" s="5" t="str">
        <f t="shared" si="0"/>
        <v/>
      </c>
      <c r="G32" s="5" t="str">
        <f>IF(F32="", "", IF(B32&lt;&gt;"", MATCH(B32, params!$B$2:$R$2, 0), G31))</f>
        <v/>
      </c>
      <c r="H32" s="5" t="str">
        <f t="shared" ca="1" si="1"/>
        <v/>
      </c>
      <c r="I32" s="2"/>
      <c r="J32" s="2"/>
      <c r="K32" s="2"/>
      <c r="L32" s="2"/>
      <c r="M32" s="2"/>
    </row>
    <row r="33" spans="1:13" ht="15.6" x14ac:dyDescent="0.3">
      <c r="A33" s="2"/>
      <c r="B33" s="5" t="str">
        <f>IF(COUNTIF(data_val!$E$3:$E$5, sample_log!$E33), sample_log!$C33 &amp; "_" &amp; sample_log!$D33, "")</f>
        <v/>
      </c>
      <c r="C33" s="5" t="str">
        <f>IF(B33="", IF(F33="", "", C32), IF(sample_log!E33="Triennial SASS", "tri_params", "params"))</f>
        <v/>
      </c>
      <c r="D33" s="5" t="str">
        <f>IF(B33="", "", C33 &amp; "!" &amp; CHAR(65+MATCH(B33, params!$B$2:$R$2, 0)))</f>
        <v/>
      </c>
      <c r="E33" s="5" t="str">
        <f ca="1">IF(B33="", "", COUNTA(INDIRECT(D33 &amp; 3):INDIRECT(D33 &amp; 24)))</f>
        <v/>
      </c>
      <c r="F33" s="5" t="str">
        <f t="shared" si="0"/>
        <v/>
      </c>
      <c r="G33" s="5" t="str">
        <f>IF(F33="", "", IF(B33&lt;&gt;"", MATCH(B33, params!$B$2:$R$2, 0), G32))</f>
        <v/>
      </c>
      <c r="H33" s="5" t="str">
        <f t="shared" ca="1" si="1"/>
        <v/>
      </c>
      <c r="I33" s="2"/>
      <c r="J33" s="2"/>
      <c r="K33" s="2"/>
      <c r="L33" s="2"/>
      <c r="M33" s="2"/>
    </row>
    <row r="34" spans="1:13" ht="15.6" x14ac:dyDescent="0.3">
      <c r="A34" s="2"/>
      <c r="B34" s="5" t="str">
        <f>IF(COUNTIF(data_val!$E$3:$E$5, sample_log!$E34), sample_log!$C34 &amp; "_" &amp; sample_log!$D34, "")</f>
        <v/>
      </c>
      <c r="C34" s="5" t="str">
        <f>IF(B34="", IF(F34="", "", C33), IF(sample_log!E34="Triennial SASS", "tri_params", "params"))</f>
        <v/>
      </c>
      <c r="D34" s="5" t="str">
        <f>IF(B34="", "", C34 &amp; "!" &amp; CHAR(65+MATCH(B34, params!$B$2:$R$2, 0)))</f>
        <v/>
      </c>
      <c r="E34" s="5" t="str">
        <f ca="1">IF(B34="", "", COUNTA(INDIRECT(D34 &amp; 3):INDIRECT(D34 &amp; 24)))</f>
        <v/>
      </c>
      <c r="F34" s="5" t="str">
        <f t="shared" si="0"/>
        <v/>
      </c>
      <c r="G34" s="5" t="str">
        <f>IF(F34="", "", IF(B34&lt;&gt;"", MATCH(B34, params!$B$2:$R$2, 0), G33))</f>
        <v/>
      </c>
      <c r="H34" s="5" t="str">
        <f t="shared" ca="1" si="1"/>
        <v/>
      </c>
      <c r="I34" s="2"/>
      <c r="J34" s="2"/>
      <c r="K34" s="2"/>
      <c r="L34" s="2"/>
      <c r="M34" s="2"/>
    </row>
    <row r="35" spans="1:13" ht="15.6" x14ac:dyDescent="0.3">
      <c r="A35" s="2"/>
      <c r="B35" s="5" t="str">
        <f>IF(COUNTIF(data_val!$E$3:$E$5, sample_log!$E35), sample_log!$C35 &amp; "_" &amp; sample_log!$D35, "")</f>
        <v/>
      </c>
      <c r="C35" s="5" t="str">
        <f>IF(B35="", IF(F35="", "", C34), IF(sample_log!E35="Triennial SASS", "tri_params", "params"))</f>
        <v/>
      </c>
      <c r="D35" s="5" t="str">
        <f>IF(B35="", "", C35 &amp; "!" &amp; CHAR(65+MATCH(B35, params!$B$2:$R$2, 0)))</f>
        <v/>
      </c>
      <c r="E35" s="5" t="str">
        <f ca="1">IF(B35="", "", COUNTA(INDIRECT(D35 &amp; 3):INDIRECT(D35 &amp; 24)))</f>
        <v/>
      </c>
      <c r="F35" s="5" t="str">
        <f t="shared" ref="F35:F66" si="2">IF(B35="", IF(NOT(ISNUMBER(F34)), "", IF(F34-1&gt;0, F34-1, "")), E35)</f>
        <v/>
      </c>
      <c r="G35" s="5" t="str">
        <f>IF(F35="", "", IF(B35&lt;&gt;"", MATCH(B35, params!$B$2:$R$2, 0), G34))</f>
        <v/>
      </c>
      <c r="H35" s="5" t="str">
        <f t="shared" ca="1" si="1"/>
        <v/>
      </c>
      <c r="I35" s="2"/>
      <c r="J35" s="2"/>
      <c r="K35" s="2"/>
      <c r="L35" s="2"/>
      <c r="M35" s="2"/>
    </row>
    <row r="36" spans="1:13" ht="15.6" x14ac:dyDescent="0.3">
      <c r="A36" s="2"/>
      <c r="B36" s="5" t="str">
        <f>IF(COUNTIF(data_val!$E$3:$E$5, sample_log!$E36), sample_log!$C36 &amp; "_" &amp; sample_log!$D36, "")</f>
        <v/>
      </c>
      <c r="C36" s="5" t="str">
        <f>IF(B36="", IF(F36="", "", C35), IF(sample_log!E36="Triennial SASS", "tri_params", "params"))</f>
        <v/>
      </c>
      <c r="D36" s="5" t="str">
        <f>IF(B36="", "", C36 &amp; "!" &amp; CHAR(65+MATCH(B36, params!$B$2:$R$2, 0)))</f>
        <v/>
      </c>
      <c r="E36" s="5" t="str">
        <f ca="1">IF(B36="", "", COUNTA(INDIRECT(D36 &amp; 3):INDIRECT(D36 &amp; 24)))</f>
        <v/>
      </c>
      <c r="F36" s="5" t="str">
        <f t="shared" si="2"/>
        <v/>
      </c>
      <c r="G36" s="5" t="str">
        <f>IF(F36="", "", IF(B36&lt;&gt;"", MATCH(B36, params!$B$2:$R$2, 0), G35))</f>
        <v/>
      </c>
      <c r="H36" s="5" t="str">
        <f t="shared" ca="1" si="1"/>
        <v/>
      </c>
      <c r="I36" s="2"/>
      <c r="J36" s="2"/>
      <c r="K36" s="2"/>
      <c r="L36" s="2"/>
      <c r="M36" s="2"/>
    </row>
    <row r="37" spans="1:13" ht="15.6" x14ac:dyDescent="0.3">
      <c r="A37" s="2"/>
      <c r="B37" s="5" t="str">
        <f>IF(COUNTIF(data_val!$E$3:$E$5, sample_log!$E37), sample_log!$C37 &amp; "_" &amp; sample_log!$D37, "")</f>
        <v/>
      </c>
      <c r="C37" s="5" t="str">
        <f>IF(B37="", IF(F37="", "", C36), IF(sample_log!E37="Triennial SASS", "tri_params", "params"))</f>
        <v/>
      </c>
      <c r="D37" s="5" t="str">
        <f>IF(B37="", "", C37 &amp; "!" &amp; CHAR(65+MATCH(B37, params!$B$2:$R$2, 0)))</f>
        <v/>
      </c>
      <c r="E37" s="5" t="str">
        <f ca="1">IF(B37="", "", COUNTA(INDIRECT(D37 &amp; 3):INDIRECT(D37 &amp; 24)))</f>
        <v/>
      </c>
      <c r="F37" s="5" t="str">
        <f t="shared" si="2"/>
        <v/>
      </c>
      <c r="G37" s="5" t="str">
        <f>IF(F37="", "", IF(B37&lt;&gt;"", MATCH(B37, params!$B$2:$R$2, 0), G36))</f>
        <v/>
      </c>
      <c r="H37" s="5" t="str">
        <f t="shared" ca="1" si="1"/>
        <v/>
      </c>
      <c r="I37" s="2"/>
      <c r="J37" s="2"/>
      <c r="K37" s="2"/>
      <c r="L37" s="2"/>
      <c r="M37" s="2"/>
    </row>
    <row r="38" spans="1:13" ht="15.6" x14ac:dyDescent="0.3">
      <c r="A38" s="2"/>
      <c r="B38" s="5" t="str">
        <f>IF(COUNTIF(data_val!$E$3:$E$5, sample_log!$E38), sample_log!$C38 &amp; "_" &amp; sample_log!$D38, "")</f>
        <v/>
      </c>
      <c r="C38" s="5" t="str">
        <f>IF(B38="", IF(F38="", "", C37), IF(sample_log!E38="Triennial SASS", "tri_params", "params"))</f>
        <v/>
      </c>
      <c r="D38" s="5" t="str">
        <f>IF(B38="", "", C38 &amp; "!" &amp; CHAR(65+MATCH(B38, params!$B$2:$R$2, 0)))</f>
        <v/>
      </c>
      <c r="E38" s="5" t="str">
        <f ca="1">IF(B38="", "", COUNTA(INDIRECT(D38 &amp; 3):INDIRECT(D38 &amp; 24)))</f>
        <v/>
      </c>
      <c r="F38" s="5" t="str">
        <f t="shared" si="2"/>
        <v/>
      </c>
      <c r="G38" s="5" t="str">
        <f>IF(F38="", "", IF(B38&lt;&gt;"", MATCH(B38, params!$B$2:$R$2, 0), G37))</f>
        <v/>
      </c>
      <c r="H38" s="5" t="str">
        <f t="shared" ca="1" si="1"/>
        <v/>
      </c>
      <c r="I38" s="2"/>
      <c r="J38" s="2"/>
      <c r="K38" s="2"/>
      <c r="L38" s="2"/>
      <c r="M38" s="2"/>
    </row>
    <row r="39" spans="1:13" ht="15.6" x14ac:dyDescent="0.3">
      <c r="A39" s="2"/>
      <c r="B39" s="5" t="str">
        <f>IF(COUNTIF(data_val!$E$3:$E$5, sample_log!$E39), sample_log!$C39 &amp; "_" &amp; sample_log!$D39, "")</f>
        <v/>
      </c>
      <c r="C39" s="5" t="str">
        <f>IF(B39="", IF(F39="", "", C38), IF(sample_log!E39="Triennial SASS", "tri_params", "params"))</f>
        <v/>
      </c>
      <c r="D39" s="5" t="str">
        <f>IF(B39="", "", C39 &amp; "!" &amp; CHAR(65+MATCH(B39, params!$B$2:$R$2, 0)))</f>
        <v/>
      </c>
      <c r="E39" s="5" t="str">
        <f ca="1">IF(B39="", "", COUNTA(INDIRECT(D39 &amp; 3):INDIRECT(D39 &amp; 24)))</f>
        <v/>
      </c>
      <c r="F39" s="5" t="str">
        <f t="shared" si="2"/>
        <v/>
      </c>
      <c r="G39" s="5" t="str">
        <f>IF(F39="", "", IF(B39&lt;&gt;"", MATCH(B39, params!$B$2:$R$2, 0), G38))</f>
        <v/>
      </c>
      <c r="H39" s="5" t="str">
        <f t="shared" ca="1" si="1"/>
        <v/>
      </c>
      <c r="I39" s="2"/>
      <c r="J39" s="2"/>
      <c r="K39" s="2"/>
      <c r="L39" s="2"/>
      <c r="M39" s="2"/>
    </row>
    <row r="40" spans="1:13" ht="15.6" x14ac:dyDescent="0.3">
      <c r="A40" s="2"/>
      <c r="B40" s="5" t="str">
        <f>IF(COUNTIF(data_val!$E$3:$E$5, sample_log!$E40), sample_log!$C40 &amp; "_" &amp; sample_log!$D40, "")</f>
        <v/>
      </c>
      <c r="C40" s="5" t="str">
        <f>IF(B40="", IF(F40="", "", C39), IF(sample_log!E40="Triennial SASS", "tri_params", "params"))</f>
        <v/>
      </c>
      <c r="D40" s="5" t="str">
        <f>IF(B40="", "", C40 &amp; "!" &amp; CHAR(65+MATCH(B40, params!$B$2:$R$2, 0)))</f>
        <v/>
      </c>
      <c r="E40" s="5" t="str">
        <f ca="1">IF(B40="", "", COUNTA(INDIRECT(D40 &amp; 3):INDIRECT(D40 &amp; 24)))</f>
        <v/>
      </c>
      <c r="F40" s="5" t="str">
        <f t="shared" si="2"/>
        <v/>
      </c>
      <c r="G40" s="5" t="str">
        <f>IF(F40="", "", IF(B40&lt;&gt;"", MATCH(B40, params!$B$2:$R$2, 0), G39))</f>
        <v/>
      </c>
      <c r="H40" s="5" t="str">
        <f t="shared" ca="1" si="1"/>
        <v/>
      </c>
      <c r="I40" s="2"/>
      <c r="J40" s="2"/>
      <c r="K40" s="2"/>
      <c r="L40" s="2"/>
      <c r="M40" s="2"/>
    </row>
    <row r="41" spans="1:13" ht="15.6" x14ac:dyDescent="0.3">
      <c r="A41" s="2"/>
      <c r="B41" s="5" t="str">
        <f>IF(COUNTIF(data_val!$E$3:$E$5, sample_log!$E41), sample_log!$C41 &amp; "_" &amp; sample_log!$D41, "")</f>
        <v/>
      </c>
      <c r="C41" s="5" t="str">
        <f>IF(B41="", IF(F41="", "", C40), IF(sample_log!E41="Triennial SASS", "tri_params", "params"))</f>
        <v/>
      </c>
      <c r="D41" s="5" t="str">
        <f>IF(B41="", "", C41 &amp; "!" &amp; CHAR(65+MATCH(B41, params!$B$2:$R$2, 0)))</f>
        <v/>
      </c>
      <c r="E41" s="5" t="str">
        <f ca="1">IF(B41="", "", COUNTA(INDIRECT(D41 &amp; 3):INDIRECT(D41 &amp; 24)))</f>
        <v/>
      </c>
      <c r="F41" s="5" t="str">
        <f t="shared" si="2"/>
        <v/>
      </c>
      <c r="G41" s="5" t="str">
        <f>IF(F41="", "", IF(B41&lt;&gt;"", MATCH(B41, params!$B$2:$R$2, 0), G40))</f>
        <v/>
      </c>
      <c r="H41" s="5" t="str">
        <f t="shared" ca="1" si="1"/>
        <v/>
      </c>
      <c r="I41" s="2"/>
      <c r="J41" s="2"/>
      <c r="K41" s="2"/>
      <c r="L41" s="2"/>
      <c r="M41" s="2"/>
    </row>
    <row r="42" spans="1:13" ht="15.6" x14ac:dyDescent="0.3">
      <c r="A42" s="2"/>
      <c r="B42" s="5" t="str">
        <f>IF(COUNTIF(data_val!$E$3:$E$5, sample_log!$E42), sample_log!$C42 &amp; "_" &amp; sample_log!$D42, "")</f>
        <v/>
      </c>
      <c r="C42" s="5" t="str">
        <f>IF(B42="", IF(F42="", "", C41), IF(sample_log!E42="Triennial SASS", "tri_params", "params"))</f>
        <v/>
      </c>
      <c r="D42" s="5" t="str">
        <f>IF(B42="", "", C42 &amp; "!" &amp; CHAR(65+MATCH(B42, params!$B$2:$R$2, 0)))</f>
        <v/>
      </c>
      <c r="E42" s="5" t="str">
        <f ca="1">IF(B42="", "", COUNTA(INDIRECT(D42 &amp; 3):INDIRECT(D42 &amp; 24)))</f>
        <v/>
      </c>
      <c r="F42" s="5" t="str">
        <f t="shared" si="2"/>
        <v/>
      </c>
      <c r="G42" s="5" t="str">
        <f>IF(F42="", "", IF(B42&lt;&gt;"", MATCH(B42, params!$B$2:$R$2, 0), G41))</f>
        <v/>
      </c>
      <c r="H42" s="5" t="str">
        <f t="shared" ca="1" si="1"/>
        <v/>
      </c>
      <c r="I42" s="2"/>
      <c r="J42" s="2"/>
      <c r="K42" s="2"/>
      <c r="L42" s="2"/>
      <c r="M42" s="2"/>
    </row>
    <row r="43" spans="1:13" ht="15.6" x14ac:dyDescent="0.3">
      <c r="A43" s="2"/>
      <c r="B43" s="5" t="str">
        <f>IF(COUNTIF(data_val!$E$3:$E$5, sample_log!$E43), sample_log!$C43 &amp; "_" &amp; sample_log!$D43, "")</f>
        <v/>
      </c>
      <c r="C43" s="5" t="str">
        <f>IF(B43="", IF(F43="", "", C42), IF(sample_log!E43="Triennial SASS", "tri_params", "params"))</f>
        <v/>
      </c>
      <c r="D43" s="5" t="str">
        <f>IF(B43="", "", C43 &amp; "!" &amp; CHAR(65+MATCH(B43, params!$B$2:$R$2, 0)))</f>
        <v/>
      </c>
      <c r="E43" s="5" t="str">
        <f ca="1">IF(B43="", "", COUNTA(INDIRECT(D43 &amp; 3):INDIRECT(D43 &amp; 24)))</f>
        <v/>
      </c>
      <c r="F43" s="5" t="str">
        <f t="shared" si="2"/>
        <v/>
      </c>
      <c r="G43" s="5" t="str">
        <f>IF(F43="", "", IF(B43&lt;&gt;"", MATCH(B43, params!$B$2:$R$2, 0), G42))</f>
        <v/>
      </c>
      <c r="H43" s="5" t="str">
        <f t="shared" ca="1" si="1"/>
        <v/>
      </c>
      <c r="I43" s="2"/>
      <c r="J43" s="2"/>
      <c r="K43" s="2"/>
      <c r="L43" s="2"/>
      <c r="M43" s="2"/>
    </row>
    <row r="44" spans="1:13" ht="15.6" x14ac:dyDescent="0.3">
      <c r="A44" s="2"/>
      <c r="B44" s="5" t="str">
        <f>IF(COUNTIF(data_val!$E$3:$E$5, sample_log!$E44), sample_log!$C44 &amp; "_" &amp; sample_log!$D44, "")</f>
        <v/>
      </c>
      <c r="C44" s="5" t="str">
        <f>IF(B44="", IF(F44="", "", C43), IF(sample_log!E44="Triennial SASS", "tri_params", "params"))</f>
        <v/>
      </c>
      <c r="D44" s="5" t="str">
        <f>IF(B44="", "", C44 &amp; "!" &amp; CHAR(65+MATCH(B44, params!$B$2:$R$2, 0)))</f>
        <v/>
      </c>
      <c r="E44" s="5" t="str">
        <f ca="1">IF(B44="", "", COUNTA(INDIRECT(D44 &amp; 3):INDIRECT(D44 &amp; 24)))</f>
        <v/>
      </c>
      <c r="F44" s="5" t="str">
        <f t="shared" si="2"/>
        <v/>
      </c>
      <c r="G44" s="5" t="str">
        <f>IF(F44="", "", IF(B44&lt;&gt;"", MATCH(B44, params!$B$2:$R$2, 0), G43))</f>
        <v/>
      </c>
      <c r="H44" s="5" t="str">
        <f t="shared" ca="1" si="1"/>
        <v/>
      </c>
      <c r="I44" s="2"/>
      <c r="J44" s="2"/>
      <c r="K44" s="2"/>
      <c r="L44" s="2"/>
      <c r="M44" s="2"/>
    </row>
    <row r="45" spans="1:13" ht="15.6" x14ac:dyDescent="0.3">
      <c r="A45" s="2"/>
      <c r="B45" s="5" t="str">
        <f>IF(COUNTIF(data_val!$E$3:$E$5, sample_log!$E45), sample_log!$C45 &amp; "_" &amp; sample_log!$D45, "")</f>
        <v/>
      </c>
      <c r="C45" s="5" t="str">
        <f>IF(B45="", IF(F45="", "", C44), IF(sample_log!E45="Triennial SASS", "tri_params", "params"))</f>
        <v/>
      </c>
      <c r="D45" s="5" t="str">
        <f>IF(B45="", "", C45 &amp; "!" &amp; CHAR(65+MATCH(B45, params!$B$2:$R$2, 0)))</f>
        <v/>
      </c>
      <c r="E45" s="5" t="str">
        <f ca="1">IF(B45="", "", COUNTA(INDIRECT(D45 &amp; 3):INDIRECT(D45 &amp; 24)))</f>
        <v/>
      </c>
      <c r="F45" s="5" t="str">
        <f t="shared" si="2"/>
        <v/>
      </c>
      <c r="G45" s="5" t="str">
        <f>IF(F45="", "", IF(B45&lt;&gt;"", MATCH(B45, params!$B$2:$R$2, 0), G44))</f>
        <v/>
      </c>
      <c r="H45" s="5" t="str">
        <f t="shared" ca="1" si="1"/>
        <v/>
      </c>
      <c r="I45" s="2"/>
      <c r="J45" s="2"/>
      <c r="K45" s="2"/>
      <c r="L45" s="2"/>
      <c r="M45" s="2"/>
    </row>
    <row r="46" spans="1:13" ht="15.6" x14ac:dyDescent="0.3">
      <c r="A46" s="2"/>
      <c r="B46" s="5" t="str">
        <f>IF(COUNTIF(data_val!$E$3:$E$5, sample_log!$E46), sample_log!$C46 &amp; "_" &amp; sample_log!$D46, "")</f>
        <v/>
      </c>
      <c r="C46" s="5" t="str">
        <f>IF(B46="", IF(F46="", "", C45), IF(sample_log!E46="Triennial SASS", "tri_params", "params"))</f>
        <v/>
      </c>
      <c r="D46" s="5" t="str">
        <f>IF(B46="", "", C46 &amp; "!" &amp; CHAR(65+MATCH(B46, params!$B$2:$R$2, 0)))</f>
        <v/>
      </c>
      <c r="E46" s="5" t="str">
        <f ca="1">IF(B46="", "", COUNTA(INDIRECT(D46 &amp; 3):INDIRECT(D46 &amp; 24)))</f>
        <v/>
      </c>
      <c r="F46" s="5" t="str">
        <f t="shared" si="2"/>
        <v/>
      </c>
      <c r="G46" s="5" t="str">
        <f>IF(F46="", "", IF(B46&lt;&gt;"", MATCH(B46, params!$B$2:$R$2, 0), G45))</f>
        <v/>
      </c>
      <c r="H46" s="5" t="str">
        <f t="shared" ca="1" si="1"/>
        <v/>
      </c>
      <c r="I46" s="2"/>
      <c r="J46" s="2"/>
      <c r="K46" s="2"/>
      <c r="L46" s="2"/>
      <c r="M46" s="2"/>
    </row>
    <row r="47" spans="1:13" ht="15.6" x14ac:dyDescent="0.3">
      <c r="A47" s="2"/>
      <c r="B47" s="5" t="str">
        <f>IF(COUNTIF(data_val!$E$3:$E$5, sample_log!$E47), sample_log!$C47 &amp; "_" &amp; sample_log!$D47, "")</f>
        <v/>
      </c>
      <c r="C47" s="5" t="str">
        <f>IF(B47="", IF(F47="", "", C46), IF(sample_log!E47="Triennial SASS", "tri_params", "params"))</f>
        <v/>
      </c>
      <c r="D47" s="5" t="str">
        <f>IF(B47="", "", C47 &amp; "!" &amp; CHAR(65+MATCH(B47, params!$B$2:$R$2, 0)))</f>
        <v/>
      </c>
      <c r="E47" s="5" t="str">
        <f ca="1">IF(B47="", "", COUNTA(INDIRECT(D47 &amp; 3):INDIRECT(D47 &amp; 24)))</f>
        <v/>
      </c>
      <c r="F47" s="5" t="str">
        <f t="shared" si="2"/>
        <v/>
      </c>
      <c r="G47" s="5" t="str">
        <f>IF(F47="", "", IF(B47&lt;&gt;"", MATCH(B47, params!$B$2:$R$2, 0), G46))</f>
        <v/>
      </c>
      <c r="H47" s="5" t="str">
        <f t="shared" ca="1" si="1"/>
        <v/>
      </c>
      <c r="I47" s="2"/>
      <c r="J47" s="2"/>
      <c r="K47" s="2"/>
      <c r="L47" s="2"/>
      <c r="M47" s="2"/>
    </row>
    <row r="48" spans="1:13" ht="15.6" x14ac:dyDescent="0.3">
      <c r="A48" s="2"/>
      <c r="B48" s="5" t="str">
        <f>IF(COUNTIF(data_val!$E$3:$E$5, sample_log!$E48), sample_log!$C48 &amp; "_" &amp; sample_log!$D48, "")</f>
        <v/>
      </c>
      <c r="C48" s="5" t="str">
        <f>IF(B48="", IF(F48="", "", C47), IF(sample_log!E48="Triennial SASS", "tri_params", "params"))</f>
        <v/>
      </c>
      <c r="D48" s="5" t="str">
        <f>IF(B48="", "", C48 &amp; "!" &amp; CHAR(65+MATCH(B48, params!$B$2:$R$2, 0)))</f>
        <v/>
      </c>
      <c r="E48" s="5" t="str">
        <f ca="1">IF(B48="", "", COUNTA(INDIRECT(D48 &amp; 3):INDIRECT(D48 &amp; 24)))</f>
        <v/>
      </c>
      <c r="F48" s="5" t="str">
        <f t="shared" si="2"/>
        <v/>
      </c>
      <c r="G48" s="5" t="str">
        <f>IF(F48="", "", IF(B48&lt;&gt;"", MATCH(B48, params!$B$2:$R$2, 0), G47))</f>
        <v/>
      </c>
      <c r="H48" s="5" t="str">
        <f t="shared" ca="1" si="1"/>
        <v/>
      </c>
      <c r="I48" s="2"/>
      <c r="J48" s="2"/>
      <c r="K48" s="2"/>
      <c r="L48" s="2"/>
      <c r="M48" s="2"/>
    </row>
    <row r="49" spans="1:13" ht="15.6" x14ac:dyDescent="0.3">
      <c r="A49" s="2"/>
      <c r="B49" s="5" t="str">
        <f>IF(COUNTIF(data_val!$E$3:$E$5, sample_log!$E49), sample_log!$C49 &amp; "_" &amp; sample_log!$D49, "")</f>
        <v/>
      </c>
      <c r="C49" s="5" t="str">
        <f>IF(B49="", IF(F49="", "", C48), IF(sample_log!E49="Triennial SASS", "tri_params", "params"))</f>
        <v/>
      </c>
      <c r="D49" s="5" t="str">
        <f>IF(B49="", "", C49 &amp; "!" &amp; CHAR(65+MATCH(B49, params!$B$2:$R$2, 0)))</f>
        <v/>
      </c>
      <c r="E49" s="5" t="str">
        <f ca="1">IF(B49="", "", COUNTA(INDIRECT(D49 &amp; 3):INDIRECT(D49 &amp; 24)))</f>
        <v/>
      </c>
      <c r="F49" s="5" t="str">
        <f t="shared" si="2"/>
        <v/>
      </c>
      <c r="G49" s="5" t="str">
        <f>IF(F49="", "", IF(B49&lt;&gt;"", MATCH(B49, params!$B$2:$R$2, 0), G48))</f>
        <v/>
      </c>
      <c r="H49" s="5" t="str">
        <f t="shared" ca="1" si="1"/>
        <v/>
      </c>
      <c r="I49" s="2"/>
      <c r="J49" s="2"/>
      <c r="K49" s="2"/>
      <c r="L49" s="2"/>
      <c r="M49" s="2"/>
    </row>
    <row r="50" spans="1:13" ht="15.6" x14ac:dyDescent="0.3">
      <c r="A50" s="2"/>
      <c r="B50" s="5" t="str">
        <f>IF(COUNTIF(data_val!$E$3:$E$5, sample_log!$E50), sample_log!$C50 &amp; "_" &amp; sample_log!$D50, "")</f>
        <v/>
      </c>
      <c r="C50" s="5" t="str">
        <f>IF(B50="", IF(F50="", "", C49), IF(sample_log!E50="Triennial SASS", "tri_params", "params"))</f>
        <v/>
      </c>
      <c r="D50" s="5" t="str">
        <f>IF(B50="", "", C50 &amp; "!" &amp; CHAR(65+MATCH(B50, params!$B$2:$R$2, 0)))</f>
        <v/>
      </c>
      <c r="E50" s="5" t="str">
        <f ca="1">IF(B50="", "", COUNTA(INDIRECT(D50 &amp; 3):INDIRECT(D50 &amp; 24)))</f>
        <v/>
      </c>
      <c r="F50" s="5" t="str">
        <f t="shared" si="2"/>
        <v/>
      </c>
      <c r="G50" s="5" t="str">
        <f>IF(F50="", "", IF(B50&lt;&gt;"", MATCH(B50, params!$B$2:$R$2, 0), G49))</f>
        <v/>
      </c>
      <c r="H50" s="5" t="str">
        <f t="shared" ca="1" si="1"/>
        <v/>
      </c>
      <c r="I50" s="2"/>
      <c r="J50" s="2"/>
      <c r="K50" s="2"/>
      <c r="L50" s="2"/>
      <c r="M50" s="2"/>
    </row>
    <row r="51" spans="1:13" ht="15.6" x14ac:dyDescent="0.3">
      <c r="A51" s="2"/>
      <c r="B51" s="5" t="str">
        <f>IF(COUNTIF(data_val!$E$3:$E$5, sample_log!$E51), sample_log!$C51 &amp; "_" &amp; sample_log!$D51, "")</f>
        <v/>
      </c>
      <c r="C51" s="5" t="str">
        <f>IF(B51="", IF(F51="", "", C50), IF(sample_log!E51="Triennial SASS", "tri_params", "params"))</f>
        <v/>
      </c>
      <c r="D51" s="5" t="str">
        <f>IF(B51="", "", C51 &amp; "!" &amp; CHAR(65+MATCH(B51, params!$B$2:$R$2, 0)))</f>
        <v/>
      </c>
      <c r="E51" s="5" t="str">
        <f ca="1">IF(B51="", "", COUNTA(INDIRECT(D51 &amp; 3):INDIRECT(D51 &amp; 24)))</f>
        <v/>
      </c>
      <c r="F51" s="5" t="str">
        <f t="shared" si="2"/>
        <v/>
      </c>
      <c r="G51" s="5" t="str">
        <f>IF(F51="", "", IF(B51&lt;&gt;"", MATCH(B51, params!$B$2:$R$2, 0), G50))</f>
        <v/>
      </c>
      <c r="H51" s="5" t="str">
        <f t="shared" ca="1" si="1"/>
        <v/>
      </c>
      <c r="I51" s="2"/>
      <c r="J51" s="2"/>
      <c r="K51" s="2"/>
      <c r="L51" s="2"/>
      <c r="M51" s="2"/>
    </row>
    <row r="52" spans="1:13" ht="15.6" x14ac:dyDescent="0.3">
      <c r="A52" s="2"/>
      <c r="B52" s="5" t="str">
        <f>IF(COUNTIF(data_val!$E$3:$E$5, sample_log!$E52), sample_log!$C52 &amp; "_" &amp; sample_log!$D52, "")</f>
        <v/>
      </c>
      <c r="C52" s="5" t="str">
        <f>IF(B52="", IF(F52="", "", C51), IF(sample_log!E52="Triennial SASS", "tri_params", "params"))</f>
        <v/>
      </c>
      <c r="D52" s="5" t="str">
        <f>IF(B52="", "", C52 &amp; "!" &amp; CHAR(65+MATCH(B52, params!$B$2:$R$2, 0)))</f>
        <v/>
      </c>
      <c r="E52" s="5" t="str">
        <f ca="1">IF(B52="", "", COUNTA(INDIRECT(D52 &amp; 3):INDIRECT(D52 &amp; 24)))</f>
        <v/>
      </c>
      <c r="F52" s="5" t="str">
        <f t="shared" si="2"/>
        <v/>
      </c>
      <c r="G52" s="5" t="str">
        <f>IF(F52="", "", IF(B52&lt;&gt;"", MATCH(B52, params!$B$2:$R$2, 0), G51))</f>
        <v/>
      </c>
      <c r="H52" s="5" t="str">
        <f t="shared" ca="1" si="1"/>
        <v/>
      </c>
      <c r="I52" s="2"/>
      <c r="J52" s="2"/>
      <c r="K52" s="2"/>
      <c r="L52" s="2"/>
      <c r="M52" s="2"/>
    </row>
    <row r="53" spans="1:13" ht="15.6" x14ac:dyDescent="0.3">
      <c r="A53" s="2"/>
      <c r="B53" s="5" t="str">
        <f>IF(COUNTIF(data_val!$E$3:$E$5, sample_log!$E53), sample_log!$C53 &amp; "_" &amp; sample_log!$D53, "")</f>
        <v/>
      </c>
      <c r="C53" s="5" t="str">
        <f>IF(B53="", IF(F53="", "", C52), IF(sample_log!E53="Triennial SASS", "tri_params", "params"))</f>
        <v/>
      </c>
      <c r="D53" s="5" t="str">
        <f>IF(B53="", "", C53 &amp; "!" &amp; CHAR(65+MATCH(B53, params!$B$2:$R$2, 0)))</f>
        <v/>
      </c>
      <c r="E53" s="5" t="str">
        <f ca="1">IF(B53="", "", COUNTA(INDIRECT(D53 &amp; 3):INDIRECT(D53 &amp; 24)))</f>
        <v/>
      </c>
      <c r="F53" s="5" t="str">
        <f t="shared" si="2"/>
        <v/>
      </c>
      <c r="G53" s="5" t="str">
        <f>IF(F53="", "", IF(B53&lt;&gt;"", MATCH(B53, params!$B$2:$R$2, 0), G52))</f>
        <v/>
      </c>
      <c r="H53" s="5" t="str">
        <f t="shared" ca="1" si="1"/>
        <v/>
      </c>
      <c r="I53" s="2"/>
      <c r="J53" s="2"/>
      <c r="K53" s="2"/>
      <c r="L53" s="2"/>
      <c r="M53" s="2"/>
    </row>
    <row r="54" spans="1:13" ht="15.6" x14ac:dyDescent="0.3">
      <c r="A54" s="2"/>
      <c r="B54" s="5" t="str">
        <f>IF(COUNTIF(data_val!$E$3:$E$5, sample_log!$E54), sample_log!$C54 &amp; "_" &amp; sample_log!$D54, "")</f>
        <v/>
      </c>
      <c r="C54" s="5" t="str">
        <f>IF(B54="", IF(F54="", "", C53), IF(sample_log!E54="Triennial SASS", "tri_params", "params"))</f>
        <v/>
      </c>
      <c r="D54" s="5" t="str">
        <f>IF(B54="", "", C54 &amp; "!" &amp; CHAR(65+MATCH(B54, params!$B$2:$R$2, 0)))</f>
        <v/>
      </c>
      <c r="E54" s="5" t="str">
        <f ca="1">IF(B54="", "", COUNTA(INDIRECT(D54 &amp; 3):INDIRECT(D54 &amp; 24)))</f>
        <v/>
      </c>
      <c r="F54" s="5" t="str">
        <f t="shared" si="2"/>
        <v/>
      </c>
      <c r="G54" s="5" t="str">
        <f>IF(F54="", "", IF(B54&lt;&gt;"", MATCH(B54, params!$B$2:$R$2, 0), G53))</f>
        <v/>
      </c>
      <c r="H54" s="5" t="str">
        <f t="shared" ca="1" si="1"/>
        <v/>
      </c>
      <c r="I54" s="2"/>
      <c r="J54" s="2"/>
      <c r="K54" s="2"/>
      <c r="L54" s="2"/>
      <c r="M54" s="2"/>
    </row>
    <row r="55" spans="1:13" ht="15.6" x14ac:dyDescent="0.3">
      <c r="A55" s="2"/>
      <c r="B55" s="5" t="str">
        <f>IF(COUNTIF(data_val!$E$3:$E$5, sample_log!$E55), sample_log!$C55 &amp; "_" &amp; sample_log!$D55, "")</f>
        <v/>
      </c>
      <c r="C55" s="5" t="str">
        <f>IF(B55="", IF(F55="", "", C54), IF(sample_log!E55="Triennial SASS", "tri_params", "params"))</f>
        <v/>
      </c>
      <c r="D55" s="5" t="str">
        <f>IF(B55="", "", C55 &amp; "!" &amp; CHAR(65+MATCH(B55, params!$B$2:$R$2, 0)))</f>
        <v/>
      </c>
      <c r="E55" s="5" t="str">
        <f ca="1">IF(B55="", "", COUNTA(INDIRECT(D55 &amp; 3):INDIRECT(D55 &amp; 24)))</f>
        <v/>
      </c>
      <c r="F55" s="5" t="str">
        <f t="shared" si="2"/>
        <v/>
      </c>
      <c r="G55" s="5" t="str">
        <f>IF(F55="", "", IF(B55&lt;&gt;"", MATCH(B55, params!$B$2:$R$2, 0), G54))</f>
        <v/>
      </c>
      <c r="H55" s="5" t="str">
        <f t="shared" ca="1" si="1"/>
        <v/>
      </c>
      <c r="I55" s="2"/>
      <c r="J55" s="2"/>
      <c r="K55" s="2"/>
      <c r="L55" s="2"/>
      <c r="M55" s="2"/>
    </row>
    <row r="56" spans="1:13" ht="15.6" x14ac:dyDescent="0.3">
      <c r="A56" s="2"/>
      <c r="B56" s="5" t="str">
        <f>IF(COUNTIF(data_val!$E$3:$E$5, sample_log!$E56), sample_log!$C56 &amp; "_" &amp; sample_log!$D56, "")</f>
        <v/>
      </c>
      <c r="C56" s="5" t="str">
        <f>IF(B56="", IF(F56="", "", C55), IF(sample_log!E56="Triennial SASS", "tri_params", "params"))</f>
        <v/>
      </c>
      <c r="D56" s="5" t="str">
        <f>IF(B56="", "", C56 &amp; "!" &amp; CHAR(65+MATCH(B56, params!$B$2:$R$2, 0)))</f>
        <v/>
      </c>
      <c r="E56" s="5" t="str">
        <f ca="1">IF(B56="", "", COUNTA(INDIRECT(D56 &amp; 3):INDIRECT(D56 &amp; 24)))</f>
        <v/>
      </c>
      <c r="F56" s="5" t="str">
        <f t="shared" si="2"/>
        <v/>
      </c>
      <c r="G56" s="5" t="str">
        <f>IF(F56="", "", IF(B56&lt;&gt;"", MATCH(B56, params!$B$2:$R$2, 0), G55))</f>
        <v/>
      </c>
      <c r="H56" s="5" t="str">
        <f t="shared" ca="1" si="1"/>
        <v/>
      </c>
      <c r="I56" s="2"/>
      <c r="J56" s="2"/>
      <c r="K56" s="2"/>
      <c r="L56" s="2"/>
      <c r="M56" s="2"/>
    </row>
    <row r="57" spans="1:13" ht="15.6" x14ac:dyDescent="0.3">
      <c r="A57" s="2"/>
      <c r="B57" s="5" t="str">
        <f>IF(COUNTIF(data_val!$E$3:$E$5, sample_log!$E57), sample_log!$C57 &amp; "_" &amp; sample_log!$D57, "")</f>
        <v/>
      </c>
      <c r="C57" s="5" t="str">
        <f>IF(B57="", IF(F57="", "", C56), IF(sample_log!E57="Triennial SASS", "tri_params", "params"))</f>
        <v/>
      </c>
      <c r="D57" s="5" t="str">
        <f>IF(B57="", "", C57 &amp; "!" &amp; CHAR(65+MATCH(B57, params!$B$2:$R$2, 0)))</f>
        <v/>
      </c>
      <c r="E57" s="5" t="str">
        <f ca="1">IF(B57="", "", COUNTA(INDIRECT(D57 &amp; 3):INDIRECT(D57 &amp; 24)))</f>
        <v/>
      </c>
      <c r="F57" s="5" t="str">
        <f t="shared" si="2"/>
        <v/>
      </c>
      <c r="G57" s="5" t="str">
        <f>IF(F57="", "", IF(B57&lt;&gt;"", MATCH(B57, params!$B$2:$R$2, 0), G56))</f>
        <v/>
      </c>
      <c r="H57" s="5" t="str">
        <f t="shared" ca="1" si="1"/>
        <v/>
      </c>
      <c r="I57" s="2"/>
      <c r="J57" s="2"/>
      <c r="K57" s="2"/>
      <c r="L57" s="2"/>
      <c r="M57" s="2"/>
    </row>
    <row r="58" spans="1:13" ht="15.6" x14ac:dyDescent="0.3">
      <c r="A58" s="2"/>
      <c r="B58" s="5" t="str">
        <f>IF(COUNTIF(data_val!$E$3:$E$5, sample_log!$E58), sample_log!$C58 &amp; "_" &amp; sample_log!$D58, "")</f>
        <v/>
      </c>
      <c r="C58" s="5" t="str">
        <f>IF(B58="", IF(F58="", "", C57), IF(sample_log!E58="Triennial SASS", "tri_params", "params"))</f>
        <v/>
      </c>
      <c r="D58" s="5" t="str">
        <f>IF(B58="", "", C58 &amp; "!" &amp; CHAR(65+MATCH(B58, params!$B$2:$R$2, 0)))</f>
        <v/>
      </c>
      <c r="E58" s="5" t="str">
        <f ca="1">IF(B58="", "", COUNTA(INDIRECT(D58 &amp; 3):INDIRECT(D58 &amp; 24)))</f>
        <v/>
      </c>
      <c r="F58" s="5" t="str">
        <f t="shared" si="2"/>
        <v/>
      </c>
      <c r="G58" s="5" t="str">
        <f>IF(F58="", "", IF(B58&lt;&gt;"", MATCH(B58, params!$B$2:$R$2, 0), G57))</f>
        <v/>
      </c>
      <c r="H58" s="5" t="str">
        <f t="shared" ca="1" si="1"/>
        <v/>
      </c>
      <c r="I58" s="2"/>
      <c r="J58" s="2"/>
      <c r="K58" s="2"/>
      <c r="L58" s="2"/>
      <c r="M58" s="2"/>
    </row>
    <row r="59" spans="1:13" ht="15.6" x14ac:dyDescent="0.3">
      <c r="A59" s="2"/>
      <c r="B59" s="5" t="str">
        <f>IF(COUNTIF(data_val!$E$3:$E$5, sample_log!$E59), sample_log!$C59 &amp; "_" &amp; sample_log!$D59, "")</f>
        <v/>
      </c>
      <c r="C59" s="5" t="str">
        <f>IF(B59="", IF(F59="", "", C58), IF(sample_log!E59="Triennial SASS", "tri_params", "params"))</f>
        <v/>
      </c>
      <c r="D59" s="5" t="str">
        <f>IF(B59="", "", C59 &amp; "!" &amp; CHAR(65+MATCH(B59, params!$B$2:$R$2, 0)))</f>
        <v/>
      </c>
      <c r="E59" s="5" t="str">
        <f ca="1">IF(B59="", "", COUNTA(INDIRECT(D59 &amp; 3):INDIRECT(D59 &amp; 24)))</f>
        <v/>
      </c>
      <c r="F59" s="5" t="str">
        <f t="shared" si="2"/>
        <v/>
      </c>
      <c r="G59" s="5" t="str">
        <f>IF(F59="", "", IF(B59&lt;&gt;"", MATCH(B59, params!$B$2:$R$2, 0), G58))</f>
        <v/>
      </c>
      <c r="H59" s="5" t="str">
        <f t="shared" ca="1" si="1"/>
        <v/>
      </c>
      <c r="I59" s="2"/>
      <c r="J59" s="2"/>
      <c r="K59" s="2"/>
      <c r="L59" s="2"/>
      <c r="M59" s="2"/>
    </row>
    <row r="60" spans="1:13" ht="15.6" x14ac:dyDescent="0.3">
      <c r="A60" s="2"/>
      <c r="B60" s="5" t="str">
        <f>IF(COUNTIF(data_val!$E$3:$E$5, sample_log!$E60), sample_log!$C60 &amp; "_" &amp; sample_log!$D60, "")</f>
        <v/>
      </c>
      <c r="C60" s="5" t="str">
        <f>IF(B60="", IF(F60="", "", C59), IF(sample_log!E60="Triennial SASS", "tri_params", "params"))</f>
        <v/>
      </c>
      <c r="D60" s="5" t="str">
        <f>IF(B60="", "", C60 &amp; "!" &amp; CHAR(65+MATCH(B60, params!$B$2:$R$2, 0)))</f>
        <v/>
      </c>
      <c r="E60" s="5" t="str">
        <f ca="1">IF(B60="", "", COUNTA(INDIRECT(D60 &amp; 3):INDIRECT(D60 &amp; 24)))</f>
        <v/>
      </c>
      <c r="F60" s="5" t="str">
        <f t="shared" si="2"/>
        <v/>
      </c>
      <c r="G60" s="5" t="str">
        <f>IF(F60="", "", IF(B60&lt;&gt;"", MATCH(B60, params!$B$2:$R$2, 0), G59))</f>
        <v/>
      </c>
      <c r="H60" s="5" t="str">
        <f t="shared" ca="1" si="1"/>
        <v/>
      </c>
      <c r="I60" s="2"/>
      <c r="J60" s="2"/>
      <c r="K60" s="2"/>
      <c r="L60" s="2"/>
      <c r="M60" s="2"/>
    </row>
    <row r="61" spans="1:13" ht="15.6" x14ac:dyDescent="0.3">
      <c r="A61" s="2"/>
      <c r="B61" s="5" t="str">
        <f>IF(COUNTIF(data_val!$E$3:$E$5, sample_log!$E61), sample_log!$C61 &amp; "_" &amp; sample_log!$D61, "")</f>
        <v/>
      </c>
      <c r="C61" s="5" t="str">
        <f>IF(B61="", IF(F61="", "", C60), IF(sample_log!E61="Triennial SASS", "tri_params", "params"))</f>
        <v/>
      </c>
      <c r="D61" s="5" t="str">
        <f>IF(B61="", "", C61 &amp; "!" &amp; CHAR(65+MATCH(B61, params!$B$2:$R$2, 0)))</f>
        <v/>
      </c>
      <c r="E61" s="5" t="str">
        <f ca="1">IF(B61="", "", COUNTA(INDIRECT(D61 &amp; 3):INDIRECT(D61 &amp; 24)))</f>
        <v/>
      </c>
      <c r="F61" s="5" t="str">
        <f t="shared" si="2"/>
        <v/>
      </c>
      <c r="G61" s="5" t="str">
        <f>IF(F61="", "", IF(B61&lt;&gt;"", MATCH(B61, params!$B$2:$R$2, 0), G60))</f>
        <v/>
      </c>
      <c r="H61" s="5" t="str">
        <f t="shared" ca="1" si="1"/>
        <v/>
      </c>
      <c r="I61" s="2"/>
      <c r="J61" s="2"/>
      <c r="K61" s="2"/>
      <c r="L61" s="2"/>
      <c r="M61" s="2"/>
    </row>
    <row r="62" spans="1:13" ht="15.6" x14ac:dyDescent="0.3">
      <c r="A62" s="2"/>
      <c r="B62" s="5" t="str">
        <f>IF(COUNTIF(data_val!$E$3:$E$5, sample_log!$E62), sample_log!$C62 &amp; "_" &amp; sample_log!$D62, "")</f>
        <v/>
      </c>
      <c r="C62" s="5" t="str">
        <f>IF(B62="", IF(F62="", "", C61), IF(sample_log!E62="Triennial SASS", "tri_params", "params"))</f>
        <v/>
      </c>
      <c r="D62" s="5" t="str">
        <f>IF(B62="", "", C62 &amp; "!" &amp; CHAR(65+MATCH(B62, params!$B$2:$R$2, 0)))</f>
        <v/>
      </c>
      <c r="E62" s="5" t="str">
        <f ca="1">IF(B62="", "", COUNTA(INDIRECT(D62 &amp; 3):INDIRECT(D62 &amp; 24)))</f>
        <v/>
      </c>
      <c r="F62" s="5" t="str">
        <f t="shared" si="2"/>
        <v/>
      </c>
      <c r="G62" s="5" t="str">
        <f>IF(F62="", "", IF(B62&lt;&gt;"", MATCH(B62, params!$B$2:$R$2, 0), G61))</f>
        <v/>
      </c>
      <c r="H62" s="5" t="str">
        <f t="shared" ca="1" si="1"/>
        <v/>
      </c>
      <c r="I62" s="2"/>
      <c r="J62" s="2"/>
      <c r="K62" s="2"/>
      <c r="L62" s="2"/>
      <c r="M62" s="2"/>
    </row>
    <row r="63" spans="1:13" ht="15.6" x14ac:dyDescent="0.3">
      <c r="A63" s="2"/>
      <c r="B63" s="5" t="str">
        <f>IF(COUNTIF(data_val!$E$3:$E$5, sample_log!$E63), sample_log!$C63 &amp; "_" &amp; sample_log!$D63, "")</f>
        <v/>
      </c>
      <c r="C63" s="5" t="str">
        <f>IF(B63="", IF(F63="", "", C62), IF(sample_log!E63="Triennial SASS", "tri_params", "params"))</f>
        <v/>
      </c>
      <c r="D63" s="5" t="str">
        <f>IF(B63="", "", C63 &amp; "!" &amp; CHAR(65+MATCH(B63, params!$B$2:$R$2, 0)))</f>
        <v/>
      </c>
      <c r="E63" s="5" t="str">
        <f ca="1">IF(B63="", "", COUNTA(INDIRECT(D63 &amp; 3):INDIRECT(D63 &amp; 24)))</f>
        <v/>
      </c>
      <c r="F63" s="5" t="str">
        <f t="shared" si="2"/>
        <v/>
      </c>
      <c r="G63" s="5" t="str">
        <f>IF(F63="", "", IF(B63&lt;&gt;"", MATCH(B63, params!$B$2:$R$2, 0), G62))</f>
        <v/>
      </c>
      <c r="H63" s="5" t="str">
        <f t="shared" ca="1" si="1"/>
        <v/>
      </c>
      <c r="I63" s="2"/>
      <c r="J63" s="2"/>
      <c r="K63" s="2"/>
      <c r="L63" s="2"/>
      <c r="M63" s="2"/>
    </row>
    <row r="64" spans="1:13" ht="15.6" x14ac:dyDescent="0.3">
      <c r="A64" s="2"/>
      <c r="B64" s="5" t="str">
        <f>IF(COUNTIF(data_val!$E$3:$E$5, sample_log!$E64), sample_log!$C64 &amp; "_" &amp; sample_log!$D64, "")</f>
        <v/>
      </c>
      <c r="C64" s="5" t="str">
        <f>IF(B64="", IF(F64="", "", C63), IF(sample_log!E64="Triennial SASS", "tri_params", "params"))</f>
        <v/>
      </c>
      <c r="D64" s="5" t="str">
        <f>IF(B64="", "", C64 &amp; "!" &amp; CHAR(65+MATCH(B64, params!$B$2:$R$2, 0)))</f>
        <v/>
      </c>
      <c r="E64" s="5" t="str">
        <f ca="1">IF(B64="", "", COUNTA(INDIRECT(D64 &amp; 3):INDIRECT(D64 &amp; 24)))</f>
        <v/>
      </c>
      <c r="F64" s="5" t="str">
        <f t="shared" si="2"/>
        <v/>
      </c>
      <c r="G64" s="5" t="str">
        <f>IF(F64="", "", IF(B64&lt;&gt;"", MATCH(B64, params!$B$2:$R$2, 0), G63))</f>
        <v/>
      </c>
      <c r="H64" s="5" t="str">
        <f t="shared" ca="1" si="1"/>
        <v/>
      </c>
      <c r="I64" s="2"/>
      <c r="J64" s="2"/>
      <c r="K64" s="2"/>
      <c r="L64" s="2"/>
      <c r="M64" s="2"/>
    </row>
    <row r="65" spans="1:13" ht="15.6" x14ac:dyDescent="0.3">
      <c r="A65" s="2"/>
      <c r="B65" s="5" t="str">
        <f>IF(COUNTIF(data_val!$E$3:$E$5, sample_log!$E65), sample_log!$C65 &amp; "_" &amp; sample_log!$D65, "")</f>
        <v/>
      </c>
      <c r="C65" s="5" t="str">
        <f>IF(B65="", IF(F65="", "", C64), IF(sample_log!E65="Triennial SASS", "tri_params", "params"))</f>
        <v/>
      </c>
      <c r="D65" s="5" t="str">
        <f>IF(B65="", "", C65 &amp; "!" &amp; CHAR(65+MATCH(B65, params!$B$2:$R$2, 0)))</f>
        <v/>
      </c>
      <c r="E65" s="5" t="str">
        <f ca="1">IF(B65="", "", COUNTA(INDIRECT(D65 &amp; 3):INDIRECT(D65 &amp; 24)))</f>
        <v/>
      </c>
      <c r="F65" s="5" t="str">
        <f t="shared" si="2"/>
        <v/>
      </c>
      <c r="G65" s="5" t="str">
        <f>IF(F65="", "", IF(B65&lt;&gt;"", MATCH(B65, params!$B$2:$R$2, 0), G64))</f>
        <v/>
      </c>
      <c r="H65" s="5" t="str">
        <f t="shared" ca="1" si="1"/>
        <v/>
      </c>
      <c r="I65" s="2"/>
      <c r="J65" s="2"/>
      <c r="K65" s="2"/>
      <c r="L65" s="2"/>
      <c r="M65" s="2"/>
    </row>
    <row r="66" spans="1:13" ht="15.6" x14ac:dyDescent="0.3">
      <c r="A66" s="2"/>
      <c r="B66" s="5" t="str">
        <f>IF(COUNTIF(data_val!$E$3:$E$5, sample_log!$E66), sample_log!$C66 &amp; "_" &amp; sample_log!$D66, "")</f>
        <v/>
      </c>
      <c r="C66" s="5" t="str">
        <f>IF(B66="", IF(F66="", "", C65), IF(sample_log!E66="Triennial SASS", "tri_params", "params"))</f>
        <v/>
      </c>
      <c r="D66" s="5" t="str">
        <f>IF(B66="", "", C66 &amp; "!" &amp; CHAR(65+MATCH(B66, params!$B$2:$R$2, 0)))</f>
        <v/>
      </c>
      <c r="E66" s="5" t="str">
        <f ca="1">IF(B66="", "", COUNTA(INDIRECT(D66 &amp; 3):INDIRECT(D66 &amp; 24)))</f>
        <v/>
      </c>
      <c r="F66" s="5" t="str">
        <f t="shared" si="2"/>
        <v/>
      </c>
      <c r="G66" s="5" t="str">
        <f>IF(F66="", "", IF(B66&lt;&gt;"", MATCH(B66, params!$B$2:$R$2, 0), G65))</f>
        <v/>
      </c>
      <c r="H66" s="5" t="str">
        <f t="shared" ca="1" si="1"/>
        <v/>
      </c>
      <c r="I66" s="2"/>
      <c r="J66" s="2"/>
      <c r="K66" s="2"/>
      <c r="L66" s="2"/>
      <c r="M66" s="2"/>
    </row>
    <row r="67" spans="1:13" ht="15.6" x14ac:dyDescent="0.3">
      <c r="A67" s="2"/>
      <c r="B67" s="5" t="str">
        <f>IF(COUNTIF(data_val!$E$3:$E$5, sample_log!$E67), sample_log!$C67 &amp; "_" &amp; sample_log!$D67, "")</f>
        <v/>
      </c>
      <c r="C67" s="5" t="str">
        <f>IF(B67="", IF(F67="", "", C66), IF(sample_log!E67="Triennial SASS", "tri_params", "params"))</f>
        <v/>
      </c>
      <c r="D67" s="5" t="str">
        <f>IF(B67="", "", C67 &amp; "!" &amp; CHAR(65+MATCH(B67, params!$B$2:$R$2, 0)))</f>
        <v/>
      </c>
      <c r="E67" s="5" t="str">
        <f ca="1">IF(B67="", "", COUNTA(INDIRECT(D67 &amp; 3):INDIRECT(D67 &amp; 24)))</f>
        <v/>
      </c>
      <c r="F67" s="5" t="str">
        <f t="shared" ref="F67:F130" si="3">IF(B67="", IF(NOT(ISNUMBER(F66)), "", IF(F66-1&gt;0, F66-1, "")), E67)</f>
        <v/>
      </c>
      <c r="G67" s="5" t="str">
        <f>IF(F67="", "", IF(B67&lt;&gt;"", MATCH(B67, params!$B$2:$R$2, 0), G66))</f>
        <v/>
      </c>
      <c r="H67" s="5" t="str">
        <f t="shared" ref="H67:H87" ca="1" si="4">IF($F67="", "", INDEX(INDIRECT("'" &amp; C67 &amp; "'!$B$3:$R$24"), $F67, $G67))</f>
        <v/>
      </c>
      <c r="I67" s="2"/>
      <c r="J67" s="2"/>
      <c r="K67" s="2"/>
      <c r="L67" s="2"/>
      <c r="M67" s="2"/>
    </row>
    <row r="68" spans="1:13" ht="15.6" x14ac:dyDescent="0.3">
      <c r="A68" s="2"/>
      <c r="B68" s="5" t="str">
        <f>IF(COUNTIF(data_val!$E$3:$E$5, sample_log!$E68), sample_log!$C68 &amp; "_" &amp; sample_log!$D68, "")</f>
        <v/>
      </c>
      <c r="C68" s="5" t="str">
        <f>IF(B68="", IF(F68="", "", C67), IF(sample_log!E68="Triennial SASS", "tri_params", "params"))</f>
        <v/>
      </c>
      <c r="D68" s="5" t="str">
        <f>IF(B68="", "", C68 &amp; "!" &amp; CHAR(65+MATCH(B68, params!$B$2:$R$2, 0)))</f>
        <v/>
      </c>
      <c r="E68" s="5" t="str">
        <f ca="1">IF(B68="", "", COUNTA(INDIRECT(D68 &amp; 3):INDIRECT(D68 &amp; 24)))</f>
        <v/>
      </c>
      <c r="F68" s="5" t="str">
        <f t="shared" si="3"/>
        <v/>
      </c>
      <c r="G68" s="5" t="str">
        <f>IF(F68="", "", IF(B68&lt;&gt;"", MATCH(B68, params!$B$2:$R$2, 0), G67))</f>
        <v/>
      </c>
      <c r="H68" s="5" t="str">
        <f t="shared" ca="1" si="4"/>
        <v/>
      </c>
      <c r="I68" s="2"/>
      <c r="J68" s="2"/>
      <c r="K68" s="2"/>
      <c r="L68" s="2"/>
      <c r="M68" s="2"/>
    </row>
    <row r="69" spans="1:13" ht="15.6" x14ac:dyDescent="0.3">
      <c r="A69" s="2"/>
      <c r="B69" s="5" t="str">
        <f>IF(COUNTIF(data_val!$E$3:$E$5, sample_log!$E69), sample_log!$C69 &amp; "_" &amp; sample_log!$D69, "")</f>
        <v/>
      </c>
      <c r="C69" s="5" t="str">
        <f>IF(B69="", IF(F69="", "", C68), IF(sample_log!E69="Triennial SASS", "tri_params", "params"))</f>
        <v/>
      </c>
      <c r="D69" s="5" t="str">
        <f>IF(B69="", "", C69 &amp; "!" &amp; CHAR(65+MATCH(B69, params!$B$2:$R$2, 0)))</f>
        <v/>
      </c>
      <c r="E69" s="5" t="str">
        <f ca="1">IF(B69="", "", COUNTA(INDIRECT(D69 &amp; 3):INDIRECT(D69 &amp; 24)))</f>
        <v/>
      </c>
      <c r="F69" s="5" t="str">
        <f t="shared" si="3"/>
        <v/>
      </c>
      <c r="G69" s="5" t="str">
        <f>IF(F69="", "", IF(B69&lt;&gt;"", MATCH(B69, params!$B$2:$R$2, 0), G68))</f>
        <v/>
      </c>
      <c r="H69" s="5" t="str">
        <f t="shared" ca="1" si="4"/>
        <v/>
      </c>
      <c r="I69" s="2"/>
      <c r="J69" s="2"/>
      <c r="K69" s="2"/>
      <c r="L69" s="2"/>
      <c r="M69" s="2"/>
    </row>
    <row r="70" spans="1:13" ht="15.6" x14ac:dyDescent="0.3">
      <c r="A70" s="2"/>
      <c r="B70" s="5" t="str">
        <f>IF(COUNTIF(data_val!$E$3:$E$5, sample_log!$E70), sample_log!$C70 &amp; "_" &amp; sample_log!$D70, "")</f>
        <v/>
      </c>
      <c r="C70" s="5" t="str">
        <f>IF(B70="", IF(F70="", "", C69), IF(sample_log!E70="Triennial SASS", "tri_params", "params"))</f>
        <v/>
      </c>
      <c r="D70" s="5" t="str">
        <f>IF(B70="", "", C70 &amp; "!" &amp; CHAR(65+MATCH(B70, params!$B$2:$R$2, 0)))</f>
        <v/>
      </c>
      <c r="E70" s="5" t="str">
        <f ca="1">IF(B70="", "", COUNTA(INDIRECT(D70 &amp; 3):INDIRECT(D70 &amp; 24)))</f>
        <v/>
      </c>
      <c r="F70" s="5" t="str">
        <f t="shared" si="3"/>
        <v/>
      </c>
      <c r="G70" s="5" t="str">
        <f>IF(F70="", "", IF(B70&lt;&gt;"", MATCH(B70, params!$B$2:$R$2, 0), G69))</f>
        <v/>
      </c>
      <c r="H70" s="5" t="str">
        <f t="shared" ca="1" si="4"/>
        <v/>
      </c>
      <c r="I70" s="2"/>
      <c r="J70" s="2"/>
      <c r="K70" s="2"/>
      <c r="L70" s="2"/>
      <c r="M70" s="2"/>
    </row>
    <row r="71" spans="1:13" ht="15.6" x14ac:dyDescent="0.3">
      <c r="A71" s="2"/>
      <c r="B71" s="5" t="str">
        <f>IF(COUNTIF(data_val!$E$3:$E$5, sample_log!$E71), sample_log!$C71 &amp; "_" &amp; sample_log!$D71, "")</f>
        <v/>
      </c>
      <c r="C71" s="5" t="str">
        <f>IF(B71="", IF(F71="", "", C70), IF(sample_log!E71="Triennial SASS", "tri_params", "params"))</f>
        <v/>
      </c>
      <c r="D71" s="5" t="str">
        <f>IF(B71="", "", C71 &amp; "!" &amp; CHAR(65+MATCH(B71, params!$B$2:$R$2, 0)))</f>
        <v/>
      </c>
      <c r="E71" s="5" t="str">
        <f ca="1">IF(B71="", "", COUNTA(INDIRECT(D71 &amp; 3):INDIRECT(D71 &amp; 24)))</f>
        <v/>
      </c>
      <c r="F71" s="5" t="str">
        <f t="shared" si="3"/>
        <v/>
      </c>
      <c r="G71" s="5" t="str">
        <f>IF(F71="", "", IF(B71&lt;&gt;"", MATCH(B71, params!$B$2:$R$2, 0), G70))</f>
        <v/>
      </c>
      <c r="H71" s="5" t="str">
        <f t="shared" ca="1" si="4"/>
        <v/>
      </c>
      <c r="I71" s="2"/>
      <c r="J71" s="2"/>
      <c r="K71" s="2"/>
      <c r="L71" s="2"/>
      <c r="M71" s="2"/>
    </row>
    <row r="72" spans="1:13" ht="15.6" x14ac:dyDescent="0.3">
      <c r="A72" s="2"/>
      <c r="B72" s="5" t="str">
        <f>IF(COUNTIF(data_val!$E$3:$E$5, sample_log!$E72), sample_log!$C72 &amp; "_" &amp; sample_log!$D72, "")</f>
        <v/>
      </c>
      <c r="C72" s="5" t="str">
        <f>IF(B72="", IF(F72="", "", C71), IF(sample_log!E72="Triennial SASS", "tri_params", "params"))</f>
        <v/>
      </c>
      <c r="D72" s="5" t="str">
        <f>IF(B72="", "", C72 &amp; "!" &amp; CHAR(65+MATCH(B72, params!$B$2:$R$2, 0)))</f>
        <v/>
      </c>
      <c r="E72" s="5" t="str">
        <f ca="1">IF(B72="", "", COUNTA(INDIRECT(D72 &amp; 3):INDIRECT(D72 &amp; 24)))</f>
        <v/>
      </c>
      <c r="F72" s="5" t="str">
        <f t="shared" si="3"/>
        <v/>
      </c>
      <c r="G72" s="5" t="str">
        <f>IF(F72="", "", IF(B72&lt;&gt;"", MATCH(B72, params!$B$2:$R$2, 0), G71))</f>
        <v/>
      </c>
      <c r="H72" s="5" t="str">
        <f t="shared" ca="1" si="4"/>
        <v/>
      </c>
      <c r="I72" s="2"/>
      <c r="J72" s="2"/>
      <c r="K72" s="2"/>
      <c r="L72" s="2"/>
      <c r="M72" s="2"/>
    </row>
    <row r="73" spans="1:13" ht="15.6" x14ac:dyDescent="0.3">
      <c r="A73" s="2"/>
      <c r="B73" s="5" t="str">
        <f>IF(COUNTIF(data_val!$E$3:$E$5, sample_log!$E73), sample_log!$C73 &amp; "_" &amp; sample_log!$D73, "")</f>
        <v/>
      </c>
      <c r="C73" s="5" t="str">
        <f>IF(B73="", IF(F73="", "", C72), IF(sample_log!E73="Triennial SASS", "tri_params", "params"))</f>
        <v/>
      </c>
      <c r="D73" s="5" t="str">
        <f>IF(B73="", "", C73 &amp; "!" &amp; CHAR(65+MATCH(B73, params!$B$2:$R$2, 0)))</f>
        <v/>
      </c>
      <c r="E73" s="5" t="str">
        <f ca="1">IF(B73="", "", COUNTA(INDIRECT(D73 &amp; 3):INDIRECT(D73 &amp; 24)))</f>
        <v/>
      </c>
      <c r="F73" s="5" t="str">
        <f t="shared" si="3"/>
        <v/>
      </c>
      <c r="G73" s="5" t="str">
        <f>IF(F73="", "", IF(B73&lt;&gt;"", MATCH(B73, params!$B$2:$R$2, 0), G72))</f>
        <v/>
      </c>
      <c r="H73" s="5" t="str">
        <f t="shared" ca="1" si="4"/>
        <v/>
      </c>
      <c r="I73" s="2"/>
      <c r="J73" s="2"/>
      <c r="K73" s="2"/>
      <c r="L73" s="2"/>
      <c r="M73" s="2"/>
    </row>
    <row r="74" spans="1:13" ht="15.6" x14ac:dyDescent="0.3">
      <c r="A74" s="2"/>
      <c r="B74" s="5" t="str">
        <f>IF(COUNTIF(data_val!$E$3:$E$5, sample_log!$E74), sample_log!$C74 &amp; "_" &amp; sample_log!$D74, "")</f>
        <v/>
      </c>
      <c r="C74" s="5" t="str">
        <f>IF(B74="", IF(F74="", "", C73), IF(sample_log!E74="Triennial SASS", "tri_params", "params"))</f>
        <v/>
      </c>
      <c r="D74" s="5" t="str">
        <f>IF(B74="", "", C74 &amp; "!" &amp; CHAR(65+MATCH(B74, params!$B$2:$R$2, 0)))</f>
        <v/>
      </c>
      <c r="E74" s="5" t="str">
        <f ca="1">IF(B74="", "", COUNTA(INDIRECT(D74 &amp; 3):INDIRECT(D74 &amp; 24)))</f>
        <v/>
      </c>
      <c r="F74" s="5" t="str">
        <f t="shared" si="3"/>
        <v/>
      </c>
      <c r="G74" s="5" t="str">
        <f>IF(F74="", "", IF(B74&lt;&gt;"", MATCH(B74, params!$B$2:$R$2, 0), G73))</f>
        <v/>
      </c>
      <c r="H74" s="5" t="str">
        <f t="shared" ca="1" si="4"/>
        <v/>
      </c>
      <c r="I74" s="2"/>
      <c r="J74" s="2"/>
      <c r="K74" s="2"/>
      <c r="L74" s="2"/>
      <c r="M74" s="2"/>
    </row>
    <row r="75" spans="1:13" ht="15.6" x14ac:dyDescent="0.3">
      <c r="A75" s="2"/>
      <c r="B75" s="5" t="str">
        <f>IF(COUNTIF(data_val!$E$3:$E$5, sample_log!$E75), sample_log!$C75 &amp; "_" &amp; sample_log!$D75, "")</f>
        <v/>
      </c>
      <c r="C75" s="5" t="str">
        <f>IF(B75="", IF(F75="", "", C74), IF(sample_log!E75="Triennial SASS", "tri_params", "params"))</f>
        <v/>
      </c>
      <c r="D75" s="5" t="str">
        <f>IF(B75="", "", C75 &amp; "!" &amp; CHAR(65+MATCH(B75, params!$B$2:$R$2, 0)))</f>
        <v/>
      </c>
      <c r="E75" s="5" t="str">
        <f ca="1">IF(B75="", "", COUNTA(INDIRECT(D75 &amp; 3):INDIRECT(D75 &amp; 24)))</f>
        <v/>
      </c>
      <c r="F75" s="5" t="str">
        <f t="shared" si="3"/>
        <v/>
      </c>
      <c r="G75" s="5" t="str">
        <f>IF(F75="", "", IF(B75&lt;&gt;"", MATCH(B75, params!$B$2:$R$2, 0), G74))</f>
        <v/>
      </c>
      <c r="H75" s="5" t="str">
        <f t="shared" ca="1" si="4"/>
        <v/>
      </c>
      <c r="I75" s="2"/>
      <c r="J75" s="2"/>
      <c r="K75" s="2"/>
      <c r="L75" s="2"/>
      <c r="M75" s="2"/>
    </row>
    <row r="76" spans="1:13" ht="15.6" x14ac:dyDescent="0.3">
      <c r="A76" s="2"/>
      <c r="B76" s="5" t="str">
        <f>IF(COUNTIF(data_val!$E$3:$E$5, sample_log!$E76), sample_log!$C76 &amp; "_" &amp; sample_log!$D76, "")</f>
        <v/>
      </c>
      <c r="C76" s="5" t="str">
        <f>IF(B76="", IF(F76="", "", C75), IF(sample_log!E76="Triennial SASS", "tri_params", "params"))</f>
        <v/>
      </c>
      <c r="D76" s="5" t="str">
        <f>IF(B76="", "", C76 &amp; "!" &amp; CHAR(65+MATCH(B76, params!$B$2:$R$2, 0)))</f>
        <v/>
      </c>
      <c r="E76" s="5" t="str">
        <f ca="1">IF(B76="", "", COUNTA(INDIRECT(D76 &amp; 3):INDIRECT(D76 &amp; 24)))</f>
        <v/>
      </c>
      <c r="F76" s="5" t="str">
        <f t="shared" si="3"/>
        <v/>
      </c>
      <c r="G76" s="5" t="str">
        <f>IF(F76="", "", IF(B76&lt;&gt;"", MATCH(B76, params!$B$2:$R$2, 0), G75))</f>
        <v/>
      </c>
      <c r="H76" s="5" t="str">
        <f t="shared" ca="1" si="4"/>
        <v/>
      </c>
      <c r="I76" s="2"/>
      <c r="J76" s="2"/>
      <c r="K76" s="2"/>
      <c r="L76" s="2"/>
      <c r="M76" s="2"/>
    </row>
    <row r="77" spans="1:13" ht="15.6" x14ac:dyDescent="0.3">
      <c r="A77" s="2"/>
      <c r="B77" s="5" t="str">
        <f>IF(COUNTIF(data_val!$E$3:$E$5, sample_log!$E77), sample_log!$C77 &amp; "_" &amp; sample_log!$D77, "")</f>
        <v/>
      </c>
      <c r="C77" s="5" t="str">
        <f>IF(B77="", IF(F77="", "", C76), IF(sample_log!E77="Triennial SASS", "tri_params", "params"))</f>
        <v/>
      </c>
      <c r="D77" s="5" t="str">
        <f>IF(B77="", "", C77 &amp; "!" &amp; CHAR(65+MATCH(B77, params!$B$2:$R$2, 0)))</f>
        <v/>
      </c>
      <c r="E77" s="5" t="str">
        <f ca="1">IF(B77="", "", COUNTA(INDIRECT(D77 &amp; 3):INDIRECT(D77 &amp; 24)))</f>
        <v/>
      </c>
      <c r="F77" s="5" t="str">
        <f t="shared" si="3"/>
        <v/>
      </c>
      <c r="G77" s="5" t="str">
        <f>IF(F77="", "", IF(B77&lt;&gt;"", MATCH(B77, params!$B$2:$R$2, 0), G76))</f>
        <v/>
      </c>
      <c r="H77" s="5" t="str">
        <f t="shared" ca="1" si="4"/>
        <v/>
      </c>
      <c r="I77" s="2"/>
      <c r="J77" s="2"/>
      <c r="K77" s="2"/>
      <c r="L77" s="2"/>
      <c r="M77" s="2"/>
    </row>
    <row r="78" spans="1:13" ht="15.6" x14ac:dyDescent="0.3">
      <c r="A78" s="2"/>
      <c r="B78" s="5" t="str">
        <f>IF(COUNTIF(data_val!$E$3:$E$5, sample_log!$E78), sample_log!$C78 &amp; "_" &amp; sample_log!$D78, "")</f>
        <v/>
      </c>
      <c r="C78" s="5" t="str">
        <f>IF(B78="", IF(F78="", "", C77), IF(sample_log!E78="Triennial SASS", "tri_params", "params"))</f>
        <v/>
      </c>
      <c r="D78" s="5" t="str">
        <f>IF(B78="", "", C78 &amp; "!" &amp; CHAR(65+MATCH(B78, params!$B$2:$R$2, 0)))</f>
        <v/>
      </c>
      <c r="E78" s="5" t="str">
        <f ca="1">IF(B78="", "", COUNTA(INDIRECT(D78 &amp; 3):INDIRECT(D78 &amp; 24)))</f>
        <v/>
      </c>
      <c r="F78" s="5" t="str">
        <f t="shared" si="3"/>
        <v/>
      </c>
      <c r="G78" s="5" t="str">
        <f>IF(F78="", "", IF(B78&lt;&gt;"", MATCH(B78, params!$B$2:$R$2, 0), G77))</f>
        <v/>
      </c>
      <c r="H78" s="5" t="str">
        <f t="shared" ca="1" si="4"/>
        <v/>
      </c>
      <c r="I78" s="2"/>
      <c r="J78" s="2"/>
      <c r="K78" s="2"/>
      <c r="L78" s="2"/>
      <c r="M78" s="2"/>
    </row>
    <row r="79" spans="1:13" ht="15.6" x14ac:dyDescent="0.3">
      <c r="A79" s="2"/>
      <c r="B79" s="5" t="str">
        <f>IF(COUNTIF(data_val!$E$3:$E$5, sample_log!$E79), sample_log!$C79 &amp; "_" &amp; sample_log!$D79, "")</f>
        <v/>
      </c>
      <c r="C79" s="5" t="str">
        <f>IF(B79="", IF(F79="", "", C78), IF(sample_log!E79="Triennial SASS", "tri_params", "params"))</f>
        <v/>
      </c>
      <c r="D79" s="5" t="str">
        <f>IF(B79="", "", C79 &amp; "!" &amp; CHAR(65+MATCH(B79, params!$B$2:$R$2, 0)))</f>
        <v/>
      </c>
      <c r="E79" s="5" t="str">
        <f ca="1">IF(B79="", "", COUNTA(INDIRECT(D79 &amp; 3):INDIRECT(D79 &amp; 24)))</f>
        <v/>
      </c>
      <c r="F79" s="5" t="str">
        <f t="shared" si="3"/>
        <v/>
      </c>
      <c r="G79" s="5" t="str">
        <f>IF(F79="", "", IF(B79&lt;&gt;"", MATCH(B79, params!$B$2:$R$2, 0), G78))</f>
        <v/>
      </c>
      <c r="H79" s="5" t="str">
        <f t="shared" ca="1" si="4"/>
        <v/>
      </c>
      <c r="I79" s="2"/>
      <c r="J79" s="2"/>
      <c r="K79" s="2"/>
      <c r="L79" s="2"/>
      <c r="M79" s="2"/>
    </row>
    <row r="80" spans="1:13" ht="15.6" x14ac:dyDescent="0.3">
      <c r="A80" s="2"/>
      <c r="B80" s="5" t="str">
        <f>IF(COUNTIF(data_val!$E$3:$E$5, sample_log!$E80), sample_log!$C80 &amp; "_" &amp; sample_log!$D80, "")</f>
        <v/>
      </c>
      <c r="C80" s="5" t="str">
        <f>IF(B80="", IF(F80="", "", C79), IF(sample_log!E80="Triennial SASS", "tri_params", "params"))</f>
        <v/>
      </c>
      <c r="D80" s="5" t="str">
        <f>IF(B80="", "", C80 &amp; "!" &amp; CHAR(65+MATCH(B80, params!$B$2:$R$2, 0)))</f>
        <v/>
      </c>
      <c r="E80" s="5" t="str">
        <f ca="1">IF(B80="", "", COUNTA(INDIRECT(D80 &amp; 3):INDIRECT(D80 &amp; 24)))</f>
        <v/>
      </c>
      <c r="F80" s="5" t="str">
        <f t="shared" si="3"/>
        <v/>
      </c>
      <c r="G80" s="5" t="str">
        <f>IF(F80="", "", IF(B80&lt;&gt;"", MATCH(B80, params!$B$2:$R$2, 0), G79))</f>
        <v/>
      </c>
      <c r="H80" s="5" t="str">
        <f t="shared" ca="1" si="4"/>
        <v/>
      </c>
      <c r="I80" s="2"/>
      <c r="J80" s="2"/>
      <c r="K80" s="2"/>
      <c r="L80" s="2"/>
      <c r="M80" s="2"/>
    </row>
    <row r="81" spans="1:13" ht="15.6" x14ac:dyDescent="0.3">
      <c r="A81" s="2"/>
      <c r="B81" s="5" t="str">
        <f>IF(COUNTIF(data_val!$E$3:$E$5, sample_log!$E81), sample_log!$C81 &amp; "_" &amp; sample_log!$D81, "")</f>
        <v/>
      </c>
      <c r="C81" s="5" t="str">
        <f>IF(B81="", IF(F81="", "", C80), IF(sample_log!E81="Triennial SASS", "tri_params", "params"))</f>
        <v/>
      </c>
      <c r="D81" s="5" t="str">
        <f>IF(B81="", "", C81 &amp; "!" &amp; CHAR(65+MATCH(B81, params!$B$2:$R$2, 0)))</f>
        <v/>
      </c>
      <c r="E81" s="5" t="str">
        <f ca="1">IF(B81="", "", COUNTA(INDIRECT(D81 &amp; 3):INDIRECT(D81 &amp; 24)))</f>
        <v/>
      </c>
      <c r="F81" s="5" t="str">
        <f t="shared" si="3"/>
        <v/>
      </c>
      <c r="G81" s="5" t="str">
        <f>IF(F81="", "", IF(B81&lt;&gt;"", MATCH(B81, params!$B$2:$R$2, 0), G80))</f>
        <v/>
      </c>
      <c r="H81" s="5" t="str">
        <f t="shared" ca="1" si="4"/>
        <v/>
      </c>
      <c r="I81" s="2"/>
      <c r="J81" s="2"/>
      <c r="K81" s="2"/>
      <c r="L81" s="2"/>
      <c r="M81" s="2"/>
    </row>
    <row r="82" spans="1:13" ht="15.6" x14ac:dyDescent="0.3">
      <c r="A82" s="2"/>
      <c r="B82" s="5" t="str">
        <f>IF(COUNTIF(data_val!$E$3:$E$5, sample_log!$E82), sample_log!$C82 &amp; "_" &amp; sample_log!$D82, "")</f>
        <v/>
      </c>
      <c r="C82" s="5" t="str">
        <f>IF(B82="", IF(F82="", "", C81), IF(sample_log!E82="Triennial SASS", "tri_params", "params"))</f>
        <v/>
      </c>
      <c r="D82" s="5" t="str">
        <f>IF(B82="", "", C82 &amp; "!" &amp; CHAR(65+MATCH(B82, params!$B$2:$R$2, 0)))</f>
        <v/>
      </c>
      <c r="E82" s="5" t="str">
        <f ca="1">IF(B82="", "", COUNTA(INDIRECT(D82 &amp; 3):INDIRECT(D82 &amp; 24)))</f>
        <v/>
      </c>
      <c r="F82" s="5" t="str">
        <f t="shared" si="3"/>
        <v/>
      </c>
      <c r="G82" s="5" t="str">
        <f>IF(F82="", "", IF(B82&lt;&gt;"", MATCH(B82, params!$B$2:$R$2, 0), G81))</f>
        <v/>
      </c>
      <c r="H82" s="5" t="str">
        <f t="shared" ca="1" si="4"/>
        <v/>
      </c>
      <c r="I82" s="2"/>
      <c r="J82" s="2"/>
      <c r="K82" s="2"/>
      <c r="L82" s="2"/>
      <c r="M82" s="2"/>
    </row>
    <row r="83" spans="1:13" ht="15.6" x14ac:dyDescent="0.3">
      <c r="A83" s="2"/>
      <c r="B83" s="5" t="str">
        <f>IF(COUNTIF(data_val!$E$3:$E$5, sample_log!$E83), sample_log!$C83 &amp; "_" &amp; sample_log!$D83, "")</f>
        <v/>
      </c>
      <c r="C83" s="5" t="str">
        <f>IF(B83="", IF(F83="", "", C82), IF(sample_log!E83="Triennial SASS", "tri_params", "params"))</f>
        <v/>
      </c>
      <c r="D83" s="5" t="str">
        <f>IF(B83="", "", C83 &amp; "!" &amp; CHAR(65+MATCH(B83, params!$B$2:$R$2, 0)))</f>
        <v/>
      </c>
      <c r="E83" s="5" t="str">
        <f ca="1">IF(B83="", "", COUNTA(INDIRECT(D83 &amp; 3):INDIRECT(D83 &amp; 24)))</f>
        <v/>
      </c>
      <c r="F83" s="5" t="str">
        <f t="shared" si="3"/>
        <v/>
      </c>
      <c r="G83" s="5" t="str">
        <f>IF(F83="", "", IF(B83&lt;&gt;"", MATCH(B83, params!$B$2:$R$2, 0), G82))</f>
        <v/>
      </c>
      <c r="H83" s="5" t="str">
        <f t="shared" ca="1" si="4"/>
        <v/>
      </c>
      <c r="I83" s="2"/>
      <c r="J83" s="2"/>
      <c r="K83" s="2"/>
      <c r="L83" s="2"/>
      <c r="M83" s="2"/>
    </row>
    <row r="84" spans="1:13" ht="15.6" x14ac:dyDescent="0.3">
      <c r="A84" s="2"/>
      <c r="B84" s="5" t="str">
        <f>IF(COUNTIF(data_val!$E$3:$E$5, sample_log!$E84), sample_log!$C84 &amp; "_" &amp; sample_log!$D84, "")</f>
        <v/>
      </c>
      <c r="C84" s="5" t="str">
        <f>IF(B84="", IF(F84="", "", C83), IF(sample_log!E84="Triennial SASS", "tri_params", "params"))</f>
        <v/>
      </c>
      <c r="D84" s="5" t="str">
        <f>IF(B84="", "", C84 &amp; "!" &amp; CHAR(65+MATCH(B84, params!$B$2:$R$2, 0)))</f>
        <v/>
      </c>
      <c r="E84" s="5" t="str">
        <f ca="1">IF(B84="", "", COUNTA(INDIRECT(D84 &amp; 3):INDIRECT(D84 &amp; 24)))</f>
        <v/>
      </c>
      <c r="F84" s="5" t="str">
        <f t="shared" si="3"/>
        <v/>
      </c>
      <c r="G84" s="5" t="str">
        <f>IF(F84="", "", IF(B84&lt;&gt;"", MATCH(B84, params!$B$2:$R$2, 0), G83))</f>
        <v/>
      </c>
      <c r="H84" s="5" t="str">
        <f t="shared" ca="1" si="4"/>
        <v/>
      </c>
      <c r="I84" s="2"/>
      <c r="J84" s="2"/>
      <c r="K84" s="2"/>
      <c r="L84" s="2"/>
      <c r="M84" s="2"/>
    </row>
    <row r="85" spans="1:13" ht="15.6" x14ac:dyDescent="0.3">
      <c r="A85" s="2"/>
      <c r="B85" s="5" t="str">
        <f>IF(COUNTIF(data_val!$E$3:$E$5, sample_log!$E85), sample_log!$C85 &amp; "_" &amp; sample_log!$D85, "")</f>
        <v/>
      </c>
      <c r="C85" s="5" t="str">
        <f>IF(B85="", IF(F85="", "", C84), IF(sample_log!E85="Triennial SASS", "tri_params", "params"))</f>
        <v/>
      </c>
      <c r="D85" s="5" t="str">
        <f>IF(B85="", "", C85 &amp; "!" &amp; CHAR(65+MATCH(B85, params!$B$2:$R$2, 0)))</f>
        <v/>
      </c>
      <c r="E85" s="5" t="str">
        <f ca="1">IF(B85="", "", COUNTA(INDIRECT(D85 &amp; 3):INDIRECT(D85 &amp; 24)))</f>
        <v/>
      </c>
      <c r="F85" s="5" t="str">
        <f t="shared" si="3"/>
        <v/>
      </c>
      <c r="G85" s="5" t="str">
        <f>IF(F85="", "", IF(B85&lt;&gt;"", MATCH(B85, params!$B$2:$R$2, 0), G84))</f>
        <v/>
      </c>
      <c r="H85" s="5" t="str">
        <f t="shared" ca="1" si="4"/>
        <v/>
      </c>
      <c r="I85" s="2"/>
      <c r="J85" s="2"/>
      <c r="K85" s="2"/>
      <c r="L85" s="2"/>
      <c r="M85" s="2"/>
    </row>
    <row r="86" spans="1:13" ht="15.6" x14ac:dyDescent="0.3">
      <c r="A86" s="2"/>
      <c r="B86" s="5" t="str">
        <f>IF(COUNTIF(data_val!$E$3:$E$5, sample_log!$E86), sample_log!$C86 &amp; "_" &amp; sample_log!$D86, "")</f>
        <v/>
      </c>
      <c r="C86" s="5" t="str">
        <f>IF(B86="", IF(F86="", "", C85), IF(sample_log!E86="Triennial SASS", "tri_params", "params"))</f>
        <v/>
      </c>
      <c r="D86" s="5" t="str">
        <f>IF(B86="", "", C86 &amp; "!" &amp; CHAR(65+MATCH(B86, params!$B$2:$R$2, 0)))</f>
        <v/>
      </c>
      <c r="E86" s="5" t="str">
        <f ca="1">IF(B86="", "", COUNTA(INDIRECT(D86 &amp; 3):INDIRECT(D86 &amp; 24)))</f>
        <v/>
      </c>
      <c r="F86" s="5" t="str">
        <f t="shared" si="3"/>
        <v/>
      </c>
      <c r="G86" s="5" t="str">
        <f>IF(F86="", "", IF(B86&lt;&gt;"", MATCH(B86, params!$B$2:$R$2, 0), G85))</f>
        <v/>
      </c>
      <c r="H86" s="5" t="str">
        <f t="shared" ca="1" si="4"/>
        <v/>
      </c>
      <c r="I86" s="2"/>
      <c r="J86" s="2"/>
      <c r="K86" s="2"/>
      <c r="L86" s="2"/>
      <c r="M86" s="2"/>
    </row>
    <row r="87" spans="1:13" ht="15.6" x14ac:dyDescent="0.3">
      <c r="A87" s="2"/>
      <c r="B87" s="5" t="str">
        <f>IF(COUNTIF(data_val!$E$3:$E$5, sample_log!$E87), sample_log!$C87 &amp; "_" &amp; sample_log!$D87, "")</f>
        <v/>
      </c>
      <c r="C87" s="5" t="str">
        <f>IF(B87="", IF(F87="", "", C86), IF(sample_log!E87="Triennial SASS", "tri_params", "params"))</f>
        <v/>
      </c>
      <c r="D87" s="5" t="str">
        <f>IF(B87="", "", C87 &amp; "!" &amp; CHAR(65+MATCH(B87, params!$B$2:$R$2, 0)))</f>
        <v/>
      </c>
      <c r="E87" s="5" t="str">
        <f ca="1">IF(B87="", "", COUNTA(INDIRECT(D87 &amp; 3):INDIRECT(D87 &amp; 24)))</f>
        <v/>
      </c>
      <c r="F87" s="5" t="str">
        <f t="shared" si="3"/>
        <v/>
      </c>
      <c r="G87" s="5" t="str">
        <f>IF(F87="", "", IF(B87&lt;&gt;"", MATCH(B87, params!$B$2:$R$2, 0), G86))</f>
        <v/>
      </c>
      <c r="H87" s="5" t="str">
        <f t="shared" ca="1" si="4"/>
        <v/>
      </c>
      <c r="I87" s="2"/>
      <c r="J87" s="2"/>
      <c r="K87" s="2"/>
      <c r="L87" s="2"/>
      <c r="M87" s="2"/>
    </row>
    <row r="88" spans="1:13" ht="15.6" x14ac:dyDescent="0.3">
      <c r="A88" s="2"/>
      <c r="B88" s="5" t="str">
        <f>IF(COUNTIF(data_val!$E$3:$E$5, sample_log!$E88), sample_log!$C88 &amp; "_" &amp; sample_log!$D88, "")</f>
        <v/>
      </c>
      <c r="C88" s="5" t="str">
        <f>IF(B88="", IF(F88="", "", C87), IF(sample_log!E88="Triennial SASS", "tri_params", "params"))</f>
        <v/>
      </c>
      <c r="D88" s="5" t="str">
        <f>IF(B88="", "", C88 &amp; "!" &amp; CHAR(65+MATCH(B88, params!$B$2:$R$2, 0)))</f>
        <v/>
      </c>
      <c r="E88" s="5" t="str">
        <f ca="1">IF(B88="", "", COUNTA(INDIRECT(D88 &amp; 3):INDIRECT(D88 &amp; 24)))</f>
        <v/>
      </c>
      <c r="F88" s="5" t="str">
        <f t="shared" si="3"/>
        <v/>
      </c>
      <c r="G88" s="5" t="str">
        <f>IF(F88="", "", IF(B88&lt;&gt;"", MATCH(B88, params!$B$2:$R$2, 0), G87))</f>
        <v/>
      </c>
      <c r="H88" s="5" t="str">
        <f ca="1">IF($F88="", "", INDEX(INDIRECT("'" &amp; C88 &amp; "'!$B$3:$R$24"), $F88, $G88))</f>
        <v/>
      </c>
      <c r="I88" s="2"/>
      <c r="K88" s="2"/>
      <c r="L88" s="2"/>
      <c r="M88" s="2"/>
    </row>
    <row r="89" spans="1:13" ht="15.6" x14ac:dyDescent="0.3">
      <c r="A89" s="2"/>
      <c r="B89" s="5" t="str">
        <f>IF(COUNTIF(data_val!$E$3:$E$5, sample_log!$E89), sample_log!$C89 &amp; "_" &amp; sample_log!$D89, "")</f>
        <v/>
      </c>
      <c r="C89" s="5" t="str">
        <f>IF(B89="", IF(F89="", "", C88), IF(sample_log!E89="Triennial SASS", "tri_params", "params"))</f>
        <v/>
      </c>
      <c r="D89" s="5" t="str">
        <f>IF(B89="", "", C89 &amp; "!" &amp; CHAR(65+MATCH(B89, params!$B$2:$R$2, 0)))</f>
        <v/>
      </c>
      <c r="E89" s="5" t="str">
        <f ca="1">IF(B89="", "", COUNTA(INDIRECT(D89 &amp; 3):INDIRECT(D89 &amp; 24)))</f>
        <v/>
      </c>
      <c r="F89" s="5" t="str">
        <f t="shared" si="3"/>
        <v/>
      </c>
      <c r="G89" s="5" t="str">
        <f>IF(F89="", "", IF(B89&lt;&gt;"", MATCH(B89, params!$B$2:$R$2, 0), G88))</f>
        <v/>
      </c>
      <c r="H89" s="5" t="str">
        <f t="shared" ref="H89:H152" ca="1" si="5">IF($F89="", "", INDEX(INDIRECT("'" &amp; C89 &amp; "'!$B$3:$R$24"), $F89, $G89))</f>
        <v/>
      </c>
      <c r="I89" s="2"/>
      <c r="J89" s="2"/>
      <c r="K89" s="2"/>
      <c r="L89" s="2"/>
      <c r="M89" s="2"/>
    </row>
    <row r="90" spans="1:13" ht="15.6" x14ac:dyDescent="0.3">
      <c r="A90" s="2"/>
      <c r="B90" s="5" t="str">
        <f>IF(COUNTIF(data_val!$E$3:$E$5, sample_log!$E90), sample_log!$C90 &amp; "_" &amp; sample_log!$D90, "")</f>
        <v/>
      </c>
      <c r="C90" s="5" t="str">
        <f>IF(B90="", IF(F90="", "", C89), IF(sample_log!E90="Triennial SASS", "tri_params", "params"))</f>
        <v/>
      </c>
      <c r="D90" s="5" t="str">
        <f>IF(B90="", "", C90 &amp; "!" &amp; CHAR(65+MATCH(B90, params!$B$2:$R$2, 0)))</f>
        <v/>
      </c>
      <c r="E90" s="5" t="str">
        <f ca="1">IF(B90="", "", COUNTA(INDIRECT(D90 &amp; 3):INDIRECT(D90 &amp; 24)))</f>
        <v/>
      </c>
      <c r="F90" s="5" t="str">
        <f t="shared" si="3"/>
        <v/>
      </c>
      <c r="G90" s="5" t="str">
        <f>IF(F90="", "", IF(B90&lt;&gt;"", MATCH(B90, params!$B$2:$R$2, 0), G89))</f>
        <v/>
      </c>
      <c r="H90" s="5" t="str">
        <f t="shared" ca="1" si="5"/>
        <v/>
      </c>
      <c r="I90" s="2"/>
      <c r="J90" s="2"/>
      <c r="K90" s="2"/>
      <c r="L90" s="2"/>
      <c r="M90" s="2"/>
    </row>
    <row r="91" spans="1:13" ht="15.6" x14ac:dyDescent="0.3">
      <c r="A91" s="2"/>
      <c r="B91" s="5" t="str">
        <f>IF(COUNTIF(data_val!$E$3:$E$5, sample_log!$E91), sample_log!$C91 &amp; "_" &amp; sample_log!$D91, "")</f>
        <v/>
      </c>
      <c r="C91" s="5" t="str">
        <f>IF(B91="", IF(F91="", "", C90), IF(sample_log!E91="Triennial SASS", "tri_params", "params"))</f>
        <v/>
      </c>
      <c r="D91" s="5" t="str">
        <f>IF(B91="", "", C91 &amp; "!" &amp; CHAR(65+MATCH(B91, params!$B$2:$R$2, 0)))</f>
        <v/>
      </c>
      <c r="E91" s="5" t="str">
        <f ca="1">IF(B91="", "", COUNTA(INDIRECT(D91 &amp; 3):INDIRECT(D91 &amp; 24)))</f>
        <v/>
      </c>
      <c r="F91" s="5" t="str">
        <f t="shared" si="3"/>
        <v/>
      </c>
      <c r="G91" s="5" t="str">
        <f>IF(F91="", "", IF(B91&lt;&gt;"", MATCH(B91, params!$B$2:$R$2, 0), G90))</f>
        <v/>
      </c>
      <c r="H91" s="5" t="str">
        <f t="shared" ca="1" si="5"/>
        <v/>
      </c>
      <c r="I91" s="2"/>
      <c r="J91" s="2"/>
      <c r="K91" s="2"/>
      <c r="L91" s="2"/>
      <c r="M91" s="2"/>
    </row>
    <row r="92" spans="1:13" ht="15.6" x14ac:dyDescent="0.3">
      <c r="A92" s="2"/>
      <c r="B92" s="5" t="str">
        <f>IF(COUNTIF(data_val!$E$3:$E$5, sample_log!$E92), sample_log!$C92 &amp; "_" &amp; sample_log!$D92, "")</f>
        <v/>
      </c>
      <c r="C92" s="5" t="str">
        <f>IF(B92="", IF(F92="", "", C91), IF(sample_log!E92="Triennial SASS", "tri_params", "params"))</f>
        <v/>
      </c>
      <c r="D92" s="5" t="str">
        <f>IF(B92="", "", C92 &amp; "!" &amp; CHAR(65+MATCH(B92, params!$B$2:$R$2, 0)))</f>
        <v/>
      </c>
      <c r="E92" s="5" t="str">
        <f ca="1">IF(B92="", "", COUNTA(INDIRECT(D92 &amp; 3):INDIRECT(D92 &amp; 24)))</f>
        <v/>
      </c>
      <c r="F92" s="5" t="str">
        <f t="shared" si="3"/>
        <v/>
      </c>
      <c r="G92" s="5" t="str">
        <f>IF(F92="", "", IF(B92&lt;&gt;"", MATCH(B92, params!$B$2:$R$2, 0), G91))</f>
        <v/>
      </c>
      <c r="H92" s="5" t="str">
        <f t="shared" ca="1" si="5"/>
        <v/>
      </c>
      <c r="I92" s="2"/>
      <c r="J92" s="2"/>
      <c r="K92" s="2"/>
      <c r="L92" s="2"/>
      <c r="M92" s="2"/>
    </row>
    <row r="93" spans="1:13" ht="15.6" x14ac:dyDescent="0.3">
      <c r="A93" s="2"/>
      <c r="B93" s="5" t="str">
        <f>IF(COUNTIF(data_val!$E$3:$E$5, sample_log!$E93), sample_log!$C93 &amp; "_" &amp; sample_log!$D93, "")</f>
        <v/>
      </c>
      <c r="C93" s="5" t="str">
        <f>IF(B93="", IF(F93="", "", C92), IF(sample_log!E93="Triennial SASS", "tri_params", "params"))</f>
        <v/>
      </c>
      <c r="D93" s="5" t="str">
        <f>IF(B93="", "", C93 &amp; "!" &amp; CHAR(65+MATCH(B93, params!$B$2:$R$2, 0)))</f>
        <v/>
      </c>
      <c r="E93" s="5" t="str">
        <f ca="1">IF(B93="", "", COUNTA(INDIRECT(D93 &amp; 3):INDIRECT(D93 &amp; 24)))</f>
        <v/>
      </c>
      <c r="F93" s="5" t="str">
        <f t="shared" si="3"/>
        <v/>
      </c>
      <c r="G93" s="5" t="str">
        <f>IF(F93="", "", IF(B93&lt;&gt;"", MATCH(B93, params!$B$2:$R$2, 0), G92))</f>
        <v/>
      </c>
      <c r="H93" s="5" t="str">
        <f t="shared" ca="1" si="5"/>
        <v/>
      </c>
      <c r="I93" s="2"/>
      <c r="J93" s="2"/>
      <c r="K93" s="2"/>
      <c r="L93" s="2"/>
      <c r="M93" s="2"/>
    </row>
    <row r="94" spans="1:13" ht="15.6" x14ac:dyDescent="0.3">
      <c r="A94" s="2"/>
      <c r="B94" s="5" t="str">
        <f>IF(COUNTIF(data_val!$E$3:$E$5, sample_log!$E94), sample_log!$C94 &amp; "_" &amp; sample_log!$D94, "")</f>
        <v/>
      </c>
      <c r="C94" s="5" t="str">
        <f>IF(B94="", IF(F94="", "", C93), IF(sample_log!E94="Triennial SASS", "tri_params", "params"))</f>
        <v/>
      </c>
      <c r="D94" s="5" t="str">
        <f>IF(B94="", "", C94 &amp; "!" &amp; CHAR(65+MATCH(B94, params!$B$2:$R$2, 0)))</f>
        <v/>
      </c>
      <c r="E94" s="5" t="str">
        <f ca="1">IF(B94="", "", COUNTA(INDIRECT(D94 &amp; 3):INDIRECT(D94 &amp; 24)))</f>
        <v/>
      </c>
      <c r="F94" s="5" t="str">
        <f t="shared" si="3"/>
        <v/>
      </c>
      <c r="G94" s="5" t="str">
        <f>IF(F94="", "", IF(B94&lt;&gt;"", MATCH(B94, params!$B$2:$R$2, 0), G93))</f>
        <v/>
      </c>
      <c r="H94" s="5" t="str">
        <f t="shared" ca="1" si="5"/>
        <v/>
      </c>
      <c r="I94" s="2"/>
      <c r="J94" s="2"/>
      <c r="K94" s="2"/>
      <c r="L94" s="2"/>
      <c r="M94" s="2"/>
    </row>
    <row r="95" spans="1:13" ht="15.6" x14ac:dyDescent="0.3">
      <c r="A95" s="2"/>
      <c r="B95" s="5" t="str">
        <f>IF(COUNTIF(data_val!$E$3:$E$5, sample_log!$E95), sample_log!$C95 &amp; "_" &amp; sample_log!$D95, "")</f>
        <v/>
      </c>
      <c r="C95" s="5" t="str">
        <f>IF(B95="", IF(F95="", "", C94), IF(sample_log!E95="Triennial SASS", "tri_params", "params"))</f>
        <v/>
      </c>
      <c r="D95" s="5" t="str">
        <f>IF(B95="", "", C95 &amp; "!" &amp; CHAR(65+MATCH(B95, params!$B$2:$R$2, 0)))</f>
        <v/>
      </c>
      <c r="E95" s="5" t="str">
        <f ca="1">IF(B95="", "", COUNTA(INDIRECT(D95 &amp; 3):INDIRECT(D95 &amp; 24)))</f>
        <v/>
      </c>
      <c r="F95" s="5" t="str">
        <f t="shared" si="3"/>
        <v/>
      </c>
      <c r="G95" s="5" t="str">
        <f>IF(F95="", "", IF(B95&lt;&gt;"", MATCH(B95, params!$B$2:$R$2, 0), G94))</f>
        <v/>
      </c>
      <c r="H95" s="5" t="str">
        <f t="shared" ca="1" si="5"/>
        <v/>
      </c>
      <c r="I95" s="2"/>
      <c r="J95" s="2"/>
      <c r="K95" s="2"/>
      <c r="L95" s="2"/>
      <c r="M95" s="2"/>
    </row>
    <row r="96" spans="1:13" ht="15.6" x14ac:dyDescent="0.3">
      <c r="A96" s="2"/>
      <c r="B96" s="5" t="str">
        <f>IF(COUNTIF(data_val!$E$3:$E$5, sample_log!$E96), sample_log!$C96 &amp; "_" &amp; sample_log!$D96, "")</f>
        <v/>
      </c>
      <c r="C96" s="5" t="str">
        <f>IF(B96="", IF(F96="", "", C95), IF(sample_log!E96="Triennial SASS", "tri_params", "params"))</f>
        <v/>
      </c>
      <c r="D96" s="5" t="str">
        <f>IF(B96="", "", C96 &amp; "!" &amp; CHAR(65+MATCH(B96, params!$B$2:$R$2, 0)))</f>
        <v/>
      </c>
      <c r="E96" s="5" t="str">
        <f ca="1">IF(B96="", "", COUNTA(INDIRECT(D96 &amp; 3):INDIRECT(D96 &amp; 24)))</f>
        <v/>
      </c>
      <c r="F96" s="5" t="str">
        <f t="shared" si="3"/>
        <v/>
      </c>
      <c r="G96" s="5" t="str">
        <f>IF(F96="", "", IF(B96&lt;&gt;"", MATCH(B96, params!$B$2:$R$2, 0), G95))</f>
        <v/>
      </c>
      <c r="H96" s="5" t="str">
        <f t="shared" ca="1" si="5"/>
        <v/>
      </c>
      <c r="I96" s="2"/>
      <c r="J96" s="2"/>
      <c r="K96" s="2"/>
      <c r="L96" s="2"/>
      <c r="M96" s="2"/>
    </row>
    <row r="97" spans="1:13" ht="15.6" x14ac:dyDescent="0.3">
      <c r="A97" s="2"/>
      <c r="B97" s="5" t="str">
        <f>IF(COUNTIF(data_val!$E$3:$E$5, sample_log!$E97), sample_log!$C97 &amp; "_" &amp; sample_log!$D97, "")</f>
        <v/>
      </c>
      <c r="C97" s="5" t="str">
        <f>IF(B97="", IF(F97="", "", C96), IF(sample_log!E97="Triennial SASS", "tri_params", "params"))</f>
        <v/>
      </c>
      <c r="D97" s="5" t="str">
        <f>IF(B97="", "", C97 &amp; "!" &amp; CHAR(65+MATCH(B97, params!$B$2:$R$2, 0)))</f>
        <v/>
      </c>
      <c r="E97" s="5" t="str">
        <f ca="1">IF(B97="", "", COUNTA(INDIRECT(D97 &amp; 3):INDIRECT(D97 &amp; 24)))</f>
        <v/>
      </c>
      <c r="F97" s="5" t="str">
        <f t="shared" si="3"/>
        <v/>
      </c>
      <c r="G97" s="5" t="str">
        <f>IF(F97="", "", IF(B97&lt;&gt;"", MATCH(B97, params!$B$2:$R$2, 0), G96))</f>
        <v/>
      </c>
      <c r="H97" s="5" t="str">
        <f t="shared" ca="1" si="5"/>
        <v/>
      </c>
      <c r="I97" s="2"/>
      <c r="J97" s="2"/>
      <c r="K97" s="2"/>
      <c r="L97" s="2"/>
      <c r="M97" s="2"/>
    </row>
    <row r="98" spans="1:13" ht="15.6" x14ac:dyDescent="0.3">
      <c r="A98" s="2"/>
      <c r="B98" s="5" t="str">
        <f>IF(COUNTIF(data_val!$E$3:$E$5, sample_log!$E98), sample_log!$C98 &amp; "_" &amp; sample_log!$D98, "")</f>
        <v/>
      </c>
      <c r="C98" s="5" t="str">
        <f>IF(B98="", IF(F98="", "", C97), IF(sample_log!E98="Triennial SASS", "tri_params", "params"))</f>
        <v/>
      </c>
      <c r="D98" s="5" t="str">
        <f>IF(B98="", "", C98 &amp; "!" &amp; CHAR(65+MATCH(B98, params!$B$2:$R$2, 0)))</f>
        <v/>
      </c>
      <c r="E98" s="5" t="str">
        <f ca="1">IF(B98="", "", COUNTA(INDIRECT(D98 &amp; 3):INDIRECT(D98 &amp; 24)))</f>
        <v/>
      </c>
      <c r="F98" s="5" t="str">
        <f t="shared" si="3"/>
        <v/>
      </c>
      <c r="G98" s="5" t="str">
        <f>IF(F98="", "", IF(B98&lt;&gt;"", MATCH(B98, params!$B$2:$R$2, 0), G97))</f>
        <v/>
      </c>
      <c r="H98" s="5" t="str">
        <f t="shared" ca="1" si="5"/>
        <v/>
      </c>
      <c r="I98" s="2"/>
      <c r="J98" s="2"/>
      <c r="K98" s="2"/>
      <c r="L98" s="2"/>
      <c r="M98" s="2"/>
    </row>
    <row r="99" spans="1:13" ht="15.6" x14ac:dyDescent="0.3">
      <c r="A99" s="2"/>
      <c r="B99" s="5" t="str">
        <f>IF(COUNTIF(data_val!$E$3:$E$5, sample_log!$E99), sample_log!$C99 &amp; "_" &amp; sample_log!$D99, "")</f>
        <v/>
      </c>
      <c r="C99" s="5" t="str">
        <f>IF(B99="", IF(F99="", "", C98), IF(sample_log!E99="Triennial SASS", "tri_params", "params"))</f>
        <v/>
      </c>
      <c r="D99" s="5" t="str">
        <f>IF(B99="", "", C99 &amp; "!" &amp; CHAR(65+MATCH(B99, params!$B$2:$R$2, 0)))</f>
        <v/>
      </c>
      <c r="E99" s="5" t="str">
        <f ca="1">IF(B99="", "", COUNTA(INDIRECT(D99 &amp; 3):INDIRECT(D99 &amp; 24)))</f>
        <v/>
      </c>
      <c r="F99" s="5" t="str">
        <f t="shared" si="3"/>
        <v/>
      </c>
      <c r="G99" s="5" t="str">
        <f>IF(F99="", "", IF(B99&lt;&gt;"", MATCH(B99, params!$B$2:$R$2, 0), G98))</f>
        <v/>
      </c>
      <c r="H99" s="5" t="str">
        <f t="shared" ca="1" si="5"/>
        <v/>
      </c>
      <c r="I99" s="2"/>
      <c r="J99" s="2"/>
      <c r="K99" s="2"/>
      <c r="L99" s="2"/>
      <c r="M99" s="2"/>
    </row>
    <row r="100" spans="1:13" ht="15.6" x14ac:dyDescent="0.3">
      <c r="A100" s="2"/>
      <c r="B100" s="5" t="str">
        <f>IF(COUNTIF(data_val!$E$3:$E$5, sample_log!$E100), sample_log!$C100 &amp; "_" &amp; sample_log!$D100, "")</f>
        <v/>
      </c>
      <c r="C100" s="5" t="str">
        <f>IF(B100="", IF(F100="", "", C99), IF(sample_log!E100="Triennial SASS", "tri_params", "params"))</f>
        <v/>
      </c>
      <c r="D100" s="5" t="str">
        <f>IF(B100="", "", C100 &amp; "!" &amp; CHAR(65+MATCH(B100, params!$B$2:$R$2, 0)))</f>
        <v/>
      </c>
      <c r="E100" s="5" t="str">
        <f ca="1">IF(B100="", "", COUNTA(INDIRECT(D100 &amp; 3):INDIRECT(D100 &amp; 24)))</f>
        <v/>
      </c>
      <c r="F100" s="5" t="str">
        <f t="shared" si="3"/>
        <v/>
      </c>
      <c r="G100" s="5" t="str">
        <f>IF(F100="", "", IF(B100&lt;&gt;"", MATCH(B100, params!$B$2:$R$2, 0), G99))</f>
        <v/>
      </c>
      <c r="H100" s="5" t="str">
        <f t="shared" ca="1" si="5"/>
        <v/>
      </c>
      <c r="I100" s="2"/>
      <c r="J100" s="2"/>
      <c r="K100" s="2"/>
      <c r="L100" s="2"/>
      <c r="M100" s="2"/>
    </row>
    <row r="101" spans="1:13" ht="15.6" x14ac:dyDescent="0.3">
      <c r="A101" s="2"/>
      <c r="B101" s="5" t="str">
        <f>IF(COUNTIF(data_val!$E$3:$E$5, sample_log!$E101), sample_log!$C101 &amp; "_" &amp; sample_log!$D101, "")</f>
        <v/>
      </c>
      <c r="C101" s="5" t="str">
        <f>IF(B101="", IF(F101="", "", C100), IF(sample_log!E101="Triennial SASS", "tri_params", "params"))</f>
        <v/>
      </c>
      <c r="D101" s="5" t="str">
        <f>IF(B101="", "", C101 &amp; "!" &amp; CHAR(65+MATCH(B101, params!$B$2:$R$2, 0)))</f>
        <v/>
      </c>
      <c r="E101" s="5" t="str">
        <f ca="1">IF(B101="", "", COUNTA(INDIRECT(D101 &amp; 3):INDIRECT(D101 &amp; 24)))</f>
        <v/>
      </c>
      <c r="F101" s="5" t="str">
        <f t="shared" si="3"/>
        <v/>
      </c>
      <c r="G101" s="5" t="str">
        <f>IF(F101="", "", IF(B101&lt;&gt;"", MATCH(B101, params!$B$2:$R$2, 0), G100))</f>
        <v/>
      </c>
      <c r="H101" s="5" t="str">
        <f t="shared" ca="1" si="5"/>
        <v/>
      </c>
      <c r="I101" s="2"/>
      <c r="J101" s="2"/>
      <c r="K101" s="2"/>
      <c r="L101" s="2"/>
      <c r="M101" s="2"/>
    </row>
    <row r="102" spans="1:13" ht="15.6" x14ac:dyDescent="0.3">
      <c r="A102" s="2"/>
      <c r="B102" s="5" t="str">
        <f>IF(COUNTIF(data_val!$E$3:$E$5, sample_log!$E102), sample_log!$C102 &amp; "_" &amp; sample_log!$D102, "")</f>
        <v/>
      </c>
      <c r="C102" s="5" t="str">
        <f>IF(B102="", IF(F102="", "", C101), IF(sample_log!E102="Triennial SASS", "tri_params", "params"))</f>
        <v/>
      </c>
      <c r="D102" s="5" t="str">
        <f>IF(B102="", "", C102 &amp; "!" &amp; CHAR(65+MATCH(B102, params!$B$2:$R$2, 0)))</f>
        <v/>
      </c>
      <c r="E102" s="5" t="str">
        <f ca="1">IF(B102="", "", COUNTA(INDIRECT(D102 &amp; 3):INDIRECT(D102 &amp; 24)))</f>
        <v/>
      </c>
      <c r="F102" s="5" t="str">
        <f t="shared" si="3"/>
        <v/>
      </c>
      <c r="G102" s="5" t="str">
        <f>IF(F102="", "", IF(B102&lt;&gt;"", MATCH(B102, params!$B$2:$R$2, 0), G101))</f>
        <v/>
      </c>
      <c r="H102" s="5" t="str">
        <f t="shared" ca="1" si="5"/>
        <v/>
      </c>
      <c r="I102" s="2"/>
      <c r="J102" s="2"/>
      <c r="K102" s="2"/>
      <c r="L102" s="2"/>
      <c r="M102" s="2"/>
    </row>
    <row r="103" spans="1:13" ht="15.6" x14ac:dyDescent="0.3">
      <c r="A103" s="2"/>
      <c r="B103" s="5" t="str">
        <f>IF(COUNTIF(data_val!$E$3:$E$5, sample_log!$E103), sample_log!$C103 &amp; "_" &amp; sample_log!$D103, "")</f>
        <v/>
      </c>
      <c r="C103" s="5" t="str">
        <f>IF(B103="", IF(F103="", "", C102), IF(sample_log!E103="Triennial SASS", "tri_params", "params"))</f>
        <v/>
      </c>
      <c r="D103" s="5" t="str">
        <f>IF(B103="", "", C103 &amp; "!" &amp; CHAR(65+MATCH(B103, params!$B$2:$R$2, 0)))</f>
        <v/>
      </c>
      <c r="E103" s="5" t="str">
        <f ca="1">IF(B103="", "", COUNTA(INDIRECT(D103 &amp; 3):INDIRECT(D103 &amp; 24)))</f>
        <v/>
      </c>
      <c r="F103" s="5" t="str">
        <f t="shared" si="3"/>
        <v/>
      </c>
      <c r="G103" s="5" t="str">
        <f>IF(F103="", "", IF(B103&lt;&gt;"", MATCH(B103, params!$B$2:$R$2, 0), G102))</f>
        <v/>
      </c>
      <c r="H103" s="5" t="str">
        <f t="shared" ca="1" si="5"/>
        <v/>
      </c>
      <c r="I103" s="2"/>
      <c r="J103" s="2"/>
      <c r="K103" s="2"/>
      <c r="L103" s="2"/>
      <c r="M103" s="2"/>
    </row>
    <row r="104" spans="1:13" ht="15.6" x14ac:dyDescent="0.3">
      <c r="A104" s="2"/>
      <c r="B104" s="5" t="str">
        <f>IF(COUNTIF(data_val!$E$3:$E$5, sample_log!$E104), sample_log!$C104 &amp; "_" &amp; sample_log!$D104, "")</f>
        <v/>
      </c>
      <c r="C104" s="5" t="str">
        <f>IF(B104="", IF(F104="", "", C103), IF(sample_log!E104="Triennial SASS", "tri_params", "params"))</f>
        <v/>
      </c>
      <c r="D104" s="5" t="str">
        <f>IF(B104="", "", C104 &amp; "!" &amp; CHAR(65+MATCH(B104, params!$B$2:$R$2, 0)))</f>
        <v/>
      </c>
      <c r="E104" s="5" t="str">
        <f ca="1">IF(B104="", "", COUNTA(INDIRECT(D104 &amp; 3):INDIRECT(D104 &amp; 24)))</f>
        <v/>
      </c>
      <c r="F104" s="5" t="str">
        <f t="shared" si="3"/>
        <v/>
      </c>
      <c r="G104" s="5" t="str">
        <f>IF(F104="", "", IF(B104&lt;&gt;"", MATCH(B104, params!$B$2:$R$2, 0), G103))</f>
        <v/>
      </c>
      <c r="H104" s="5" t="str">
        <f t="shared" ca="1" si="5"/>
        <v/>
      </c>
      <c r="I104" s="2"/>
      <c r="J104" s="2"/>
      <c r="K104" s="2"/>
      <c r="L104" s="2"/>
      <c r="M104" s="2"/>
    </row>
    <row r="105" spans="1:13" ht="15.6" x14ac:dyDescent="0.3">
      <c r="A105" s="2"/>
      <c r="B105" s="5" t="str">
        <f>IF(COUNTIF(data_val!$E$3:$E$5, sample_log!$E105), sample_log!$C105 &amp; "_" &amp; sample_log!$D105, "")</f>
        <v/>
      </c>
      <c r="C105" s="5" t="str">
        <f>IF(B105="", IF(F105="", "", C104), IF(sample_log!E105="Triennial SASS", "tri_params", "params"))</f>
        <v/>
      </c>
      <c r="D105" s="5" t="str">
        <f>IF(B105="", "", C105 &amp; "!" &amp; CHAR(65+MATCH(B105, params!$B$2:$R$2, 0)))</f>
        <v/>
      </c>
      <c r="E105" s="5" t="str">
        <f ca="1">IF(B105="", "", COUNTA(INDIRECT(D105 &amp; 3):INDIRECT(D105 &amp; 24)))</f>
        <v/>
      </c>
      <c r="F105" s="5" t="str">
        <f t="shared" si="3"/>
        <v/>
      </c>
      <c r="G105" s="5" t="str">
        <f>IF(F105="", "", IF(B105&lt;&gt;"", MATCH(B105, params!$B$2:$R$2, 0), G104))</f>
        <v/>
      </c>
      <c r="H105" s="5" t="str">
        <f t="shared" ca="1" si="5"/>
        <v/>
      </c>
      <c r="I105" s="2"/>
      <c r="J105" s="2"/>
      <c r="K105" s="2"/>
      <c r="L105" s="2"/>
      <c r="M105" s="2"/>
    </row>
    <row r="106" spans="1:13" ht="15.6" x14ac:dyDescent="0.3">
      <c r="A106" s="2"/>
      <c r="B106" s="5" t="str">
        <f>IF(COUNTIF(data_val!$E$3:$E$5, sample_log!$E106), sample_log!$C106 &amp; "_" &amp; sample_log!$D106, "")</f>
        <v/>
      </c>
      <c r="C106" s="5" t="str">
        <f>IF(B106="", IF(F106="", "", C105), IF(sample_log!E106="Triennial SASS", "tri_params", "params"))</f>
        <v/>
      </c>
      <c r="D106" s="5" t="str">
        <f>IF(B106="", "", C106 &amp; "!" &amp; CHAR(65+MATCH(B106, params!$B$2:$R$2, 0)))</f>
        <v/>
      </c>
      <c r="E106" s="5" t="str">
        <f ca="1">IF(B106="", "", COUNTA(INDIRECT(D106 &amp; 3):INDIRECT(D106 &amp; 24)))</f>
        <v/>
      </c>
      <c r="F106" s="5" t="str">
        <f t="shared" si="3"/>
        <v/>
      </c>
      <c r="G106" s="5" t="str">
        <f>IF(F106="", "", IF(B106&lt;&gt;"", MATCH(B106, params!$B$2:$R$2, 0), G105))</f>
        <v/>
      </c>
      <c r="H106" s="5" t="str">
        <f t="shared" ca="1" si="5"/>
        <v/>
      </c>
      <c r="I106" s="2"/>
      <c r="J106" s="2"/>
      <c r="K106" s="2"/>
      <c r="L106" s="2"/>
      <c r="M106" s="2"/>
    </row>
    <row r="107" spans="1:13" ht="15.6" x14ac:dyDescent="0.3">
      <c r="A107" s="2"/>
      <c r="B107" s="5" t="str">
        <f>IF(COUNTIF(data_val!$E$3:$E$5, sample_log!$E107), sample_log!$C107 &amp; "_" &amp; sample_log!$D107, "")</f>
        <v/>
      </c>
      <c r="C107" s="5" t="str">
        <f>IF(B107="", IF(F107="", "", C106), IF(sample_log!E107="Triennial SASS", "tri_params", "params"))</f>
        <v/>
      </c>
      <c r="D107" s="5" t="str">
        <f>IF(B107="", "", C107 &amp; "!" &amp; CHAR(65+MATCH(B107, params!$B$2:$R$2, 0)))</f>
        <v/>
      </c>
      <c r="E107" s="5" t="str">
        <f ca="1">IF(B107="", "", COUNTA(INDIRECT(D107 &amp; 3):INDIRECT(D107 &amp; 24)))</f>
        <v/>
      </c>
      <c r="F107" s="5" t="str">
        <f t="shared" si="3"/>
        <v/>
      </c>
      <c r="G107" s="5" t="str">
        <f>IF(F107="", "", IF(B107&lt;&gt;"", MATCH(B107, params!$B$2:$R$2, 0), G106))</f>
        <v/>
      </c>
      <c r="H107" s="5" t="str">
        <f t="shared" ca="1" si="5"/>
        <v/>
      </c>
      <c r="I107" s="2"/>
      <c r="J107" s="2"/>
      <c r="K107" s="2"/>
      <c r="L107" s="2"/>
      <c r="M107" s="2"/>
    </row>
    <row r="108" spans="1:13" ht="15.6" x14ac:dyDescent="0.3">
      <c r="A108" s="2"/>
      <c r="B108" s="5" t="str">
        <f>IF(COUNTIF(data_val!$E$3:$E$5, sample_log!$E108), sample_log!$C108 &amp; "_" &amp; sample_log!$D108, "")</f>
        <v/>
      </c>
      <c r="C108" s="5" t="str">
        <f>IF(B108="", IF(F108="", "", C107), IF(sample_log!E108="Triennial SASS", "tri_params", "params"))</f>
        <v/>
      </c>
      <c r="D108" s="5" t="str">
        <f>IF(B108="", "", C108 &amp; "!" &amp; CHAR(65+MATCH(B108, params!$B$2:$R$2, 0)))</f>
        <v/>
      </c>
      <c r="E108" s="5" t="str">
        <f ca="1">IF(B108="", "", COUNTA(INDIRECT(D108 &amp; 3):INDIRECT(D108 &amp; 24)))</f>
        <v/>
      </c>
      <c r="F108" s="5" t="str">
        <f t="shared" si="3"/>
        <v/>
      </c>
      <c r="G108" s="5" t="str">
        <f>IF(F108="", "", IF(B108&lt;&gt;"", MATCH(B108, params!$B$2:$R$2, 0), G107))</f>
        <v/>
      </c>
      <c r="H108" s="5" t="str">
        <f ca="1">IF($F108="", "", INDEX(INDIRECT("'" &amp; C108 &amp; "'!$B$3:$R$24"), $F108, $G108))</f>
        <v/>
      </c>
      <c r="I108" s="2"/>
      <c r="J108" s="2"/>
      <c r="K108" s="2"/>
      <c r="L108" s="2"/>
      <c r="M108" s="2"/>
    </row>
    <row r="109" spans="1:13" ht="15.6" x14ac:dyDescent="0.3">
      <c r="A109" s="2"/>
      <c r="B109" s="5" t="str">
        <f>IF(COUNTIF(data_val!$E$3:$E$5, sample_log!$E109), sample_log!$C109 &amp; "_" &amp; sample_log!$D109, "")</f>
        <v/>
      </c>
      <c r="C109" s="5" t="str">
        <f>IF(B109="", IF(F109="", "", C108), IF(sample_log!E109="Triennial SASS", "tri_params", "params"))</f>
        <v/>
      </c>
      <c r="D109" s="5" t="str">
        <f>IF(B109="", "", C109 &amp; "!" &amp; CHAR(65+MATCH(B109, params!$B$2:$R$2, 0)))</f>
        <v/>
      </c>
      <c r="E109" s="5" t="str">
        <f ca="1">IF(B109="", "", COUNTA(INDIRECT(D109 &amp; 3):INDIRECT(D109 &amp; 24)))</f>
        <v/>
      </c>
      <c r="F109" s="5" t="str">
        <f t="shared" si="3"/>
        <v/>
      </c>
      <c r="G109" s="5" t="str">
        <f>IF(F109="", "", IF(B109&lt;&gt;"", MATCH(B109, params!$B$2:$R$2, 0), G108))</f>
        <v/>
      </c>
      <c r="H109" s="5" t="str">
        <f t="shared" ca="1" si="5"/>
        <v/>
      </c>
      <c r="I109" s="2"/>
      <c r="J109" s="2"/>
      <c r="K109" s="2"/>
      <c r="L109" s="2"/>
      <c r="M109" s="2"/>
    </row>
    <row r="110" spans="1:13" ht="15.6" x14ac:dyDescent="0.3">
      <c r="A110" s="2"/>
      <c r="B110" s="5" t="str">
        <f>IF(COUNTIF(data_val!$E$3:$E$5, sample_log!$E110), sample_log!$C110 &amp; "_" &amp; sample_log!$D110, "")</f>
        <v/>
      </c>
      <c r="C110" s="5" t="str">
        <f>IF(B110="", IF(F110="", "", C109), IF(sample_log!E110="Triennial SASS", "tri_params", "params"))</f>
        <v/>
      </c>
      <c r="D110" s="5" t="str">
        <f>IF(B110="", "", C110 &amp; "!" &amp; CHAR(65+MATCH(B110, params!$B$2:$R$2, 0)))</f>
        <v/>
      </c>
      <c r="E110" s="5" t="str">
        <f ca="1">IF(B110="", "", COUNTA(INDIRECT(D110 &amp; 3):INDIRECT(D110 &amp; 24)))</f>
        <v/>
      </c>
      <c r="F110" s="5" t="str">
        <f t="shared" si="3"/>
        <v/>
      </c>
      <c r="G110" s="5" t="str">
        <f>IF(F110="", "", IF(B110&lt;&gt;"", MATCH(B110, params!$B$2:$R$2, 0), G109))</f>
        <v/>
      </c>
      <c r="H110" s="5" t="str">
        <f t="shared" ca="1" si="5"/>
        <v/>
      </c>
      <c r="I110" s="2"/>
      <c r="J110" s="2"/>
      <c r="K110" s="2"/>
      <c r="L110" s="2"/>
      <c r="M110" s="2"/>
    </row>
    <row r="111" spans="1:13" ht="15.6" x14ac:dyDescent="0.3">
      <c r="A111" s="2"/>
      <c r="B111" s="5" t="str">
        <f>IF(COUNTIF(data_val!$E$3:$E$5, sample_log!$E111), sample_log!$C111 &amp; "_" &amp; sample_log!$D111, "")</f>
        <v/>
      </c>
      <c r="C111" s="5" t="str">
        <f>IF(B111="", IF(F111="", "", C110), IF(sample_log!E111="Triennial SASS", "tri_params", "params"))</f>
        <v/>
      </c>
      <c r="D111" s="5" t="str">
        <f>IF(B111="", "", C111 &amp; "!" &amp; CHAR(65+MATCH(B111, params!$B$2:$R$2, 0)))</f>
        <v/>
      </c>
      <c r="E111" s="5" t="str">
        <f ca="1">IF(B111="", "", COUNTA(INDIRECT(D111 &amp; 3):INDIRECT(D111 &amp; 24)))</f>
        <v/>
      </c>
      <c r="F111" s="5" t="str">
        <f t="shared" si="3"/>
        <v/>
      </c>
      <c r="G111" s="5" t="str">
        <f>IF(F111="", "", IF(B111&lt;&gt;"", MATCH(B111, params!$B$2:$R$2, 0), G110))</f>
        <v/>
      </c>
      <c r="H111" s="5" t="str">
        <f t="shared" ca="1" si="5"/>
        <v/>
      </c>
      <c r="I111" s="2"/>
      <c r="J111" s="2"/>
      <c r="K111" s="2"/>
      <c r="L111" s="2"/>
      <c r="M111" s="2"/>
    </row>
    <row r="112" spans="1:13" ht="15.6" x14ac:dyDescent="0.3">
      <c r="A112" s="2"/>
      <c r="B112" s="5" t="str">
        <f>IF(COUNTIF(data_val!$E$3:$E$5, sample_log!$E112), sample_log!$C112 &amp; "_" &amp; sample_log!$D112, "")</f>
        <v/>
      </c>
      <c r="C112" s="5" t="str">
        <f>IF(B112="", IF(F112="", "", C111), IF(sample_log!E112="Triennial SASS", "tri_params", "params"))</f>
        <v/>
      </c>
      <c r="D112" s="5" t="str">
        <f>IF(B112="", "", C112 &amp; "!" &amp; CHAR(65+MATCH(B112, params!$B$2:$R$2, 0)))</f>
        <v/>
      </c>
      <c r="E112" s="5" t="str">
        <f ca="1">IF(B112="", "", COUNTA(INDIRECT(D112 &amp; 3):INDIRECT(D112 &amp; 24)))</f>
        <v/>
      </c>
      <c r="F112" s="5" t="str">
        <f t="shared" si="3"/>
        <v/>
      </c>
      <c r="G112" s="5" t="str">
        <f>IF(F112="", "", IF(B112&lt;&gt;"", MATCH(B112, params!$B$2:$R$2, 0), G111))</f>
        <v/>
      </c>
      <c r="H112" s="5" t="str">
        <f t="shared" ca="1" si="5"/>
        <v/>
      </c>
      <c r="I112" s="2"/>
      <c r="J112" s="2"/>
      <c r="K112" s="2"/>
      <c r="L112" s="2"/>
      <c r="M112" s="2"/>
    </row>
    <row r="113" spans="1:13" ht="15.6" x14ac:dyDescent="0.3">
      <c r="A113" s="2"/>
      <c r="B113" s="5" t="str">
        <f>IF(COUNTIF(data_val!$E$3:$E$5, sample_log!$E113), sample_log!$C113 &amp; "_" &amp; sample_log!$D113, "")</f>
        <v/>
      </c>
      <c r="C113" s="5" t="str">
        <f>IF(B113="", IF(F113="", "", C112), IF(sample_log!E113="Triennial SASS", "tri_params", "params"))</f>
        <v/>
      </c>
      <c r="D113" s="5" t="str">
        <f>IF(B113="", "", C113 &amp; "!" &amp; CHAR(65+MATCH(B113, params!$B$2:$R$2, 0)))</f>
        <v/>
      </c>
      <c r="E113" s="5" t="str">
        <f ca="1">IF(B113="", "", COUNTA(INDIRECT(D113 &amp; 3):INDIRECT(D113 &amp; 24)))</f>
        <v/>
      </c>
      <c r="F113" s="5" t="str">
        <f t="shared" si="3"/>
        <v/>
      </c>
      <c r="G113" s="5" t="str">
        <f>IF(F113="", "", IF(B113&lt;&gt;"", MATCH(B113, params!$B$2:$R$2, 0), G112))</f>
        <v/>
      </c>
      <c r="H113" s="5" t="str">
        <f t="shared" ca="1" si="5"/>
        <v/>
      </c>
      <c r="I113" s="2"/>
      <c r="J113" s="2"/>
      <c r="K113" s="2"/>
      <c r="L113" s="2"/>
      <c r="M113" s="2"/>
    </row>
    <row r="114" spans="1:13" ht="15.6" x14ac:dyDescent="0.3">
      <c r="A114" s="2"/>
      <c r="B114" s="5" t="str">
        <f>IF(COUNTIF(data_val!$E$3:$E$5, sample_log!$E114), sample_log!$C114 &amp; "_" &amp; sample_log!$D114, "")</f>
        <v/>
      </c>
      <c r="C114" s="5" t="str">
        <f>IF(B114="", IF(F114="", "", C113), IF(sample_log!E114="Triennial SASS", "tri_params", "params"))</f>
        <v/>
      </c>
      <c r="D114" s="5" t="str">
        <f>IF(B114="", "", C114 &amp; "!" &amp; CHAR(65+MATCH(B114, params!$B$2:$R$2, 0)))</f>
        <v/>
      </c>
      <c r="E114" s="5" t="str">
        <f ca="1">IF(B114="", "", COUNTA(INDIRECT(D114 &amp; 3):INDIRECT(D114 &amp; 24)))</f>
        <v/>
      </c>
      <c r="F114" s="5" t="str">
        <f t="shared" si="3"/>
        <v/>
      </c>
      <c r="G114" s="5" t="str">
        <f>IF(F114="", "", IF(B114&lt;&gt;"", MATCH(B114, params!$B$2:$R$2, 0), G113))</f>
        <v/>
      </c>
      <c r="H114" s="5" t="str">
        <f t="shared" ca="1" si="5"/>
        <v/>
      </c>
      <c r="I114" s="2"/>
      <c r="J114" s="2"/>
      <c r="K114" s="2"/>
      <c r="L114" s="2"/>
      <c r="M114" s="2"/>
    </row>
    <row r="115" spans="1:13" ht="15.6" x14ac:dyDescent="0.3">
      <c r="A115" s="2"/>
      <c r="B115" s="5" t="str">
        <f>IF(COUNTIF(data_val!$E$3:$E$5, sample_log!$E115), sample_log!$C115 &amp; "_" &amp; sample_log!$D115, "")</f>
        <v/>
      </c>
      <c r="C115" s="5" t="str">
        <f>IF(B115="", IF(F115="", "", C114), IF(sample_log!E115="Triennial SASS", "tri_params", "params"))</f>
        <v/>
      </c>
      <c r="D115" s="5" t="str">
        <f>IF(B115="", "", C115 &amp; "!" &amp; CHAR(65+MATCH(B115, params!$B$2:$R$2, 0)))</f>
        <v/>
      </c>
      <c r="E115" s="5" t="str">
        <f ca="1">IF(B115="", "", COUNTA(INDIRECT(D115 &amp; 3):INDIRECT(D115 &amp; 24)))</f>
        <v/>
      </c>
      <c r="F115" s="5" t="str">
        <f t="shared" si="3"/>
        <v/>
      </c>
      <c r="G115" s="5" t="str">
        <f>IF(F115="", "", IF(B115&lt;&gt;"", MATCH(B115, params!$B$2:$R$2, 0), G114))</f>
        <v/>
      </c>
      <c r="H115" s="5" t="str">
        <f t="shared" ca="1" si="5"/>
        <v/>
      </c>
      <c r="I115" s="2"/>
      <c r="J115" s="2"/>
      <c r="K115" s="2"/>
      <c r="L115" s="2"/>
      <c r="M115" s="2"/>
    </row>
    <row r="116" spans="1:13" ht="15.6" x14ac:dyDescent="0.3">
      <c r="A116" s="2"/>
      <c r="B116" s="5" t="str">
        <f>IF(COUNTIF(data_val!$E$3:$E$5, sample_log!$E116), sample_log!$C116 &amp; "_" &amp; sample_log!$D116, "")</f>
        <v/>
      </c>
      <c r="C116" s="5" t="str">
        <f>IF(B116="", IF(F116="", "", C115), IF(sample_log!E116="Triennial SASS", "tri_params", "params"))</f>
        <v/>
      </c>
      <c r="D116" s="5" t="str">
        <f>IF(B116="", "", C116 &amp; "!" &amp; CHAR(65+MATCH(B116, params!$B$2:$R$2, 0)))</f>
        <v/>
      </c>
      <c r="E116" s="5" t="str">
        <f ca="1">IF(B116="", "", COUNTA(INDIRECT(D116 &amp; 3):INDIRECT(D116 &amp; 24)))</f>
        <v/>
      </c>
      <c r="F116" s="5" t="str">
        <f t="shared" si="3"/>
        <v/>
      </c>
      <c r="G116" s="5" t="str">
        <f>IF(F116="", "", IF(B116&lt;&gt;"", MATCH(B116, params!$B$2:$R$2, 0), G115))</f>
        <v/>
      </c>
      <c r="H116" s="5" t="str">
        <f t="shared" ca="1" si="5"/>
        <v/>
      </c>
      <c r="I116" s="2"/>
      <c r="J116" s="2"/>
      <c r="K116" s="2"/>
      <c r="L116" s="2"/>
      <c r="M116" s="2"/>
    </row>
    <row r="117" spans="1:13" ht="15.6" x14ac:dyDescent="0.3">
      <c r="A117" s="2"/>
      <c r="B117" s="5" t="str">
        <f>IF(COUNTIF(data_val!$E$3:$E$5, sample_log!$E117), sample_log!$C117 &amp; "_" &amp; sample_log!$D117, "")</f>
        <v/>
      </c>
      <c r="C117" s="5" t="str">
        <f>IF(B117="", IF(F117="", "", C116), IF(sample_log!E117="Triennial SASS", "tri_params", "params"))</f>
        <v/>
      </c>
      <c r="D117" s="5" t="str">
        <f>IF(B117="", "", C117 &amp; "!" &amp; CHAR(65+MATCH(B117, params!$B$2:$R$2, 0)))</f>
        <v/>
      </c>
      <c r="E117" s="5" t="str">
        <f ca="1">IF(B117="", "", COUNTA(INDIRECT(D117 &amp; 3):INDIRECT(D117 &amp; 24)))</f>
        <v/>
      </c>
      <c r="F117" s="5" t="str">
        <f t="shared" si="3"/>
        <v/>
      </c>
      <c r="G117" s="5" t="str">
        <f>IF(F117="", "", IF(B117&lt;&gt;"", MATCH(B117, params!$B$2:$R$2, 0), G116))</f>
        <v/>
      </c>
      <c r="H117" s="5" t="str">
        <f t="shared" ca="1" si="5"/>
        <v/>
      </c>
      <c r="I117" s="2"/>
      <c r="J117" s="2"/>
      <c r="K117" s="2"/>
      <c r="L117" s="2"/>
      <c r="M117" s="2"/>
    </row>
    <row r="118" spans="1:13" ht="15.6" x14ac:dyDescent="0.3">
      <c r="A118" s="2"/>
      <c r="B118" s="5" t="str">
        <f>IF(COUNTIF(data_val!$E$3:$E$5, sample_log!$E118), sample_log!$C118 &amp; "_" &amp; sample_log!$D118, "")</f>
        <v/>
      </c>
      <c r="C118" s="5" t="str">
        <f>IF(B118="", IF(F118="", "", C117), IF(sample_log!E118="Triennial SASS", "tri_params", "params"))</f>
        <v/>
      </c>
      <c r="D118" s="5" t="str">
        <f>IF(B118="", "", C118 &amp; "!" &amp; CHAR(65+MATCH(B118, params!$B$2:$R$2, 0)))</f>
        <v/>
      </c>
      <c r="E118" s="5" t="str">
        <f ca="1">IF(B118="", "", COUNTA(INDIRECT(D118 &amp; 3):INDIRECT(D118 &amp; 24)))</f>
        <v/>
      </c>
      <c r="F118" s="5" t="str">
        <f t="shared" si="3"/>
        <v/>
      </c>
      <c r="G118" s="5" t="str">
        <f>IF(F118="", "", IF(B118&lt;&gt;"", MATCH(B118, params!$B$2:$R$2, 0), G117))</f>
        <v/>
      </c>
      <c r="H118" s="5" t="str">
        <f t="shared" ca="1" si="5"/>
        <v/>
      </c>
      <c r="I118" s="2"/>
      <c r="J118" s="2"/>
      <c r="K118" s="2"/>
      <c r="L118" s="2"/>
      <c r="M118" s="2"/>
    </row>
    <row r="119" spans="1:13" ht="15.6" x14ac:dyDescent="0.3">
      <c r="A119" s="2"/>
      <c r="B119" s="5" t="str">
        <f>IF(COUNTIF(data_val!$E$3:$E$5, sample_log!$E119), sample_log!$C119 &amp; "_" &amp; sample_log!$D119, "")</f>
        <v/>
      </c>
      <c r="C119" s="5" t="str">
        <f>IF(B119="", IF(F119="", "", C118), IF(sample_log!E119="Triennial SASS", "tri_params", "params"))</f>
        <v/>
      </c>
      <c r="D119" s="5" t="str">
        <f>IF(B119="", "", C119 &amp; "!" &amp; CHAR(65+MATCH(B119, params!$B$2:$R$2, 0)))</f>
        <v/>
      </c>
      <c r="E119" s="5" t="str">
        <f ca="1">IF(B119="", "", COUNTA(INDIRECT(D119 &amp; 3):INDIRECT(D119 &amp; 24)))</f>
        <v/>
      </c>
      <c r="F119" s="5" t="str">
        <f t="shared" si="3"/>
        <v/>
      </c>
      <c r="G119" s="5" t="str">
        <f>IF(F119="", "", IF(B119&lt;&gt;"", MATCH(B119, params!$B$2:$R$2, 0), G118))</f>
        <v/>
      </c>
      <c r="H119" s="5" t="str">
        <f t="shared" ca="1" si="5"/>
        <v/>
      </c>
      <c r="I119" s="2"/>
      <c r="J119" s="2"/>
      <c r="K119" s="2"/>
      <c r="L119" s="2"/>
      <c r="M119" s="2"/>
    </row>
    <row r="120" spans="1:13" ht="15.6" x14ac:dyDescent="0.3">
      <c r="A120" s="2"/>
      <c r="B120" s="5" t="str">
        <f>IF(COUNTIF(data_val!$E$3:$E$5, sample_log!$E120), sample_log!$C120 &amp; "_" &amp; sample_log!$D120, "")</f>
        <v/>
      </c>
      <c r="C120" s="5" t="str">
        <f>IF(B120="", IF(F120="", "", C119), IF(sample_log!E120="Triennial SASS", "tri_params", "params"))</f>
        <v/>
      </c>
      <c r="D120" s="5" t="str">
        <f>IF(B120="", "", C120 &amp; "!" &amp; CHAR(65+MATCH(B120, params!$B$2:$R$2, 0)))</f>
        <v/>
      </c>
      <c r="E120" s="5" t="str">
        <f ca="1">IF(B120="", "", COUNTA(INDIRECT(D120 &amp; 3):INDIRECT(D120 &amp; 24)))</f>
        <v/>
      </c>
      <c r="F120" s="5" t="str">
        <f t="shared" si="3"/>
        <v/>
      </c>
      <c r="G120" s="5" t="str">
        <f>IF(F120="", "", IF(B120&lt;&gt;"", MATCH(B120, params!$B$2:$R$2, 0), G119))</f>
        <v/>
      </c>
      <c r="H120" s="5" t="str">
        <f t="shared" ca="1" si="5"/>
        <v/>
      </c>
      <c r="I120" s="2"/>
      <c r="J120" s="2"/>
      <c r="K120" s="2"/>
      <c r="L120" s="2"/>
      <c r="M120" s="2"/>
    </row>
    <row r="121" spans="1:13" ht="15.6" x14ac:dyDescent="0.3">
      <c r="A121" s="2"/>
      <c r="B121" s="5" t="str">
        <f>IF(COUNTIF(data_val!$E$3:$E$5, sample_log!$E121), sample_log!$C121 &amp; "_" &amp; sample_log!$D121, "")</f>
        <v/>
      </c>
      <c r="C121" s="5" t="str">
        <f>IF(B121="", IF(F121="", "", C120), IF(sample_log!E121="Triennial SASS", "tri_params", "params"))</f>
        <v/>
      </c>
      <c r="D121" s="5" t="str">
        <f>IF(B121="", "", C121 &amp; "!" &amp; CHAR(65+MATCH(B121, params!$B$2:$R$2, 0)))</f>
        <v/>
      </c>
      <c r="E121" s="5" t="str">
        <f ca="1">IF(B121="", "", COUNTA(INDIRECT(D121 &amp; 3):INDIRECT(D121 &amp; 24)))</f>
        <v/>
      </c>
      <c r="F121" s="5" t="str">
        <f t="shared" si="3"/>
        <v/>
      </c>
      <c r="G121" s="5" t="str">
        <f>IF(F121="", "", IF(B121&lt;&gt;"", MATCH(B121, params!$B$2:$R$2, 0), G120))</f>
        <v/>
      </c>
      <c r="H121" s="5" t="str">
        <f t="shared" ca="1" si="5"/>
        <v/>
      </c>
      <c r="I121" s="2"/>
      <c r="J121" s="2"/>
      <c r="K121" s="2"/>
      <c r="L121" s="2"/>
      <c r="M121" s="2"/>
    </row>
    <row r="122" spans="1:13" ht="15.6" x14ac:dyDescent="0.3">
      <c r="A122" s="2"/>
      <c r="B122" s="5" t="str">
        <f>IF(COUNTIF(data_val!$E$3:$E$5, sample_log!$E122), sample_log!$C122 &amp; "_" &amp; sample_log!$D122, "")</f>
        <v/>
      </c>
      <c r="C122" s="5" t="str">
        <f>IF(B122="", IF(F122="", "", C121), IF(sample_log!E122="Triennial SASS", "tri_params", "params"))</f>
        <v/>
      </c>
      <c r="D122" s="5" t="str">
        <f>IF(B122="", "", C122 &amp; "!" &amp; CHAR(65+MATCH(B122, params!$B$2:$R$2, 0)))</f>
        <v/>
      </c>
      <c r="E122" s="5" t="str">
        <f ca="1">IF(B122="", "", COUNTA(INDIRECT(D122 &amp; 3):INDIRECT(D122 &amp; 24)))</f>
        <v/>
      </c>
      <c r="F122" s="5" t="str">
        <f t="shared" si="3"/>
        <v/>
      </c>
      <c r="G122" s="5" t="str">
        <f>IF(F122="", "", IF(B122&lt;&gt;"", MATCH(B122, params!$B$2:$R$2, 0), G121))</f>
        <v/>
      </c>
      <c r="H122" s="5" t="str">
        <f t="shared" ca="1" si="5"/>
        <v/>
      </c>
      <c r="I122" s="2"/>
      <c r="J122" s="2"/>
      <c r="K122" s="2"/>
      <c r="L122" s="2"/>
      <c r="M122" s="2"/>
    </row>
    <row r="123" spans="1:13" ht="15.6" x14ac:dyDescent="0.3">
      <c r="A123" s="2"/>
      <c r="B123" s="5" t="str">
        <f>IF(COUNTIF(data_val!$E$3:$E$5, sample_log!$E123), sample_log!$C123 &amp; "_" &amp; sample_log!$D123, "")</f>
        <v/>
      </c>
      <c r="C123" s="5" t="str">
        <f>IF(B123="", IF(F123="", "", C122), IF(sample_log!E123="Triennial SASS", "tri_params", "params"))</f>
        <v/>
      </c>
      <c r="D123" s="5" t="str">
        <f>IF(B123="", "", C123 &amp; "!" &amp; CHAR(65+MATCH(B123, params!$B$2:$R$2, 0)))</f>
        <v/>
      </c>
      <c r="E123" s="5" t="str">
        <f ca="1">IF(B123="", "", COUNTA(INDIRECT(D123 &amp; 3):INDIRECT(D123 &amp; 24)))</f>
        <v/>
      </c>
      <c r="F123" s="5" t="str">
        <f t="shared" si="3"/>
        <v/>
      </c>
      <c r="G123" s="5" t="str">
        <f>IF(F123="", "", IF(B123&lt;&gt;"", MATCH(B123, params!$B$2:$R$2, 0), G122))</f>
        <v/>
      </c>
      <c r="H123" s="5" t="str">
        <f t="shared" ca="1" si="5"/>
        <v/>
      </c>
      <c r="I123" s="2"/>
      <c r="J123" s="2"/>
      <c r="K123" s="2"/>
      <c r="L123" s="2"/>
      <c r="M123" s="2"/>
    </row>
    <row r="124" spans="1:13" ht="15.6" x14ac:dyDescent="0.3">
      <c r="A124" s="2"/>
      <c r="B124" s="5" t="str">
        <f>IF(COUNTIF(data_val!$E$3:$E$5, sample_log!$E124), sample_log!$C124 &amp; "_" &amp; sample_log!$D124, "")</f>
        <v/>
      </c>
      <c r="C124" s="5" t="str">
        <f>IF(B124="", IF(F124="", "", C123), IF(sample_log!E124="Triennial SASS", "tri_params", "params"))</f>
        <v/>
      </c>
      <c r="D124" s="5" t="str">
        <f>IF(B124="", "", C124 &amp; "!" &amp; CHAR(65+MATCH(B124, params!$B$2:$R$2, 0)))</f>
        <v/>
      </c>
      <c r="E124" s="5" t="str">
        <f ca="1">IF(B124="", "", COUNTA(INDIRECT(D124 &amp; 3):INDIRECT(D124 &amp; 24)))</f>
        <v/>
      </c>
      <c r="F124" s="5" t="str">
        <f t="shared" si="3"/>
        <v/>
      </c>
      <c r="G124" s="5" t="str">
        <f>IF(F124="", "", IF(B124&lt;&gt;"", MATCH(B124, params!$B$2:$R$2, 0), G123))</f>
        <v/>
      </c>
      <c r="H124" s="5" t="str">
        <f t="shared" ca="1" si="5"/>
        <v/>
      </c>
      <c r="I124" s="2"/>
      <c r="J124" s="2"/>
      <c r="K124" s="2"/>
      <c r="L124" s="2"/>
      <c r="M124" s="2"/>
    </row>
    <row r="125" spans="1:13" ht="15.6" x14ac:dyDescent="0.3">
      <c r="A125" s="2"/>
      <c r="B125" s="5" t="str">
        <f>IF(COUNTIF(data_val!$E$3:$E$5, sample_log!$E125), sample_log!$C125 &amp; "_" &amp; sample_log!$D125, "")</f>
        <v/>
      </c>
      <c r="C125" s="5" t="str">
        <f>IF(B125="", IF(F125="", "", C124), IF(sample_log!E125="Triennial SASS", "tri_params", "params"))</f>
        <v/>
      </c>
      <c r="D125" s="5" t="str">
        <f>IF(B125="", "", C125 &amp; "!" &amp; CHAR(65+MATCH(B125, params!$B$2:$R$2, 0)))</f>
        <v/>
      </c>
      <c r="E125" s="5" t="str">
        <f ca="1">IF(B125="", "", COUNTA(INDIRECT(D125 &amp; 3):INDIRECT(D125 &amp; 24)))</f>
        <v/>
      </c>
      <c r="F125" s="5" t="str">
        <f t="shared" si="3"/>
        <v/>
      </c>
      <c r="G125" s="5" t="str">
        <f>IF(F125="", "", IF(B125&lt;&gt;"", MATCH(B125, params!$B$2:$R$2, 0), G124))</f>
        <v/>
      </c>
      <c r="H125" s="5" t="str">
        <f t="shared" ca="1" si="5"/>
        <v/>
      </c>
      <c r="I125" s="2"/>
      <c r="J125" s="2"/>
      <c r="K125" s="2"/>
      <c r="L125" s="2"/>
      <c r="M125" s="2"/>
    </row>
    <row r="126" spans="1:13" ht="15.6" x14ac:dyDescent="0.3">
      <c r="A126" s="2"/>
      <c r="B126" s="5" t="str">
        <f>IF(COUNTIF(data_val!$E$3:$E$5, sample_log!$E126), sample_log!$C126 &amp; "_" &amp; sample_log!$D126, "")</f>
        <v/>
      </c>
      <c r="C126" s="5" t="str">
        <f>IF(B126="", IF(F126="", "", C125), IF(sample_log!E126="Triennial SASS", "tri_params", "params"))</f>
        <v/>
      </c>
      <c r="D126" s="5" t="str">
        <f>IF(B126="", "", C126 &amp; "!" &amp; CHAR(65+MATCH(B126, params!$B$2:$R$2, 0)))</f>
        <v/>
      </c>
      <c r="E126" s="5" t="str">
        <f ca="1">IF(B126="", "", COUNTA(INDIRECT(D126 &amp; 3):INDIRECT(D126 &amp; 24)))</f>
        <v/>
      </c>
      <c r="F126" s="5" t="str">
        <f t="shared" si="3"/>
        <v/>
      </c>
      <c r="G126" s="5" t="str">
        <f>IF(F126="", "", IF(B126&lt;&gt;"", MATCH(B126, params!$B$2:$R$2, 0), G125))</f>
        <v/>
      </c>
      <c r="H126" s="5" t="str">
        <f t="shared" ca="1" si="5"/>
        <v/>
      </c>
      <c r="I126" s="2"/>
      <c r="J126" s="2"/>
      <c r="K126" s="2"/>
      <c r="L126" s="2"/>
      <c r="M126" s="2"/>
    </row>
    <row r="127" spans="1:13" ht="15.6" x14ac:dyDescent="0.3">
      <c r="A127" s="2"/>
      <c r="B127" s="5" t="str">
        <f>IF(COUNTIF(data_val!$E$3:$E$5, sample_log!$E127), sample_log!$C127 &amp; "_" &amp; sample_log!$D127, "")</f>
        <v/>
      </c>
      <c r="C127" s="5" t="str">
        <f>IF(B127="", IF(F127="", "", C126), IF(sample_log!E127="Triennial SASS", "tri_params", "params"))</f>
        <v/>
      </c>
      <c r="D127" s="5" t="str">
        <f>IF(B127="", "", C127 &amp; "!" &amp; CHAR(65+MATCH(B127, params!$B$2:$R$2, 0)))</f>
        <v/>
      </c>
      <c r="E127" s="5" t="str">
        <f ca="1">IF(B127="", "", COUNTA(INDIRECT(D127 &amp; 3):INDIRECT(D127 &amp; 24)))</f>
        <v/>
      </c>
      <c r="F127" s="5" t="str">
        <f t="shared" si="3"/>
        <v/>
      </c>
      <c r="G127" s="5" t="str">
        <f>IF(F127="", "", IF(B127&lt;&gt;"", MATCH(B127, params!$B$2:$R$2, 0), G126))</f>
        <v/>
      </c>
      <c r="H127" s="5" t="str">
        <f t="shared" ca="1" si="5"/>
        <v/>
      </c>
      <c r="I127" s="2"/>
      <c r="J127" s="2"/>
      <c r="K127" s="2"/>
      <c r="L127" s="2"/>
      <c r="M127" s="2"/>
    </row>
    <row r="128" spans="1:13" ht="15.6" x14ac:dyDescent="0.3">
      <c r="A128" s="2"/>
      <c r="B128" s="5" t="str">
        <f>IF(COUNTIF(data_val!$E$3:$E$5, sample_log!$E128), sample_log!$C128 &amp; "_" &amp; sample_log!$D128, "")</f>
        <v/>
      </c>
      <c r="C128" s="5" t="str">
        <f>IF(B128="", IF(F128="", "", C127), IF(sample_log!E128="Triennial SASS", "tri_params", "params"))</f>
        <v/>
      </c>
      <c r="D128" s="5" t="str">
        <f>IF(B128="", "", C128 &amp; "!" &amp; CHAR(65+MATCH(B128, params!$B$2:$R$2, 0)))</f>
        <v/>
      </c>
      <c r="E128" s="5" t="str">
        <f ca="1">IF(B128="", "", COUNTA(INDIRECT(D128 &amp; 3):INDIRECT(D128 &amp; 24)))</f>
        <v/>
      </c>
      <c r="F128" s="5" t="str">
        <f t="shared" si="3"/>
        <v/>
      </c>
      <c r="G128" s="5" t="str">
        <f>IF(F128="", "", IF(B128&lt;&gt;"", MATCH(B128, params!$B$2:$R$2, 0), G127))</f>
        <v/>
      </c>
      <c r="H128" s="5" t="str">
        <f t="shared" ca="1" si="5"/>
        <v/>
      </c>
      <c r="I128" s="2"/>
      <c r="J128" s="2"/>
      <c r="K128" s="2"/>
      <c r="L128" s="2"/>
      <c r="M128" s="2"/>
    </row>
    <row r="129" spans="1:13" ht="15.6" x14ac:dyDescent="0.3">
      <c r="A129" s="2"/>
      <c r="B129" s="5" t="str">
        <f>IF(COUNTIF(data_val!$E$3:$E$5, sample_log!$E129), sample_log!$C129 &amp; "_" &amp; sample_log!$D129, "")</f>
        <v/>
      </c>
      <c r="C129" s="5" t="str">
        <f>IF(B129="", IF(F129="", "", C128), IF(sample_log!E129="Triennial SASS", "tri_params", "params"))</f>
        <v/>
      </c>
      <c r="D129" s="5" t="str">
        <f>IF(B129="", "", C129 &amp; "!" &amp; CHAR(65+MATCH(B129, params!$B$2:$R$2, 0)))</f>
        <v/>
      </c>
      <c r="E129" s="5" t="str">
        <f ca="1">IF(B129="", "", COUNTA(INDIRECT(D129 &amp; 3):INDIRECT(D129 &amp; 24)))</f>
        <v/>
      </c>
      <c r="F129" s="5" t="str">
        <f t="shared" si="3"/>
        <v/>
      </c>
      <c r="G129" s="5" t="str">
        <f>IF(F129="", "", IF(B129&lt;&gt;"", MATCH(B129, params!$B$2:$R$2, 0), G128))</f>
        <v/>
      </c>
      <c r="H129" s="5" t="str">
        <f t="shared" ca="1" si="5"/>
        <v/>
      </c>
      <c r="I129" s="2"/>
      <c r="J129" s="2"/>
      <c r="K129" s="2"/>
      <c r="L129" s="2"/>
      <c r="M129" s="2"/>
    </row>
    <row r="130" spans="1:13" ht="15.6" x14ac:dyDescent="0.3">
      <c r="A130" s="2"/>
      <c r="B130" s="5" t="str">
        <f>IF(COUNTIF(data_val!$E$3:$E$5, sample_log!$E130), sample_log!$C130 &amp; "_" &amp; sample_log!$D130, "")</f>
        <v/>
      </c>
      <c r="C130" s="5" t="str">
        <f>IF(B130="", IF(F130="", "", C129), IF(sample_log!E130="Triennial SASS", "tri_params", "params"))</f>
        <v/>
      </c>
      <c r="D130" s="5" t="str">
        <f>IF(B130="", "", C130 &amp; "!" &amp; CHAR(65+MATCH(B130, params!$B$2:$R$2, 0)))</f>
        <v/>
      </c>
      <c r="E130" s="5" t="str">
        <f ca="1">IF(B130="", "", COUNTA(INDIRECT(D130 &amp; 3):INDIRECT(D130 &amp; 24)))</f>
        <v/>
      </c>
      <c r="F130" s="5" t="str">
        <f t="shared" si="3"/>
        <v/>
      </c>
      <c r="G130" s="5" t="str">
        <f>IF(F130="", "", IF(B130&lt;&gt;"", MATCH(B130, params!$B$2:$R$2, 0), G129))</f>
        <v/>
      </c>
      <c r="H130" s="5" t="str">
        <f t="shared" ca="1" si="5"/>
        <v/>
      </c>
      <c r="I130" s="2"/>
      <c r="J130" s="2"/>
      <c r="K130" s="2"/>
      <c r="L130" s="2"/>
      <c r="M130" s="2"/>
    </row>
    <row r="131" spans="1:13" ht="15.6" x14ac:dyDescent="0.3">
      <c r="A131" s="2"/>
      <c r="B131" s="5" t="str">
        <f>IF(COUNTIF(data_val!$E$3:$E$5, sample_log!$E131), sample_log!$C131 &amp; "_" &amp; sample_log!$D131, "")</f>
        <v/>
      </c>
      <c r="C131" s="5" t="str">
        <f>IF(B131="", IF(F131="", "", C130), IF(sample_log!E131="Triennial SASS", "tri_params", "params"))</f>
        <v/>
      </c>
      <c r="D131" s="5" t="str">
        <f>IF(B131="", "", C131 &amp; "!" &amp; CHAR(65+MATCH(B131, params!$B$2:$R$2, 0)))</f>
        <v/>
      </c>
      <c r="E131" s="5" t="str">
        <f ca="1">IF(B131="", "", COUNTA(INDIRECT(D131 &amp; 3):INDIRECT(D131 &amp; 24)))</f>
        <v/>
      </c>
      <c r="F131" s="5" t="str">
        <f t="shared" ref="F131:F194" si="6">IF(B131="", IF(NOT(ISNUMBER(F130)), "", IF(F130-1&gt;0, F130-1, "")), E131)</f>
        <v/>
      </c>
      <c r="G131" s="5" t="str">
        <f>IF(F131="", "", IF(B131&lt;&gt;"", MATCH(B131, params!$B$2:$R$2, 0), G130))</f>
        <v/>
      </c>
      <c r="H131" s="5" t="str">
        <f t="shared" ca="1" si="5"/>
        <v/>
      </c>
      <c r="I131" s="2"/>
      <c r="J131" s="2"/>
      <c r="K131" s="2"/>
      <c r="L131" s="2"/>
      <c r="M131" s="2"/>
    </row>
    <row r="132" spans="1:13" ht="15.6" x14ac:dyDescent="0.3">
      <c r="A132" s="2"/>
      <c r="B132" s="5" t="str">
        <f>IF(COUNTIF(data_val!$E$3:$E$5, sample_log!$E132), sample_log!$C132 &amp; "_" &amp; sample_log!$D132, "")</f>
        <v/>
      </c>
      <c r="C132" s="5" t="str">
        <f>IF(B132="", IF(F132="", "", C131), IF(sample_log!E132="Triennial SASS", "tri_params", "params"))</f>
        <v/>
      </c>
      <c r="D132" s="5" t="str">
        <f>IF(B132="", "", C132 &amp; "!" &amp; CHAR(65+MATCH(B132, params!$B$2:$R$2, 0)))</f>
        <v/>
      </c>
      <c r="E132" s="5" t="str">
        <f ca="1">IF(B132="", "", COUNTA(INDIRECT(D132 &amp; 3):INDIRECT(D132 &amp; 24)))</f>
        <v/>
      </c>
      <c r="F132" s="5" t="str">
        <f t="shared" si="6"/>
        <v/>
      </c>
      <c r="G132" s="5" t="str">
        <f>IF(F132="", "", IF(B132&lt;&gt;"", MATCH(B132, params!$B$2:$R$2, 0), G131))</f>
        <v/>
      </c>
      <c r="H132" s="5" t="str">
        <f t="shared" ca="1" si="5"/>
        <v/>
      </c>
      <c r="I132" s="2"/>
      <c r="J132" s="2"/>
      <c r="K132" s="2"/>
      <c r="L132" s="2"/>
      <c r="M132" s="2"/>
    </row>
    <row r="133" spans="1:13" ht="15.6" x14ac:dyDescent="0.3">
      <c r="A133" s="2"/>
      <c r="B133" s="5" t="str">
        <f>IF(COUNTIF(data_val!$E$3:$E$5, sample_log!$E133), sample_log!$C133 &amp; "_" &amp; sample_log!$D133, "")</f>
        <v/>
      </c>
      <c r="C133" s="5" t="str">
        <f>IF(B133="", IF(F133="", "", C132), IF(sample_log!E133="Triennial SASS", "tri_params", "params"))</f>
        <v/>
      </c>
      <c r="D133" s="5" t="str">
        <f>IF(B133="", "", C133 &amp; "!" &amp; CHAR(65+MATCH(B133, params!$B$2:$R$2, 0)))</f>
        <v/>
      </c>
      <c r="E133" s="5" t="str">
        <f ca="1">IF(B133="", "", COUNTA(INDIRECT(D133 &amp; 3):INDIRECT(D133 &amp; 24)))</f>
        <v/>
      </c>
      <c r="F133" s="5" t="str">
        <f t="shared" si="6"/>
        <v/>
      </c>
      <c r="G133" s="5" t="str">
        <f>IF(F133="", "", IF(B133&lt;&gt;"", MATCH(B133, params!$B$2:$R$2, 0), G132))</f>
        <v/>
      </c>
      <c r="H133" s="5" t="str">
        <f t="shared" ca="1" si="5"/>
        <v/>
      </c>
      <c r="I133" s="2"/>
      <c r="J133" s="2"/>
      <c r="K133" s="2"/>
      <c r="L133" s="2"/>
      <c r="M133" s="2"/>
    </row>
    <row r="134" spans="1:13" ht="15.6" x14ac:dyDescent="0.3">
      <c r="A134" s="2"/>
      <c r="B134" s="5" t="str">
        <f>IF(COUNTIF(data_val!$E$3:$E$5, sample_log!$E134), sample_log!$C134 &amp; "_" &amp; sample_log!$D134, "")</f>
        <v/>
      </c>
      <c r="C134" s="5" t="str">
        <f>IF(B134="", IF(F134="", "", C133), IF(sample_log!E134="Triennial SASS", "tri_params", "params"))</f>
        <v/>
      </c>
      <c r="D134" s="5" t="str">
        <f>IF(B134="", "", C134 &amp; "!" &amp; CHAR(65+MATCH(B134, params!$B$2:$R$2, 0)))</f>
        <v/>
      </c>
      <c r="E134" s="5" t="str">
        <f ca="1">IF(B134="", "", COUNTA(INDIRECT(D134 &amp; 3):INDIRECT(D134 &amp; 24)))</f>
        <v/>
      </c>
      <c r="F134" s="5" t="str">
        <f t="shared" si="6"/>
        <v/>
      </c>
      <c r="G134" s="5" t="str">
        <f>IF(F134="", "", IF(B134&lt;&gt;"", MATCH(B134, params!$B$2:$R$2, 0), G133))</f>
        <v/>
      </c>
      <c r="H134" s="5" t="str">
        <f t="shared" ca="1" si="5"/>
        <v/>
      </c>
      <c r="I134" s="2"/>
      <c r="J134" s="2"/>
      <c r="K134" s="2"/>
      <c r="L134" s="2"/>
      <c r="M134" s="2"/>
    </row>
    <row r="135" spans="1:13" ht="15.6" x14ac:dyDescent="0.3">
      <c r="A135" s="2"/>
      <c r="B135" s="5" t="str">
        <f>IF(COUNTIF(data_val!$E$3:$E$5, sample_log!$E135), sample_log!$C135 &amp; "_" &amp; sample_log!$D135, "")</f>
        <v/>
      </c>
      <c r="C135" s="5" t="str">
        <f>IF(B135="", IF(F135="", "", C134), IF(sample_log!E135="Triennial SASS", "tri_params", "params"))</f>
        <v/>
      </c>
      <c r="D135" s="5" t="str">
        <f>IF(B135="", "", C135 &amp; "!" &amp; CHAR(65+MATCH(B135, params!$B$2:$R$2, 0)))</f>
        <v/>
      </c>
      <c r="E135" s="5" t="str">
        <f ca="1">IF(B135="", "", COUNTA(INDIRECT(D135 &amp; 3):INDIRECT(D135 &amp; 24)))</f>
        <v/>
      </c>
      <c r="F135" s="5" t="str">
        <f t="shared" si="6"/>
        <v/>
      </c>
      <c r="G135" s="5" t="str">
        <f>IF(F135="", "", IF(B135&lt;&gt;"", MATCH(B135, params!$B$2:$R$2, 0), G134))</f>
        <v/>
      </c>
      <c r="H135" s="5" t="str">
        <f t="shared" ca="1" si="5"/>
        <v/>
      </c>
      <c r="I135" s="2"/>
      <c r="J135" s="2"/>
      <c r="K135" s="2"/>
      <c r="L135" s="2"/>
      <c r="M135" s="2"/>
    </row>
    <row r="136" spans="1:13" ht="15.6" x14ac:dyDescent="0.3">
      <c r="A136" s="2"/>
      <c r="B136" s="5" t="str">
        <f>IF(COUNTIF(data_val!$E$3:$E$5, sample_log!$E136), sample_log!$C136 &amp; "_" &amp; sample_log!$D136, "")</f>
        <v/>
      </c>
      <c r="C136" s="5" t="str">
        <f>IF(B136="", IF(F136="", "", C135), IF(sample_log!E136="Triennial SASS", "tri_params", "params"))</f>
        <v/>
      </c>
      <c r="D136" s="5" t="str">
        <f>IF(B136="", "", C136 &amp; "!" &amp; CHAR(65+MATCH(B136, params!$B$2:$R$2, 0)))</f>
        <v/>
      </c>
      <c r="E136" s="5" t="str">
        <f ca="1">IF(B136="", "", COUNTA(INDIRECT(D136 &amp; 3):INDIRECT(D136 &amp; 24)))</f>
        <v/>
      </c>
      <c r="F136" s="5" t="str">
        <f t="shared" si="6"/>
        <v/>
      </c>
      <c r="G136" s="5" t="str">
        <f>IF(F136="", "", IF(B136&lt;&gt;"", MATCH(B136, params!$B$2:$R$2, 0), G135))</f>
        <v/>
      </c>
      <c r="H136" s="5" t="str">
        <f t="shared" ca="1" si="5"/>
        <v/>
      </c>
      <c r="I136" s="2"/>
      <c r="J136" s="2"/>
      <c r="K136" s="2"/>
      <c r="L136" s="2"/>
      <c r="M136" s="2"/>
    </row>
    <row r="137" spans="1:13" ht="15.6" x14ac:dyDescent="0.3">
      <c r="A137" s="2"/>
      <c r="B137" s="5" t="str">
        <f>IF(COUNTIF(data_val!$E$3:$E$5, sample_log!$E137), sample_log!$C137 &amp; "_" &amp; sample_log!$D137, "")</f>
        <v/>
      </c>
      <c r="C137" s="5" t="str">
        <f>IF(B137="", IF(F137="", "", C136), IF(sample_log!E137="Triennial SASS", "tri_params", "params"))</f>
        <v/>
      </c>
      <c r="D137" s="5" t="str">
        <f>IF(B137="", "", C137 &amp; "!" &amp; CHAR(65+MATCH(B137, params!$B$2:$R$2, 0)))</f>
        <v/>
      </c>
      <c r="E137" s="5" t="str">
        <f ca="1">IF(B137="", "", COUNTA(INDIRECT(D137 &amp; 3):INDIRECT(D137 &amp; 24)))</f>
        <v/>
      </c>
      <c r="F137" s="5" t="str">
        <f t="shared" si="6"/>
        <v/>
      </c>
      <c r="G137" s="5" t="str">
        <f>IF(F137="", "", IF(B137&lt;&gt;"", MATCH(B137, params!$B$2:$R$2, 0), G136))</f>
        <v/>
      </c>
      <c r="H137" s="5" t="str">
        <f t="shared" ca="1" si="5"/>
        <v/>
      </c>
      <c r="I137" s="2"/>
      <c r="J137" s="2"/>
      <c r="K137" s="2"/>
      <c r="L137" s="2"/>
      <c r="M137" s="2"/>
    </row>
    <row r="138" spans="1:13" ht="15.6" x14ac:dyDescent="0.3">
      <c r="A138" s="2"/>
      <c r="B138" s="5" t="str">
        <f>IF(COUNTIF(data_val!$E$3:$E$5, sample_log!$E138), sample_log!$C138 &amp; "_" &amp; sample_log!$D138, "")</f>
        <v/>
      </c>
      <c r="C138" s="5" t="str">
        <f>IF(B138="", IF(F138="", "", C137), IF(sample_log!E138="Triennial SASS", "tri_params", "params"))</f>
        <v/>
      </c>
      <c r="D138" s="5" t="str">
        <f>IF(B138="", "", C138 &amp; "!" &amp; CHAR(65+MATCH(B138, params!$B$2:$R$2, 0)))</f>
        <v/>
      </c>
      <c r="E138" s="5" t="str">
        <f ca="1">IF(B138="", "", COUNTA(INDIRECT(D138 &amp; 3):INDIRECT(D138 &amp; 24)))</f>
        <v/>
      </c>
      <c r="F138" s="5" t="str">
        <f t="shared" si="6"/>
        <v/>
      </c>
      <c r="G138" s="5" t="str">
        <f>IF(F138="", "", IF(B138&lt;&gt;"", MATCH(B138, params!$B$2:$R$2, 0), G137))</f>
        <v/>
      </c>
      <c r="H138" s="5" t="str">
        <f t="shared" ca="1" si="5"/>
        <v/>
      </c>
      <c r="I138" s="2"/>
      <c r="J138" s="2"/>
      <c r="K138" s="2"/>
      <c r="L138" s="2"/>
      <c r="M138" s="2"/>
    </row>
    <row r="139" spans="1:13" ht="15.6" x14ac:dyDescent="0.3">
      <c r="A139" s="2"/>
      <c r="B139" s="5" t="str">
        <f>IF(COUNTIF(data_val!$E$3:$E$5, sample_log!$E139), sample_log!$C139 &amp; "_" &amp; sample_log!$D139, "")</f>
        <v/>
      </c>
      <c r="C139" s="5" t="str">
        <f>IF(B139="", IF(F139="", "", C138), IF(sample_log!E139="Triennial SASS", "tri_params", "params"))</f>
        <v/>
      </c>
      <c r="D139" s="5" t="str">
        <f>IF(B139="", "", C139 &amp; "!" &amp; CHAR(65+MATCH(B139, params!$B$2:$R$2, 0)))</f>
        <v/>
      </c>
      <c r="E139" s="5" t="str">
        <f ca="1">IF(B139="", "", COUNTA(INDIRECT(D139 &amp; 3):INDIRECT(D139 &amp; 24)))</f>
        <v/>
      </c>
      <c r="F139" s="5" t="str">
        <f t="shared" si="6"/>
        <v/>
      </c>
      <c r="G139" s="5" t="str">
        <f>IF(F139="", "", IF(B139&lt;&gt;"", MATCH(B139, params!$B$2:$R$2, 0), G138))</f>
        <v/>
      </c>
      <c r="H139" s="5" t="str">
        <f t="shared" ca="1" si="5"/>
        <v/>
      </c>
      <c r="I139" s="2"/>
      <c r="J139" s="2"/>
      <c r="K139" s="2"/>
      <c r="L139" s="2"/>
      <c r="M139" s="2"/>
    </row>
    <row r="140" spans="1:13" ht="15.6" x14ac:dyDescent="0.3">
      <c r="A140" s="2"/>
      <c r="B140" s="5" t="str">
        <f>IF(COUNTIF(data_val!$E$3:$E$5, sample_log!$E140), sample_log!$C140 &amp; "_" &amp; sample_log!$D140, "")</f>
        <v/>
      </c>
      <c r="C140" s="5" t="str">
        <f>IF(B140="", IF(F140="", "", C139), IF(sample_log!E140="Triennial SASS", "tri_params", "params"))</f>
        <v/>
      </c>
      <c r="D140" s="5" t="str">
        <f>IF(B140="", "", C140 &amp; "!" &amp; CHAR(65+MATCH(B140, params!$B$2:$R$2, 0)))</f>
        <v/>
      </c>
      <c r="E140" s="5" t="str">
        <f ca="1">IF(B140="", "", COUNTA(INDIRECT(D140 &amp; 3):INDIRECT(D140 &amp; 24)))</f>
        <v/>
      </c>
      <c r="F140" s="5" t="str">
        <f t="shared" si="6"/>
        <v/>
      </c>
      <c r="G140" s="5" t="str">
        <f>IF(F140="", "", IF(B140&lt;&gt;"", MATCH(B140, params!$B$2:$R$2, 0), G139))</f>
        <v/>
      </c>
      <c r="H140" s="5" t="str">
        <f t="shared" ca="1" si="5"/>
        <v/>
      </c>
      <c r="I140" s="2"/>
      <c r="J140" s="2"/>
      <c r="K140" s="2"/>
      <c r="L140" s="2"/>
      <c r="M140" s="2"/>
    </row>
    <row r="141" spans="1:13" ht="15.6" x14ac:dyDescent="0.3">
      <c r="A141" s="2"/>
      <c r="B141" s="5" t="str">
        <f>IF(COUNTIF(data_val!$E$3:$E$5, sample_log!$E141), sample_log!$C141 &amp; "_" &amp; sample_log!$D141, "")</f>
        <v/>
      </c>
      <c r="C141" s="5" t="str">
        <f>IF(B141="", IF(F141="", "", C140), IF(sample_log!E141="Triennial SASS", "tri_params", "params"))</f>
        <v/>
      </c>
      <c r="D141" s="5" t="str">
        <f>IF(B141="", "", C141 &amp; "!" &amp; CHAR(65+MATCH(B141, params!$B$2:$R$2, 0)))</f>
        <v/>
      </c>
      <c r="E141" s="5" t="str">
        <f ca="1">IF(B141="", "", COUNTA(INDIRECT(D141 &amp; 3):INDIRECT(D141 &amp; 24)))</f>
        <v/>
      </c>
      <c r="F141" s="5" t="str">
        <f t="shared" si="6"/>
        <v/>
      </c>
      <c r="G141" s="5" t="str">
        <f>IF(F141="", "", IF(B141&lt;&gt;"", MATCH(B141, params!$B$2:$R$2, 0), G140))</f>
        <v/>
      </c>
      <c r="H141" s="5" t="str">
        <f t="shared" ca="1" si="5"/>
        <v/>
      </c>
      <c r="I141" s="2"/>
      <c r="J141" s="2"/>
      <c r="K141" s="2"/>
      <c r="L141" s="2"/>
      <c r="M141" s="2"/>
    </row>
    <row r="142" spans="1:13" ht="15.6" x14ac:dyDescent="0.3">
      <c r="A142" s="2"/>
      <c r="B142" s="5" t="str">
        <f>IF(COUNTIF(data_val!$E$3:$E$5, sample_log!$E142), sample_log!$C142 &amp; "_" &amp; sample_log!$D142, "")</f>
        <v/>
      </c>
      <c r="C142" s="5" t="str">
        <f>IF(B142="", IF(F142="", "", C141), IF(sample_log!E142="Triennial SASS", "tri_params", "params"))</f>
        <v/>
      </c>
      <c r="D142" s="5" t="str">
        <f>IF(B142="", "", C142 &amp; "!" &amp; CHAR(65+MATCH(B142, params!$B$2:$R$2, 0)))</f>
        <v/>
      </c>
      <c r="E142" s="5" t="str">
        <f ca="1">IF(B142="", "", COUNTA(INDIRECT(D142 &amp; 3):INDIRECT(D142 &amp; 24)))</f>
        <v/>
      </c>
      <c r="F142" s="5" t="str">
        <f t="shared" si="6"/>
        <v/>
      </c>
      <c r="G142" s="5" t="str">
        <f>IF(F142="", "", IF(B142&lt;&gt;"", MATCH(B142, params!$B$2:$R$2, 0), G141))</f>
        <v/>
      </c>
      <c r="H142" s="5" t="str">
        <f t="shared" ca="1" si="5"/>
        <v/>
      </c>
      <c r="I142" s="2"/>
      <c r="J142" s="2"/>
      <c r="K142" s="2"/>
      <c r="L142" s="2"/>
      <c r="M142" s="2"/>
    </row>
    <row r="143" spans="1:13" ht="15.6" x14ac:dyDescent="0.3">
      <c r="A143" s="2"/>
      <c r="B143" s="5" t="str">
        <f>IF(COUNTIF(data_val!$E$3:$E$5, sample_log!$E143), sample_log!$C143 &amp; "_" &amp; sample_log!$D143, "")</f>
        <v/>
      </c>
      <c r="C143" s="5" t="str">
        <f>IF(B143="", IF(F143="", "", C142), IF(sample_log!E143="Triennial SASS", "tri_params", "params"))</f>
        <v/>
      </c>
      <c r="D143" s="5" t="str">
        <f>IF(B143="", "", C143 &amp; "!" &amp; CHAR(65+MATCH(B143, params!$B$2:$R$2, 0)))</f>
        <v/>
      </c>
      <c r="E143" s="5" t="str">
        <f ca="1">IF(B143="", "", COUNTA(INDIRECT(D143 &amp; 3):INDIRECT(D143 &amp; 24)))</f>
        <v/>
      </c>
      <c r="F143" s="5" t="str">
        <f t="shared" si="6"/>
        <v/>
      </c>
      <c r="G143" s="5" t="str">
        <f>IF(F143="", "", IF(B143&lt;&gt;"", MATCH(B143, params!$B$2:$R$2, 0), G142))</f>
        <v/>
      </c>
      <c r="H143" s="5" t="str">
        <f t="shared" ca="1" si="5"/>
        <v/>
      </c>
      <c r="I143" s="2"/>
      <c r="J143" s="2"/>
      <c r="K143" s="2"/>
      <c r="L143" s="2"/>
      <c r="M143" s="2"/>
    </row>
    <row r="144" spans="1:13" ht="15.6" x14ac:dyDescent="0.3">
      <c r="A144" s="2"/>
      <c r="B144" s="5" t="str">
        <f>IF(COUNTIF(data_val!$E$3:$E$5, sample_log!$E144), sample_log!$C144 &amp; "_" &amp; sample_log!$D144, "")</f>
        <v/>
      </c>
      <c r="C144" s="5" t="str">
        <f>IF(B144="", IF(F144="", "", C143), IF(sample_log!E144="Triennial SASS", "tri_params", "params"))</f>
        <v/>
      </c>
      <c r="D144" s="5" t="str">
        <f>IF(B144="", "", C144 &amp; "!" &amp; CHAR(65+MATCH(B144, params!$B$2:$R$2, 0)))</f>
        <v/>
      </c>
      <c r="E144" s="5" t="str">
        <f ca="1">IF(B144="", "", COUNTA(INDIRECT(D144 &amp; 3):INDIRECT(D144 &amp; 24)))</f>
        <v/>
      </c>
      <c r="F144" s="5" t="str">
        <f t="shared" si="6"/>
        <v/>
      </c>
      <c r="G144" s="5" t="str">
        <f>IF(F144="", "", IF(B144&lt;&gt;"", MATCH(B144, params!$B$2:$R$2, 0), G143))</f>
        <v/>
      </c>
      <c r="H144" s="5" t="str">
        <f t="shared" ca="1" si="5"/>
        <v/>
      </c>
      <c r="I144" s="2"/>
      <c r="J144" s="2"/>
      <c r="K144" s="2"/>
      <c r="L144" s="2"/>
      <c r="M144" s="2"/>
    </row>
    <row r="145" spans="1:13" ht="15.6" x14ac:dyDescent="0.3">
      <c r="A145" s="2"/>
      <c r="B145" s="5" t="str">
        <f>IF(COUNTIF(data_val!$E$3:$E$5, sample_log!$E145), sample_log!$C145 &amp; "_" &amp; sample_log!$D145, "")</f>
        <v/>
      </c>
      <c r="C145" s="5" t="str">
        <f>IF(B145="", IF(F145="", "", C144), IF(sample_log!E145="Triennial SASS", "tri_params", "params"))</f>
        <v/>
      </c>
      <c r="D145" s="5" t="str">
        <f>IF(B145="", "", C145 &amp; "!" &amp; CHAR(65+MATCH(B145, params!$B$2:$R$2, 0)))</f>
        <v/>
      </c>
      <c r="E145" s="5" t="str">
        <f ca="1">IF(B145="", "", COUNTA(INDIRECT(D145 &amp; 3):INDIRECT(D145 &amp; 24)))</f>
        <v/>
      </c>
      <c r="F145" s="5" t="str">
        <f t="shared" si="6"/>
        <v/>
      </c>
      <c r="G145" s="5" t="str">
        <f>IF(F145="", "", IF(B145&lt;&gt;"", MATCH(B145, params!$B$2:$R$2, 0), G144))</f>
        <v/>
      </c>
      <c r="H145" s="5" t="str">
        <f t="shared" ca="1" si="5"/>
        <v/>
      </c>
      <c r="I145" s="2"/>
      <c r="J145" s="2"/>
      <c r="K145" s="2"/>
      <c r="L145" s="2"/>
      <c r="M145" s="2"/>
    </row>
    <row r="146" spans="1:13" ht="15.6" x14ac:dyDescent="0.3">
      <c r="A146" s="2"/>
      <c r="B146" s="5" t="str">
        <f>IF(COUNTIF(data_val!$E$3:$E$5, sample_log!$E146), sample_log!$C146 &amp; "_" &amp; sample_log!$D146, "")</f>
        <v/>
      </c>
      <c r="C146" s="5" t="str">
        <f>IF(B146="", IF(F146="", "", C145), IF(sample_log!E146="Triennial SASS", "tri_params", "params"))</f>
        <v/>
      </c>
      <c r="D146" s="5" t="str">
        <f>IF(B146="", "", C146 &amp; "!" &amp; CHAR(65+MATCH(B146, params!$B$2:$R$2, 0)))</f>
        <v/>
      </c>
      <c r="E146" s="5" t="str">
        <f ca="1">IF(B146="", "", COUNTA(INDIRECT(D146 &amp; 3):INDIRECT(D146 &amp; 24)))</f>
        <v/>
      </c>
      <c r="F146" s="5" t="str">
        <f t="shared" si="6"/>
        <v/>
      </c>
      <c r="G146" s="5" t="str">
        <f>IF(F146="", "", IF(B146&lt;&gt;"", MATCH(B146, params!$B$2:$R$2, 0), G145))</f>
        <v/>
      </c>
      <c r="H146" s="5" t="str">
        <f t="shared" ca="1" si="5"/>
        <v/>
      </c>
      <c r="I146" s="2"/>
      <c r="J146" s="2"/>
      <c r="K146" s="2"/>
      <c r="L146" s="2"/>
      <c r="M146" s="2"/>
    </row>
    <row r="147" spans="1:13" ht="15.6" x14ac:dyDescent="0.3">
      <c r="A147" s="2"/>
      <c r="B147" s="5" t="str">
        <f>IF(COUNTIF(data_val!$E$3:$E$5, sample_log!$E147), sample_log!$C147 &amp; "_" &amp; sample_log!$D147, "")</f>
        <v/>
      </c>
      <c r="C147" s="5" t="str">
        <f>IF(B147="", IF(F147="", "", C146), IF(sample_log!E147="Triennial SASS", "tri_params", "params"))</f>
        <v/>
      </c>
      <c r="D147" s="5" t="str">
        <f>IF(B147="", "", C147 &amp; "!" &amp; CHAR(65+MATCH(B147, params!$B$2:$R$2, 0)))</f>
        <v/>
      </c>
      <c r="E147" s="5" t="str">
        <f ca="1">IF(B147="", "", COUNTA(INDIRECT(D147 &amp; 3):INDIRECT(D147 &amp; 24)))</f>
        <v/>
      </c>
      <c r="F147" s="5" t="str">
        <f t="shared" si="6"/>
        <v/>
      </c>
      <c r="G147" s="5" t="str">
        <f>IF(F147="", "", IF(B147&lt;&gt;"", MATCH(B147, params!$B$2:$R$2, 0), G146))</f>
        <v/>
      </c>
      <c r="H147" s="5" t="str">
        <f t="shared" ca="1" si="5"/>
        <v/>
      </c>
      <c r="I147" s="2"/>
      <c r="J147" s="2"/>
      <c r="K147" s="2"/>
      <c r="L147" s="2"/>
      <c r="M147" s="2"/>
    </row>
    <row r="148" spans="1:13" ht="15.6" x14ac:dyDescent="0.3">
      <c r="A148" s="2"/>
      <c r="B148" s="5" t="str">
        <f>IF(COUNTIF(data_val!$E$3:$E$5, sample_log!$E148), sample_log!$C148 &amp; "_" &amp; sample_log!$D148, "")</f>
        <v/>
      </c>
      <c r="C148" s="5" t="str">
        <f>IF(B148="", IF(F148="", "", C147), IF(sample_log!E148="Triennial SASS", "tri_params", "params"))</f>
        <v/>
      </c>
      <c r="D148" s="5" t="str">
        <f>IF(B148="", "", C148 &amp; "!" &amp; CHAR(65+MATCH(B148, params!$B$2:$R$2, 0)))</f>
        <v/>
      </c>
      <c r="E148" s="5" t="str">
        <f ca="1">IF(B148="", "", COUNTA(INDIRECT(D148 &amp; 3):INDIRECT(D148 &amp; 24)))</f>
        <v/>
      </c>
      <c r="F148" s="5" t="str">
        <f t="shared" si="6"/>
        <v/>
      </c>
      <c r="G148" s="5" t="str">
        <f>IF(F148="", "", IF(B148&lt;&gt;"", MATCH(B148, params!$B$2:$R$2, 0), G147))</f>
        <v/>
      </c>
      <c r="H148" s="5" t="str">
        <f t="shared" ca="1" si="5"/>
        <v/>
      </c>
      <c r="I148" s="2"/>
      <c r="J148" s="2"/>
      <c r="K148" s="2"/>
      <c r="L148" s="2"/>
      <c r="M148" s="2"/>
    </row>
    <row r="149" spans="1:13" ht="15.6" x14ac:dyDescent="0.3">
      <c r="A149" s="2"/>
      <c r="B149" s="5" t="str">
        <f>IF(COUNTIF(data_val!$E$3:$E$5, sample_log!$E149), sample_log!$C149 &amp; "_" &amp; sample_log!$D149, "")</f>
        <v/>
      </c>
      <c r="C149" s="5" t="str">
        <f>IF(B149="", IF(F149="", "", C148), IF(sample_log!E149="Triennial SASS", "tri_params", "params"))</f>
        <v/>
      </c>
      <c r="D149" s="5" t="str">
        <f>IF(B149="", "", C149 &amp; "!" &amp; CHAR(65+MATCH(B149, params!$B$2:$R$2, 0)))</f>
        <v/>
      </c>
      <c r="E149" s="5" t="str">
        <f ca="1">IF(B149="", "", COUNTA(INDIRECT(D149 &amp; 3):INDIRECT(D149 &amp; 24)))</f>
        <v/>
      </c>
      <c r="F149" s="5" t="str">
        <f t="shared" si="6"/>
        <v/>
      </c>
      <c r="G149" s="5" t="str">
        <f>IF(F149="", "", IF(B149&lt;&gt;"", MATCH(B149, params!$B$2:$R$2, 0), G148))</f>
        <v/>
      </c>
      <c r="H149" s="5" t="str">
        <f t="shared" ca="1" si="5"/>
        <v/>
      </c>
      <c r="I149" s="2"/>
      <c r="J149" s="2"/>
      <c r="K149" s="2"/>
      <c r="L149" s="2"/>
      <c r="M149" s="2"/>
    </row>
    <row r="150" spans="1:13" ht="15.6" x14ac:dyDescent="0.3">
      <c r="A150" s="2"/>
      <c r="B150" s="5" t="str">
        <f>IF(COUNTIF(data_val!$E$3:$E$5, sample_log!$E150), sample_log!$C150 &amp; "_" &amp; sample_log!$D150, "")</f>
        <v/>
      </c>
      <c r="C150" s="5" t="str">
        <f>IF(B150="", IF(F150="", "", C149), IF(sample_log!E150="Triennial SASS", "tri_params", "params"))</f>
        <v/>
      </c>
      <c r="D150" s="5" t="str">
        <f>IF(B150="", "", C150 &amp; "!" &amp; CHAR(65+MATCH(B150, params!$B$2:$R$2, 0)))</f>
        <v/>
      </c>
      <c r="E150" s="5" t="str">
        <f ca="1">IF(B150="", "", COUNTA(INDIRECT(D150 &amp; 3):INDIRECT(D150 &amp; 24)))</f>
        <v/>
      </c>
      <c r="F150" s="5" t="str">
        <f t="shared" si="6"/>
        <v/>
      </c>
      <c r="G150" s="5" t="str">
        <f>IF(F150="", "", IF(B150&lt;&gt;"", MATCH(B150, params!$B$2:$R$2, 0), G149))</f>
        <v/>
      </c>
      <c r="H150" s="5" t="str">
        <f t="shared" ca="1" si="5"/>
        <v/>
      </c>
      <c r="I150" s="2"/>
      <c r="J150" s="2"/>
      <c r="K150" s="2"/>
      <c r="L150" s="2"/>
      <c r="M150" s="2"/>
    </row>
    <row r="151" spans="1:13" ht="15.6" x14ac:dyDescent="0.3">
      <c r="A151" s="2"/>
      <c r="B151" s="5" t="str">
        <f>IF(COUNTIF(data_val!$E$3:$E$5, sample_log!$E151), sample_log!$C151 &amp; "_" &amp; sample_log!$D151, "")</f>
        <v/>
      </c>
      <c r="C151" s="5" t="str">
        <f>IF(B151="", IF(F151="", "", C150), IF(sample_log!E151="Triennial SASS", "tri_params", "params"))</f>
        <v/>
      </c>
      <c r="D151" s="5" t="str">
        <f>IF(B151="", "", C151 &amp; "!" &amp; CHAR(65+MATCH(B151, params!$B$2:$R$2, 0)))</f>
        <v/>
      </c>
      <c r="E151" s="5" t="str">
        <f ca="1">IF(B151="", "", COUNTA(INDIRECT(D151 &amp; 3):INDIRECT(D151 &amp; 24)))</f>
        <v/>
      </c>
      <c r="F151" s="5" t="str">
        <f t="shared" si="6"/>
        <v/>
      </c>
      <c r="G151" s="5" t="str">
        <f>IF(F151="", "", IF(B151&lt;&gt;"", MATCH(B151, params!$B$2:$R$2, 0), G150))</f>
        <v/>
      </c>
      <c r="H151" s="5" t="str">
        <f t="shared" ca="1" si="5"/>
        <v/>
      </c>
      <c r="I151" s="2"/>
      <c r="J151" s="2"/>
      <c r="K151" s="2"/>
      <c r="L151" s="2"/>
      <c r="M151" s="2"/>
    </row>
    <row r="152" spans="1:13" ht="15.6" x14ac:dyDescent="0.3">
      <c r="A152" s="2"/>
      <c r="B152" s="5" t="str">
        <f>IF(COUNTIF(data_val!$E$3:$E$5, sample_log!$E152), sample_log!$C152 &amp; "_" &amp; sample_log!$D152, "")</f>
        <v/>
      </c>
      <c r="C152" s="5" t="str">
        <f>IF(B152="", IF(F152="", "", C151), IF(sample_log!E152="Triennial SASS", "tri_params", "params"))</f>
        <v/>
      </c>
      <c r="D152" s="5" t="str">
        <f>IF(B152="", "", C152 &amp; "!" &amp; CHAR(65+MATCH(B152, params!$B$2:$R$2, 0)))</f>
        <v/>
      </c>
      <c r="E152" s="5" t="str">
        <f ca="1">IF(B152="", "", COUNTA(INDIRECT(D152 &amp; 3):INDIRECT(D152 &amp; 24)))</f>
        <v/>
      </c>
      <c r="F152" s="5" t="str">
        <f t="shared" si="6"/>
        <v/>
      </c>
      <c r="G152" s="5" t="str">
        <f>IF(F152="", "", IF(B152&lt;&gt;"", MATCH(B152, params!$B$2:$R$2, 0), G151))</f>
        <v/>
      </c>
      <c r="H152" s="5" t="str">
        <f t="shared" ca="1" si="5"/>
        <v/>
      </c>
      <c r="I152" s="2"/>
      <c r="J152" s="2"/>
      <c r="K152" s="2"/>
      <c r="L152" s="2"/>
      <c r="M152" s="2"/>
    </row>
    <row r="153" spans="1:13" ht="15.6" x14ac:dyDescent="0.3">
      <c r="A153" s="2"/>
      <c r="B153" s="5" t="str">
        <f>IF(COUNTIF(data_val!$E$3:$E$5, sample_log!$E153), sample_log!$C153 &amp; "_" &amp; sample_log!$D153, "")</f>
        <v/>
      </c>
      <c r="C153" s="5" t="str">
        <f>IF(B153="", IF(F153="", "", C152), IF(sample_log!E153="Triennial SASS", "tri_params", "params"))</f>
        <v/>
      </c>
      <c r="D153" s="5" t="str">
        <f>IF(B153="", "", C153 &amp; "!" &amp; CHAR(65+MATCH(B153, params!$B$2:$R$2, 0)))</f>
        <v/>
      </c>
      <c r="E153" s="5" t="str">
        <f ca="1">IF(B153="", "", COUNTA(INDIRECT(D153 &amp; 3):INDIRECT(D153 &amp; 24)))</f>
        <v/>
      </c>
      <c r="F153" s="5" t="str">
        <f t="shared" si="6"/>
        <v/>
      </c>
      <c r="G153" s="5" t="str">
        <f>IF(F153="", "", IF(B153&lt;&gt;"", MATCH(B153, params!$B$2:$R$2, 0), G152))</f>
        <v/>
      </c>
      <c r="H153" s="5" t="str">
        <f t="shared" ref="H153:H216" ca="1" si="7">IF($F153="", "", INDEX(INDIRECT("'" &amp; C153 &amp; "'!$B$3:$R$24"), $F153, $G153))</f>
        <v/>
      </c>
      <c r="I153" s="2"/>
      <c r="J153" s="2"/>
      <c r="K153" s="2"/>
      <c r="L153" s="2"/>
      <c r="M153" s="2"/>
    </row>
    <row r="154" spans="1:13" ht="15.6" x14ac:dyDescent="0.3">
      <c r="A154" s="2"/>
      <c r="B154" s="5" t="str">
        <f>IF(COUNTIF(data_val!$E$3:$E$5, sample_log!$E154), sample_log!$C154 &amp; "_" &amp; sample_log!$D154, "")</f>
        <v/>
      </c>
      <c r="C154" s="5" t="str">
        <f>IF(B154="", IF(F154="", "", C153), IF(sample_log!E154="Triennial SASS", "tri_params", "params"))</f>
        <v/>
      </c>
      <c r="D154" s="5" t="str">
        <f>IF(B154="", "", C154 &amp; "!" &amp; CHAR(65+MATCH(B154, params!$B$2:$R$2, 0)))</f>
        <v/>
      </c>
      <c r="E154" s="5" t="str">
        <f ca="1">IF(B154="", "", COUNTA(INDIRECT(D154 &amp; 3):INDIRECT(D154 &amp; 24)))</f>
        <v/>
      </c>
      <c r="F154" s="5" t="str">
        <f t="shared" si="6"/>
        <v/>
      </c>
      <c r="G154" s="5" t="str">
        <f>IF(F154="", "", IF(B154&lt;&gt;"", MATCH(B154, params!$B$2:$R$2, 0), G153))</f>
        <v/>
      </c>
      <c r="H154" s="5" t="str">
        <f t="shared" ca="1" si="7"/>
        <v/>
      </c>
      <c r="I154" s="2"/>
      <c r="J154" s="2"/>
      <c r="K154" s="2"/>
      <c r="L154" s="2"/>
      <c r="M154" s="2"/>
    </row>
    <row r="155" spans="1:13" ht="15.6" x14ac:dyDescent="0.3">
      <c r="A155" s="2"/>
      <c r="B155" s="5" t="str">
        <f>IF(COUNTIF(data_val!$E$3:$E$5, sample_log!$E155), sample_log!$C155 &amp; "_" &amp; sample_log!$D155, "")</f>
        <v/>
      </c>
      <c r="C155" s="5" t="str">
        <f>IF(B155="", IF(F155="", "", C154), IF(sample_log!E155="Triennial SASS", "tri_params", "params"))</f>
        <v/>
      </c>
      <c r="D155" s="5" t="str">
        <f>IF(B155="", "", C155 &amp; "!" &amp; CHAR(65+MATCH(B155, params!$B$2:$R$2, 0)))</f>
        <v/>
      </c>
      <c r="E155" s="5" t="str">
        <f ca="1">IF(B155="", "", COUNTA(INDIRECT(D155 &amp; 3):INDIRECT(D155 &amp; 24)))</f>
        <v/>
      </c>
      <c r="F155" s="5" t="str">
        <f t="shared" si="6"/>
        <v/>
      </c>
      <c r="G155" s="5" t="str">
        <f>IF(F155="", "", IF(B155&lt;&gt;"", MATCH(B155, params!$B$2:$R$2, 0), G154))</f>
        <v/>
      </c>
      <c r="H155" s="5" t="str">
        <f t="shared" ca="1" si="7"/>
        <v/>
      </c>
      <c r="I155" s="2"/>
      <c r="J155" s="2"/>
      <c r="K155" s="2"/>
      <c r="L155" s="2"/>
      <c r="M155" s="2"/>
    </row>
    <row r="156" spans="1:13" ht="15.6" x14ac:dyDescent="0.3">
      <c r="A156" s="2"/>
      <c r="B156" s="5" t="str">
        <f>IF(COUNTIF(data_val!$E$3:$E$5, sample_log!$E156), sample_log!$C156 &amp; "_" &amp; sample_log!$D156, "")</f>
        <v/>
      </c>
      <c r="C156" s="5" t="str">
        <f>IF(B156="", IF(F156="", "", C155), IF(sample_log!E156="Triennial SASS", "tri_params", "params"))</f>
        <v/>
      </c>
      <c r="D156" s="5" t="str">
        <f>IF(B156="", "", C156 &amp; "!" &amp; CHAR(65+MATCH(B156, params!$B$2:$R$2, 0)))</f>
        <v/>
      </c>
      <c r="E156" s="5" t="str">
        <f ca="1">IF(B156="", "", COUNTA(INDIRECT(D156 &amp; 3):INDIRECT(D156 &amp; 24)))</f>
        <v/>
      </c>
      <c r="F156" s="5" t="str">
        <f t="shared" si="6"/>
        <v/>
      </c>
      <c r="G156" s="5" t="str">
        <f>IF(F156="", "", IF(B156&lt;&gt;"", MATCH(B156, params!$B$2:$R$2, 0), G155))</f>
        <v/>
      </c>
      <c r="H156" s="5" t="str">
        <f t="shared" ca="1" si="7"/>
        <v/>
      </c>
      <c r="I156" s="2"/>
      <c r="J156" s="2"/>
      <c r="K156" s="2"/>
      <c r="L156" s="2"/>
      <c r="M156" s="2"/>
    </row>
    <row r="157" spans="1:13" ht="15.6" x14ac:dyDescent="0.3">
      <c r="A157" s="2"/>
      <c r="B157" s="5" t="str">
        <f>IF(COUNTIF(data_val!$E$3:$E$5, sample_log!$E157), sample_log!$C157 &amp; "_" &amp; sample_log!$D157, "")</f>
        <v/>
      </c>
      <c r="C157" s="5" t="str">
        <f>IF(B157="", IF(F157="", "", C156), IF(sample_log!E157="Triennial SASS", "tri_params", "params"))</f>
        <v/>
      </c>
      <c r="D157" s="5" t="str">
        <f>IF(B157="", "", C157 &amp; "!" &amp; CHAR(65+MATCH(B157, params!$B$2:$R$2, 0)))</f>
        <v/>
      </c>
      <c r="E157" s="5" t="str">
        <f ca="1">IF(B157="", "", COUNTA(INDIRECT(D157 &amp; 3):INDIRECT(D157 &amp; 24)))</f>
        <v/>
      </c>
      <c r="F157" s="5" t="str">
        <f t="shared" si="6"/>
        <v/>
      </c>
      <c r="G157" s="5" t="str">
        <f>IF(F157="", "", IF(B157&lt;&gt;"", MATCH(B157, params!$B$2:$R$2, 0), G156))</f>
        <v/>
      </c>
      <c r="H157" s="5" t="str">
        <f t="shared" ca="1" si="7"/>
        <v/>
      </c>
      <c r="I157" s="2"/>
      <c r="J157" s="2"/>
      <c r="K157" s="2"/>
      <c r="L157" s="2"/>
      <c r="M157" s="2"/>
    </row>
    <row r="158" spans="1:13" ht="15.6" x14ac:dyDescent="0.3">
      <c r="A158" s="2"/>
      <c r="B158" s="5" t="str">
        <f>IF(COUNTIF(data_val!$E$3:$E$5, sample_log!$E158), sample_log!$C158 &amp; "_" &amp; sample_log!$D158, "")</f>
        <v/>
      </c>
      <c r="C158" s="5" t="str">
        <f>IF(B158="", IF(F158="", "", C157), IF(sample_log!E158="Triennial SASS", "tri_params", "params"))</f>
        <v/>
      </c>
      <c r="D158" s="5" t="str">
        <f>IF(B158="", "", C158 &amp; "!" &amp; CHAR(65+MATCH(B158, params!$B$2:$R$2, 0)))</f>
        <v/>
      </c>
      <c r="E158" s="5" t="str">
        <f ca="1">IF(B158="", "", COUNTA(INDIRECT(D158 &amp; 3):INDIRECT(D158 &amp; 24)))</f>
        <v/>
      </c>
      <c r="F158" s="5" t="str">
        <f t="shared" si="6"/>
        <v/>
      </c>
      <c r="G158" s="5" t="str">
        <f>IF(F158="", "", IF(B158&lt;&gt;"", MATCH(B158, params!$B$2:$R$2, 0), G157))</f>
        <v/>
      </c>
      <c r="H158" s="5" t="str">
        <f t="shared" ca="1" si="7"/>
        <v/>
      </c>
      <c r="I158" s="2"/>
      <c r="J158" s="2"/>
      <c r="K158" s="2"/>
      <c r="L158" s="2"/>
      <c r="M158" s="2"/>
    </row>
    <row r="159" spans="1:13" ht="15.6" x14ac:dyDescent="0.3">
      <c r="A159" s="2"/>
      <c r="B159" s="5" t="str">
        <f>IF(COUNTIF(data_val!$E$3:$E$5, sample_log!$E159), sample_log!$C159 &amp; "_" &amp; sample_log!$D159, "")</f>
        <v/>
      </c>
      <c r="C159" s="5" t="str">
        <f>IF(B159="", IF(F159="", "", C158), IF(sample_log!E159="Triennial SASS", "tri_params", "params"))</f>
        <v/>
      </c>
      <c r="D159" s="5" t="str">
        <f>IF(B159="", "", C159 &amp; "!" &amp; CHAR(65+MATCH(B159, params!$B$2:$R$2, 0)))</f>
        <v/>
      </c>
      <c r="E159" s="5" t="str">
        <f ca="1">IF(B159="", "", COUNTA(INDIRECT(D159 &amp; 3):INDIRECT(D159 &amp; 24)))</f>
        <v/>
      </c>
      <c r="F159" s="5" t="str">
        <f t="shared" si="6"/>
        <v/>
      </c>
      <c r="G159" s="5" t="str">
        <f>IF(F159="", "", IF(B159&lt;&gt;"", MATCH(B159, params!$B$2:$R$2, 0), G158))</f>
        <v/>
      </c>
      <c r="H159" s="5" t="str">
        <f t="shared" ca="1" si="7"/>
        <v/>
      </c>
      <c r="I159" s="2"/>
      <c r="J159" s="2"/>
      <c r="K159" s="2"/>
      <c r="L159" s="2"/>
      <c r="M159" s="2"/>
    </row>
    <row r="160" spans="1:13" ht="15.6" x14ac:dyDescent="0.3">
      <c r="A160" s="2"/>
      <c r="B160" s="5" t="str">
        <f>IF(COUNTIF(data_val!$E$3:$E$5, sample_log!$E160), sample_log!$C160 &amp; "_" &amp; sample_log!$D160, "")</f>
        <v/>
      </c>
      <c r="C160" s="5" t="str">
        <f>IF(B160="", IF(F160="", "", C159), IF(sample_log!E160="Triennial SASS", "tri_params", "params"))</f>
        <v/>
      </c>
      <c r="D160" s="5" t="str">
        <f>IF(B160="", "", C160 &amp; "!" &amp; CHAR(65+MATCH(B160, params!$B$2:$R$2, 0)))</f>
        <v/>
      </c>
      <c r="E160" s="5" t="str">
        <f ca="1">IF(B160="", "", COUNTA(INDIRECT(D160 &amp; 3):INDIRECT(D160 &amp; 24)))</f>
        <v/>
      </c>
      <c r="F160" s="5" t="str">
        <f t="shared" si="6"/>
        <v/>
      </c>
      <c r="G160" s="5" t="str">
        <f>IF(F160="", "", IF(B160&lt;&gt;"", MATCH(B160, params!$B$2:$R$2, 0), G159))</f>
        <v/>
      </c>
      <c r="H160" s="5" t="str">
        <f t="shared" ca="1" si="7"/>
        <v/>
      </c>
      <c r="I160" s="2"/>
      <c r="J160" s="2"/>
      <c r="K160" s="2"/>
      <c r="L160" s="2"/>
      <c r="M160" s="2"/>
    </row>
    <row r="161" spans="1:13" ht="15.6" x14ac:dyDescent="0.3">
      <c r="A161" s="2"/>
      <c r="B161" s="5" t="str">
        <f>IF(COUNTIF(data_val!$E$3:$E$5, sample_log!$E161), sample_log!$C161 &amp; "_" &amp; sample_log!$D161, "")</f>
        <v/>
      </c>
      <c r="C161" s="5" t="str">
        <f>IF(B161="", IF(F161="", "", C160), IF(sample_log!E161="Triennial SASS", "tri_params", "params"))</f>
        <v/>
      </c>
      <c r="D161" s="5" t="str">
        <f>IF(B161="", "", C161 &amp; "!" &amp; CHAR(65+MATCH(B161, params!$B$2:$R$2, 0)))</f>
        <v/>
      </c>
      <c r="E161" s="5" t="str">
        <f ca="1">IF(B161="", "", COUNTA(INDIRECT(D161 &amp; 3):INDIRECT(D161 &amp; 24)))</f>
        <v/>
      </c>
      <c r="F161" s="5" t="str">
        <f t="shared" si="6"/>
        <v/>
      </c>
      <c r="G161" s="5" t="str">
        <f>IF(F161="", "", IF(B161&lt;&gt;"", MATCH(B161, params!$B$2:$R$2, 0), G160))</f>
        <v/>
      </c>
      <c r="H161" s="5" t="str">
        <f t="shared" ca="1" si="7"/>
        <v/>
      </c>
      <c r="I161" s="2"/>
      <c r="J161" s="2"/>
      <c r="K161" s="2"/>
      <c r="L161" s="2"/>
      <c r="M161" s="2"/>
    </row>
    <row r="162" spans="1:13" ht="15.6" x14ac:dyDescent="0.3">
      <c r="A162" s="2"/>
      <c r="B162" s="5" t="str">
        <f>IF(COUNTIF(data_val!$E$3:$E$5, sample_log!$E162), sample_log!$C162 &amp; "_" &amp; sample_log!$D162, "")</f>
        <v/>
      </c>
      <c r="C162" s="5" t="str">
        <f>IF(B162="", IF(F162="", "", C161), IF(sample_log!E162="Triennial SASS", "tri_params", "params"))</f>
        <v/>
      </c>
      <c r="D162" s="5" t="str">
        <f>IF(B162="", "", C162 &amp; "!" &amp; CHAR(65+MATCH(B162, params!$B$2:$R$2, 0)))</f>
        <v/>
      </c>
      <c r="E162" s="5" t="str">
        <f ca="1">IF(B162="", "", COUNTA(INDIRECT(D162 &amp; 3):INDIRECT(D162 &amp; 24)))</f>
        <v/>
      </c>
      <c r="F162" s="5" t="str">
        <f t="shared" si="6"/>
        <v/>
      </c>
      <c r="G162" s="5" t="str">
        <f>IF(F162="", "", IF(B162&lt;&gt;"", MATCH(B162, params!$B$2:$R$2, 0), G161))</f>
        <v/>
      </c>
      <c r="H162" s="5" t="str">
        <f t="shared" ca="1" si="7"/>
        <v/>
      </c>
      <c r="I162" s="2"/>
      <c r="J162" s="2"/>
      <c r="K162" s="2"/>
      <c r="L162" s="2"/>
      <c r="M162" s="2"/>
    </row>
    <row r="163" spans="1:13" ht="15.6" x14ac:dyDescent="0.3">
      <c r="A163" s="2"/>
      <c r="B163" s="5" t="str">
        <f>IF(COUNTIF(data_val!$E$3:$E$5, sample_log!$E163), sample_log!$C163 &amp; "_" &amp; sample_log!$D163, "")</f>
        <v/>
      </c>
      <c r="C163" s="5" t="str">
        <f>IF(B163="", IF(F163="", "", C162), IF(sample_log!E163="Triennial SASS", "tri_params", "params"))</f>
        <v/>
      </c>
      <c r="D163" s="5" t="str">
        <f>IF(B163="", "", C163 &amp; "!" &amp; CHAR(65+MATCH(B163, params!$B$2:$R$2, 0)))</f>
        <v/>
      </c>
      <c r="E163" s="5" t="str">
        <f ca="1">IF(B163="", "", COUNTA(INDIRECT(D163 &amp; 3):INDIRECT(D163 &amp; 24)))</f>
        <v/>
      </c>
      <c r="F163" s="5" t="str">
        <f t="shared" si="6"/>
        <v/>
      </c>
      <c r="G163" s="5" t="str">
        <f>IF(F163="", "", IF(B163&lt;&gt;"", MATCH(B163, params!$B$2:$R$2, 0), G162))</f>
        <v/>
      </c>
      <c r="H163" s="5" t="str">
        <f t="shared" ca="1" si="7"/>
        <v/>
      </c>
      <c r="I163" s="2"/>
      <c r="J163" s="2"/>
      <c r="K163" s="2"/>
      <c r="L163" s="2"/>
      <c r="M163" s="2"/>
    </row>
    <row r="164" spans="1:13" ht="15.6" x14ac:dyDescent="0.3">
      <c r="A164" s="2"/>
      <c r="B164" s="5" t="str">
        <f>IF(COUNTIF(data_val!$E$3:$E$5, sample_log!$E164), sample_log!$C164 &amp; "_" &amp; sample_log!$D164, "")</f>
        <v/>
      </c>
      <c r="C164" s="5" t="str">
        <f>IF(B164="", IF(F164="", "", C163), IF(sample_log!E164="Triennial SASS", "tri_params", "params"))</f>
        <v/>
      </c>
      <c r="D164" s="5" t="str">
        <f>IF(B164="", "", C164 &amp; "!" &amp; CHAR(65+MATCH(B164, params!$B$2:$R$2, 0)))</f>
        <v/>
      </c>
      <c r="E164" s="5" t="str">
        <f ca="1">IF(B164="", "", COUNTA(INDIRECT(D164 &amp; 3):INDIRECT(D164 &amp; 24)))</f>
        <v/>
      </c>
      <c r="F164" s="5" t="str">
        <f t="shared" si="6"/>
        <v/>
      </c>
      <c r="G164" s="5" t="str">
        <f>IF(F164="", "", IF(B164&lt;&gt;"", MATCH(B164, params!$B$2:$R$2, 0), G163))</f>
        <v/>
      </c>
      <c r="H164" s="5" t="str">
        <f t="shared" ca="1" si="7"/>
        <v/>
      </c>
      <c r="I164" s="2"/>
      <c r="J164" s="2"/>
      <c r="K164" s="2"/>
      <c r="L164" s="2"/>
      <c r="M164" s="2"/>
    </row>
    <row r="165" spans="1:13" ht="15.6" x14ac:dyDescent="0.3">
      <c r="A165" s="2"/>
      <c r="B165" s="5" t="str">
        <f>IF(COUNTIF(data_val!$E$3:$E$5, sample_log!$E165), sample_log!$C165 &amp; "_" &amp; sample_log!$D165, "")</f>
        <v/>
      </c>
      <c r="C165" s="5" t="str">
        <f>IF(B165="", IF(F165="", "", C164), IF(sample_log!E165="Triennial SASS", "tri_params", "params"))</f>
        <v/>
      </c>
      <c r="D165" s="5" t="str">
        <f>IF(B165="", "", C165 &amp; "!" &amp; CHAR(65+MATCH(B165, params!$B$2:$R$2, 0)))</f>
        <v/>
      </c>
      <c r="E165" s="5" t="str">
        <f ca="1">IF(B165="", "", COUNTA(INDIRECT(D165 &amp; 3):INDIRECT(D165 &amp; 24)))</f>
        <v/>
      </c>
      <c r="F165" s="5" t="str">
        <f t="shared" si="6"/>
        <v/>
      </c>
      <c r="G165" s="5" t="str">
        <f>IF(F165="", "", IF(B165&lt;&gt;"", MATCH(B165, params!$B$2:$R$2, 0), G164))</f>
        <v/>
      </c>
      <c r="H165" s="5" t="str">
        <f t="shared" ca="1" si="7"/>
        <v/>
      </c>
      <c r="I165" s="2"/>
      <c r="J165" s="2"/>
      <c r="K165" s="2"/>
      <c r="L165" s="2"/>
      <c r="M165" s="2"/>
    </row>
    <row r="166" spans="1:13" ht="15.6" x14ac:dyDescent="0.3">
      <c r="A166" s="2"/>
      <c r="B166" s="5" t="str">
        <f>IF(COUNTIF(data_val!$E$3:$E$5, sample_log!$E166), sample_log!$C166 &amp; "_" &amp; sample_log!$D166, "")</f>
        <v/>
      </c>
      <c r="C166" s="5" t="str">
        <f>IF(B166="", IF(F166="", "", C165), IF(sample_log!E166="Triennial SASS", "tri_params", "params"))</f>
        <v/>
      </c>
      <c r="D166" s="5" t="str">
        <f>IF(B166="", "", C166 &amp; "!" &amp; CHAR(65+MATCH(B166, params!$B$2:$R$2, 0)))</f>
        <v/>
      </c>
      <c r="E166" s="5" t="str">
        <f ca="1">IF(B166="", "", COUNTA(INDIRECT(D166 &amp; 3):INDIRECT(D166 &amp; 24)))</f>
        <v/>
      </c>
      <c r="F166" s="5" t="str">
        <f t="shared" si="6"/>
        <v/>
      </c>
      <c r="G166" s="5" t="str">
        <f>IF(F166="", "", IF(B166&lt;&gt;"", MATCH(B166, params!$B$2:$R$2, 0), G165))</f>
        <v/>
      </c>
      <c r="H166" s="5" t="str">
        <f t="shared" ca="1" si="7"/>
        <v/>
      </c>
      <c r="I166" s="2"/>
      <c r="J166" s="2"/>
      <c r="K166" s="2"/>
      <c r="L166" s="2"/>
      <c r="M166" s="2"/>
    </row>
    <row r="167" spans="1:13" ht="15.6" x14ac:dyDescent="0.3">
      <c r="A167" s="2"/>
      <c r="B167" s="5" t="str">
        <f>IF(COUNTIF(data_val!$E$3:$E$5, sample_log!$E167), sample_log!$C167 &amp; "_" &amp; sample_log!$D167, "")</f>
        <v/>
      </c>
      <c r="C167" s="5" t="str">
        <f>IF(B167="", IF(F167="", "", C166), IF(sample_log!E167="Triennial SASS", "tri_params", "params"))</f>
        <v/>
      </c>
      <c r="D167" s="5" t="str">
        <f>IF(B167="", "", C167 &amp; "!" &amp; CHAR(65+MATCH(B167, params!$B$2:$R$2, 0)))</f>
        <v/>
      </c>
      <c r="E167" s="5" t="str">
        <f ca="1">IF(B167="", "", COUNTA(INDIRECT(D167 &amp; 3):INDIRECT(D167 &amp; 24)))</f>
        <v/>
      </c>
      <c r="F167" s="5" t="str">
        <f t="shared" si="6"/>
        <v/>
      </c>
      <c r="G167" s="5" t="str">
        <f>IF(F167="", "", IF(B167&lt;&gt;"", MATCH(B167, params!$B$2:$R$2, 0), G166))</f>
        <v/>
      </c>
      <c r="H167" s="5" t="str">
        <f t="shared" ca="1" si="7"/>
        <v/>
      </c>
      <c r="I167" s="2"/>
      <c r="J167" s="2"/>
      <c r="K167" s="2"/>
      <c r="L167" s="2"/>
      <c r="M167" s="2"/>
    </row>
    <row r="168" spans="1:13" ht="15.6" x14ac:dyDescent="0.3">
      <c r="A168" s="2"/>
      <c r="B168" s="5" t="str">
        <f>IF(COUNTIF(data_val!$E$3:$E$5, sample_log!$E168), sample_log!$C168 &amp; "_" &amp; sample_log!$D168, "")</f>
        <v/>
      </c>
      <c r="C168" s="5" t="str">
        <f>IF(B168="", IF(F168="", "", C167), IF(sample_log!E168="Triennial SASS", "tri_params", "params"))</f>
        <v/>
      </c>
      <c r="D168" s="5" t="str">
        <f>IF(B168="", "", C168 &amp; "!" &amp; CHAR(65+MATCH(B168, params!$B$2:$R$2, 0)))</f>
        <v/>
      </c>
      <c r="E168" s="5" t="str">
        <f ca="1">IF(B168="", "", COUNTA(INDIRECT(D168 &amp; 3):INDIRECT(D168 &amp; 24)))</f>
        <v/>
      </c>
      <c r="F168" s="5" t="str">
        <f t="shared" si="6"/>
        <v/>
      </c>
      <c r="G168" s="5" t="str">
        <f>IF(F168="", "", IF(B168&lt;&gt;"", MATCH(B168, params!$B$2:$R$2, 0), G167))</f>
        <v/>
      </c>
      <c r="H168" s="5" t="str">
        <f t="shared" ca="1" si="7"/>
        <v/>
      </c>
      <c r="I168" s="2"/>
      <c r="J168" s="2"/>
      <c r="K168" s="2"/>
      <c r="L168" s="2"/>
      <c r="M168" s="2"/>
    </row>
    <row r="169" spans="1:13" ht="15.6" x14ac:dyDescent="0.3">
      <c r="A169" s="2"/>
      <c r="B169" s="5" t="str">
        <f>IF(COUNTIF(data_val!$E$3:$E$5, sample_log!$E169), sample_log!$C169 &amp; "_" &amp; sample_log!$D169, "")</f>
        <v/>
      </c>
      <c r="C169" s="5" t="str">
        <f>IF(B169="", IF(F169="", "", C168), IF(sample_log!E169="Triennial SASS", "tri_params", "params"))</f>
        <v/>
      </c>
      <c r="D169" s="5" t="str">
        <f>IF(B169="", "", C169 &amp; "!" &amp; CHAR(65+MATCH(B169, params!$B$2:$R$2, 0)))</f>
        <v/>
      </c>
      <c r="E169" s="5" t="str">
        <f ca="1">IF(B169="", "", COUNTA(INDIRECT(D169 &amp; 3):INDIRECT(D169 &amp; 24)))</f>
        <v/>
      </c>
      <c r="F169" s="5" t="str">
        <f t="shared" si="6"/>
        <v/>
      </c>
      <c r="G169" s="5" t="str">
        <f>IF(F169="", "", IF(B169&lt;&gt;"", MATCH(B169, params!$B$2:$R$2, 0), G168))</f>
        <v/>
      </c>
      <c r="H169" s="5" t="str">
        <f t="shared" ca="1" si="7"/>
        <v/>
      </c>
      <c r="I169" s="2"/>
      <c r="J169" s="2"/>
      <c r="K169" s="2"/>
      <c r="L169" s="2"/>
      <c r="M169" s="2"/>
    </row>
    <row r="170" spans="1:13" ht="15.6" x14ac:dyDescent="0.3">
      <c r="A170" s="2"/>
      <c r="B170" s="5" t="str">
        <f>IF(COUNTIF(data_val!$E$3:$E$5, sample_log!$E170), sample_log!$C170 &amp; "_" &amp; sample_log!$D170, "")</f>
        <v/>
      </c>
      <c r="C170" s="5" t="str">
        <f>IF(B170="", IF(F170="", "", C169), IF(sample_log!E170="Triennial SASS", "tri_params", "params"))</f>
        <v/>
      </c>
      <c r="D170" s="5" t="str">
        <f>IF(B170="", "", C170 &amp; "!" &amp; CHAR(65+MATCH(B170, params!$B$2:$R$2, 0)))</f>
        <v/>
      </c>
      <c r="E170" s="5" t="str">
        <f ca="1">IF(B170="", "", COUNTA(INDIRECT(D170 &amp; 3):INDIRECT(D170 &amp; 24)))</f>
        <v/>
      </c>
      <c r="F170" s="5" t="str">
        <f t="shared" si="6"/>
        <v/>
      </c>
      <c r="G170" s="5" t="str">
        <f>IF(F170="", "", IF(B170&lt;&gt;"", MATCH(B170, params!$B$2:$R$2, 0), G169))</f>
        <v/>
      </c>
      <c r="H170" s="5" t="str">
        <f t="shared" ca="1" si="7"/>
        <v/>
      </c>
      <c r="I170" s="2"/>
      <c r="J170" s="2"/>
      <c r="K170" s="2"/>
      <c r="L170" s="2"/>
      <c r="M170" s="2"/>
    </row>
    <row r="171" spans="1:13" ht="15.6" x14ac:dyDescent="0.3">
      <c r="A171" s="2"/>
      <c r="B171" s="5" t="str">
        <f>IF(COUNTIF(data_val!$E$3:$E$5, sample_log!$E171), sample_log!$C171 &amp; "_" &amp; sample_log!$D171, "")</f>
        <v/>
      </c>
      <c r="C171" s="5" t="str">
        <f>IF(B171="", IF(F171="", "", C170), IF(sample_log!E171="Triennial SASS", "tri_params", "params"))</f>
        <v/>
      </c>
      <c r="D171" s="5" t="str">
        <f>IF(B171="", "", C171 &amp; "!" &amp; CHAR(65+MATCH(B171, params!$B$2:$R$2, 0)))</f>
        <v/>
      </c>
      <c r="E171" s="5" t="str">
        <f ca="1">IF(B171="", "", COUNTA(INDIRECT(D171 &amp; 3):INDIRECT(D171 &amp; 24)))</f>
        <v/>
      </c>
      <c r="F171" s="5" t="str">
        <f t="shared" si="6"/>
        <v/>
      </c>
      <c r="G171" s="5" t="str">
        <f>IF(F171="", "", IF(B171&lt;&gt;"", MATCH(B171, params!$B$2:$R$2, 0), G170))</f>
        <v/>
      </c>
      <c r="H171" s="5" t="str">
        <f t="shared" ca="1" si="7"/>
        <v/>
      </c>
      <c r="I171" s="2"/>
      <c r="J171" s="2"/>
      <c r="K171" s="2"/>
      <c r="L171" s="2"/>
      <c r="M171" s="2"/>
    </row>
    <row r="172" spans="1:13" ht="15.6" x14ac:dyDescent="0.3">
      <c r="A172" s="2"/>
      <c r="B172" s="5" t="str">
        <f>IF(COUNTIF(data_val!$E$3:$E$5, sample_log!$E172), sample_log!$C172 &amp; "_" &amp; sample_log!$D172, "")</f>
        <v/>
      </c>
      <c r="C172" s="5" t="str">
        <f>IF(B172="", IF(F172="", "", C171), IF(sample_log!E172="Triennial SASS", "tri_params", "params"))</f>
        <v/>
      </c>
      <c r="D172" s="5" t="str">
        <f>IF(B172="", "", C172 &amp; "!" &amp; CHAR(65+MATCH(B172, params!$B$2:$R$2, 0)))</f>
        <v/>
      </c>
      <c r="E172" s="5" t="str">
        <f ca="1">IF(B172="", "", COUNTA(INDIRECT(D172 &amp; 3):INDIRECT(D172 &amp; 24)))</f>
        <v/>
      </c>
      <c r="F172" s="5" t="str">
        <f t="shared" si="6"/>
        <v/>
      </c>
      <c r="G172" s="5" t="str">
        <f>IF(F172="", "", IF(B172&lt;&gt;"", MATCH(B172, params!$B$2:$R$2, 0), G171))</f>
        <v/>
      </c>
      <c r="H172" s="5" t="str">
        <f t="shared" ca="1" si="7"/>
        <v/>
      </c>
      <c r="I172" s="2"/>
      <c r="J172" s="2"/>
      <c r="K172" s="2"/>
      <c r="L172" s="2"/>
      <c r="M172" s="2"/>
    </row>
    <row r="173" spans="1:13" ht="15.6" x14ac:dyDescent="0.3">
      <c r="A173" s="2"/>
      <c r="B173" s="5" t="str">
        <f>IF(COUNTIF(data_val!$E$3:$E$5, sample_log!$E173), sample_log!$C173 &amp; "_" &amp; sample_log!$D173, "")</f>
        <v/>
      </c>
      <c r="C173" s="5" t="str">
        <f>IF(B173="", IF(F173="", "", C172), IF(sample_log!E173="Triennial SASS", "tri_params", "params"))</f>
        <v/>
      </c>
      <c r="D173" s="5" t="str">
        <f>IF(B173="", "", C173 &amp; "!" &amp; CHAR(65+MATCH(B173, params!$B$2:$R$2, 0)))</f>
        <v/>
      </c>
      <c r="E173" s="5" t="str">
        <f ca="1">IF(B173="", "", COUNTA(INDIRECT(D173 &amp; 3):INDIRECT(D173 &amp; 24)))</f>
        <v/>
      </c>
      <c r="F173" s="5" t="str">
        <f t="shared" si="6"/>
        <v/>
      </c>
      <c r="G173" s="5" t="str">
        <f>IF(F173="", "", IF(B173&lt;&gt;"", MATCH(B173, params!$B$2:$R$2, 0), G172))</f>
        <v/>
      </c>
      <c r="H173" s="5" t="str">
        <f t="shared" ca="1" si="7"/>
        <v/>
      </c>
      <c r="I173" s="2"/>
      <c r="J173" s="2"/>
      <c r="K173" s="2"/>
      <c r="L173" s="2"/>
      <c r="M173" s="2"/>
    </row>
    <row r="174" spans="1:13" ht="15.6" x14ac:dyDescent="0.3">
      <c r="A174" s="2"/>
      <c r="B174" s="5" t="str">
        <f>IF(COUNTIF(data_val!$E$3:$E$5, sample_log!$E174), sample_log!$C174 &amp; "_" &amp; sample_log!$D174, "")</f>
        <v/>
      </c>
      <c r="C174" s="5" t="str">
        <f>IF(B174="", IF(F174="", "", C173), IF(sample_log!E174="Triennial SASS", "tri_params", "params"))</f>
        <v/>
      </c>
      <c r="D174" s="5" t="str">
        <f>IF(B174="", "", C174 &amp; "!" &amp; CHAR(65+MATCH(B174, params!$B$2:$R$2, 0)))</f>
        <v/>
      </c>
      <c r="E174" s="5" t="str">
        <f ca="1">IF(B174="", "", COUNTA(INDIRECT(D174 &amp; 3):INDIRECT(D174 &amp; 24)))</f>
        <v/>
      </c>
      <c r="F174" s="5" t="str">
        <f t="shared" si="6"/>
        <v/>
      </c>
      <c r="G174" s="5" t="str">
        <f>IF(F174="", "", IF(B174&lt;&gt;"", MATCH(B174, params!$B$2:$R$2, 0), G173))</f>
        <v/>
      </c>
      <c r="H174" s="5" t="str">
        <f t="shared" ca="1" si="7"/>
        <v/>
      </c>
      <c r="I174" s="2"/>
      <c r="J174" s="2"/>
      <c r="K174" s="2"/>
      <c r="L174" s="2"/>
      <c r="M174" s="2"/>
    </row>
    <row r="175" spans="1:13" ht="15.6" x14ac:dyDescent="0.3">
      <c r="A175" s="2"/>
      <c r="B175" s="5" t="str">
        <f>IF(COUNTIF(data_val!$E$3:$E$5, sample_log!$E175), sample_log!$C175 &amp; "_" &amp; sample_log!$D175, "")</f>
        <v/>
      </c>
      <c r="C175" s="5" t="str">
        <f>IF(B175="", IF(F175="", "", C174), IF(sample_log!E175="Triennial SASS", "tri_params", "params"))</f>
        <v/>
      </c>
      <c r="D175" s="5" t="str">
        <f>IF(B175="", "", C175 &amp; "!" &amp; CHAR(65+MATCH(B175, params!$B$2:$R$2, 0)))</f>
        <v/>
      </c>
      <c r="E175" s="5" t="str">
        <f ca="1">IF(B175="", "", COUNTA(INDIRECT(D175 &amp; 3):INDIRECT(D175 &amp; 24)))</f>
        <v/>
      </c>
      <c r="F175" s="5" t="str">
        <f t="shared" si="6"/>
        <v/>
      </c>
      <c r="G175" s="5" t="str">
        <f>IF(F175="", "", IF(B175&lt;&gt;"", MATCH(B175, params!$B$2:$R$2, 0), G174))</f>
        <v/>
      </c>
      <c r="H175" s="5" t="str">
        <f t="shared" ca="1" si="7"/>
        <v/>
      </c>
      <c r="I175" s="2"/>
      <c r="J175" s="2"/>
      <c r="K175" s="2"/>
      <c r="L175" s="2"/>
      <c r="M175" s="2"/>
    </row>
    <row r="176" spans="1:13" ht="15.6" x14ac:dyDescent="0.3">
      <c r="A176" s="2"/>
      <c r="B176" s="5" t="str">
        <f>IF(COUNTIF(data_val!$E$3:$E$5, sample_log!$E176), sample_log!$C176 &amp; "_" &amp; sample_log!$D176, "")</f>
        <v/>
      </c>
      <c r="C176" s="5" t="str">
        <f>IF(B176="", IF(F176="", "", C175), IF(sample_log!E176="Triennial SASS", "tri_params", "params"))</f>
        <v/>
      </c>
      <c r="D176" s="5" t="str">
        <f>IF(B176="", "", C176 &amp; "!" &amp; CHAR(65+MATCH(B176, params!$B$2:$R$2, 0)))</f>
        <v/>
      </c>
      <c r="E176" s="5" t="str">
        <f ca="1">IF(B176="", "", COUNTA(INDIRECT(D176 &amp; 3):INDIRECT(D176 &amp; 24)))</f>
        <v/>
      </c>
      <c r="F176" s="5" t="str">
        <f t="shared" si="6"/>
        <v/>
      </c>
      <c r="G176" s="5" t="str">
        <f>IF(F176="", "", IF(B176&lt;&gt;"", MATCH(B176, params!$B$2:$R$2, 0), G175))</f>
        <v/>
      </c>
      <c r="H176" s="5" t="str">
        <f t="shared" ca="1" si="7"/>
        <v/>
      </c>
      <c r="I176" s="2"/>
      <c r="J176" s="2"/>
      <c r="K176" s="2"/>
      <c r="L176" s="2"/>
      <c r="M176" s="2"/>
    </row>
    <row r="177" spans="1:13" ht="15.6" x14ac:dyDescent="0.3">
      <c r="A177" s="2"/>
      <c r="B177" s="5" t="str">
        <f>IF(COUNTIF(data_val!$E$3:$E$5, sample_log!$E177), sample_log!$C177 &amp; "_" &amp; sample_log!$D177, "")</f>
        <v/>
      </c>
      <c r="C177" s="5" t="str">
        <f>IF(B177="", IF(F177="", "", C176), IF(sample_log!E177="Triennial SASS", "tri_params", "params"))</f>
        <v/>
      </c>
      <c r="D177" s="5" t="str">
        <f>IF(B177="", "", C177 &amp; "!" &amp; CHAR(65+MATCH(B177, params!$B$2:$R$2, 0)))</f>
        <v/>
      </c>
      <c r="E177" s="5" t="str">
        <f ca="1">IF(B177="", "", COUNTA(INDIRECT(D177 &amp; 3):INDIRECT(D177 &amp; 24)))</f>
        <v/>
      </c>
      <c r="F177" s="5" t="str">
        <f t="shared" si="6"/>
        <v/>
      </c>
      <c r="G177" s="5" t="str">
        <f>IF(F177="", "", IF(B177&lt;&gt;"", MATCH(B177, params!$B$2:$R$2, 0), G176))</f>
        <v/>
      </c>
      <c r="H177" s="5" t="str">
        <f t="shared" ca="1" si="7"/>
        <v/>
      </c>
      <c r="I177" s="2"/>
      <c r="J177" s="2"/>
      <c r="K177" s="2"/>
      <c r="L177" s="2"/>
      <c r="M177" s="2"/>
    </row>
    <row r="178" spans="1:13" ht="15.6" x14ac:dyDescent="0.3">
      <c r="A178" s="2"/>
      <c r="B178" s="5" t="str">
        <f>IF(COUNTIF(data_val!$E$3:$E$5, sample_log!$E178), sample_log!$C178 &amp; "_" &amp; sample_log!$D178, "")</f>
        <v/>
      </c>
      <c r="C178" s="5" t="str">
        <f>IF(B178="", IF(F178="", "", C177), IF(sample_log!E178="Triennial SASS", "tri_params", "params"))</f>
        <v/>
      </c>
      <c r="D178" s="5" t="str">
        <f>IF(B178="", "", C178 &amp; "!" &amp; CHAR(65+MATCH(B178, params!$B$2:$R$2, 0)))</f>
        <v/>
      </c>
      <c r="E178" s="5" t="str">
        <f ca="1">IF(B178="", "", COUNTA(INDIRECT(D178 &amp; 3):INDIRECT(D178 &amp; 24)))</f>
        <v/>
      </c>
      <c r="F178" s="5" t="str">
        <f t="shared" si="6"/>
        <v/>
      </c>
      <c r="G178" s="5" t="str">
        <f>IF(F178="", "", IF(B178&lt;&gt;"", MATCH(B178, params!$B$2:$R$2, 0), G177))</f>
        <v/>
      </c>
      <c r="H178" s="5" t="str">
        <f t="shared" ca="1" si="7"/>
        <v/>
      </c>
      <c r="I178" s="2"/>
      <c r="J178" s="2"/>
      <c r="K178" s="2"/>
      <c r="L178" s="2"/>
      <c r="M178" s="2"/>
    </row>
    <row r="179" spans="1:13" ht="15.6" x14ac:dyDescent="0.3">
      <c r="A179" s="2"/>
      <c r="B179" s="5" t="str">
        <f>IF(COUNTIF(data_val!$E$3:$E$5, sample_log!$E179), sample_log!$C179 &amp; "_" &amp; sample_log!$D179, "")</f>
        <v/>
      </c>
      <c r="C179" s="5" t="str">
        <f>IF(B179="", IF(F179="", "", C178), IF(sample_log!E179="Triennial SASS", "tri_params", "params"))</f>
        <v/>
      </c>
      <c r="D179" s="5" t="str">
        <f>IF(B179="", "", C179 &amp; "!" &amp; CHAR(65+MATCH(B179, params!$B$2:$R$2, 0)))</f>
        <v/>
      </c>
      <c r="E179" s="5" t="str">
        <f ca="1">IF(B179="", "", COUNTA(INDIRECT(D179 &amp; 3):INDIRECT(D179 &amp; 24)))</f>
        <v/>
      </c>
      <c r="F179" s="5" t="str">
        <f t="shared" si="6"/>
        <v/>
      </c>
      <c r="G179" s="5" t="str">
        <f>IF(F179="", "", IF(B179&lt;&gt;"", MATCH(B179, params!$B$2:$R$2, 0), G178))</f>
        <v/>
      </c>
      <c r="H179" s="5" t="str">
        <f t="shared" ca="1" si="7"/>
        <v/>
      </c>
      <c r="I179" s="2"/>
      <c r="J179" s="2"/>
      <c r="K179" s="2"/>
      <c r="L179" s="2"/>
      <c r="M179" s="2"/>
    </row>
    <row r="180" spans="1:13" ht="15.6" x14ac:dyDescent="0.3">
      <c r="A180" s="2"/>
      <c r="B180" s="5" t="str">
        <f>IF(COUNTIF(data_val!$E$3:$E$5, sample_log!$E180), sample_log!$C180 &amp; "_" &amp; sample_log!$D180, "")</f>
        <v/>
      </c>
      <c r="C180" s="5" t="str">
        <f>IF(B180="", IF(F180="", "", C179), IF(sample_log!E180="Triennial SASS", "tri_params", "params"))</f>
        <v/>
      </c>
      <c r="D180" s="5" t="str">
        <f>IF(B180="", "", C180 &amp; "!" &amp; CHAR(65+MATCH(B180, params!$B$2:$R$2, 0)))</f>
        <v/>
      </c>
      <c r="E180" s="5" t="str">
        <f ca="1">IF(B180="", "", COUNTA(INDIRECT(D180 &amp; 3):INDIRECT(D180 &amp; 24)))</f>
        <v/>
      </c>
      <c r="F180" s="5" t="str">
        <f t="shared" si="6"/>
        <v/>
      </c>
      <c r="G180" s="5" t="str">
        <f>IF(F180="", "", IF(B180&lt;&gt;"", MATCH(B180, params!$B$2:$R$2, 0), G179))</f>
        <v/>
      </c>
      <c r="H180" s="5" t="str">
        <f t="shared" ca="1" si="7"/>
        <v/>
      </c>
      <c r="I180" s="2"/>
      <c r="J180" s="2"/>
      <c r="K180" s="2"/>
      <c r="L180" s="2"/>
      <c r="M180" s="2"/>
    </row>
    <row r="181" spans="1:13" ht="15.6" x14ac:dyDescent="0.3">
      <c r="A181" s="2"/>
      <c r="B181" s="5" t="str">
        <f>IF(COUNTIF(data_val!$E$3:$E$5, sample_log!$E181), sample_log!$C181 &amp; "_" &amp; sample_log!$D181, "")</f>
        <v/>
      </c>
      <c r="C181" s="5" t="str">
        <f>IF(B181="", IF(F181="", "", C180), IF(sample_log!E181="Triennial SASS", "tri_params", "params"))</f>
        <v/>
      </c>
      <c r="D181" s="5" t="str">
        <f>IF(B181="", "", C181 &amp; "!" &amp; CHAR(65+MATCH(B181, params!$B$2:$R$2, 0)))</f>
        <v/>
      </c>
      <c r="E181" s="5" t="str">
        <f ca="1">IF(B181="", "", COUNTA(INDIRECT(D181 &amp; 3):INDIRECT(D181 &amp; 24)))</f>
        <v/>
      </c>
      <c r="F181" s="5" t="str">
        <f t="shared" si="6"/>
        <v/>
      </c>
      <c r="G181" s="5" t="str">
        <f>IF(F181="", "", IF(B181&lt;&gt;"", MATCH(B181, params!$B$2:$R$2, 0), G180))</f>
        <v/>
      </c>
      <c r="H181" s="5" t="str">
        <f t="shared" ca="1" si="7"/>
        <v/>
      </c>
      <c r="I181" s="2"/>
      <c r="J181" s="2"/>
      <c r="K181" s="2"/>
      <c r="L181" s="2"/>
      <c r="M181" s="2"/>
    </row>
    <row r="182" spans="1:13" ht="15.6" x14ac:dyDescent="0.3">
      <c r="A182" s="2"/>
      <c r="B182" s="5" t="str">
        <f>IF(COUNTIF(data_val!$E$3:$E$5, sample_log!$E182), sample_log!$C182 &amp; "_" &amp; sample_log!$D182, "")</f>
        <v/>
      </c>
      <c r="C182" s="5" t="str">
        <f>IF(B182="", IF(F182="", "", C181), IF(sample_log!E182="Triennial SASS", "tri_params", "params"))</f>
        <v/>
      </c>
      <c r="D182" s="5" t="str">
        <f>IF(B182="", "", C182 &amp; "!" &amp; CHAR(65+MATCH(B182, params!$B$2:$R$2, 0)))</f>
        <v/>
      </c>
      <c r="E182" s="5" t="str">
        <f ca="1">IF(B182="", "", COUNTA(INDIRECT(D182 &amp; 3):INDIRECT(D182 &amp; 24)))</f>
        <v/>
      </c>
      <c r="F182" s="5" t="str">
        <f t="shared" si="6"/>
        <v/>
      </c>
      <c r="G182" s="5" t="str">
        <f>IF(F182="", "", IF(B182&lt;&gt;"", MATCH(B182, params!$B$2:$R$2, 0), G181))</f>
        <v/>
      </c>
      <c r="H182" s="5" t="str">
        <f t="shared" ca="1" si="7"/>
        <v/>
      </c>
      <c r="I182" s="2"/>
      <c r="J182" s="2"/>
      <c r="K182" s="2"/>
      <c r="L182" s="2"/>
      <c r="M182" s="2"/>
    </row>
    <row r="183" spans="1:13" ht="15.6" x14ac:dyDescent="0.3">
      <c r="A183" s="2"/>
      <c r="B183" s="5" t="str">
        <f>IF(COUNTIF(data_val!$E$3:$E$5, sample_log!$E183), sample_log!$C183 &amp; "_" &amp; sample_log!$D183, "")</f>
        <v/>
      </c>
      <c r="C183" s="5" t="str">
        <f>IF(B183="", IF(F183="", "", C182), IF(sample_log!E183="Triennial SASS", "tri_params", "params"))</f>
        <v/>
      </c>
      <c r="D183" s="5" t="str">
        <f>IF(B183="", "", C183 &amp; "!" &amp; CHAR(65+MATCH(B183, params!$B$2:$R$2, 0)))</f>
        <v/>
      </c>
      <c r="E183" s="5" t="str">
        <f ca="1">IF(B183="", "", COUNTA(INDIRECT(D183 &amp; 3):INDIRECT(D183 &amp; 24)))</f>
        <v/>
      </c>
      <c r="F183" s="5" t="str">
        <f t="shared" si="6"/>
        <v/>
      </c>
      <c r="G183" s="5" t="str">
        <f>IF(F183="", "", IF(B183&lt;&gt;"", MATCH(B183, params!$B$2:$R$2, 0), G182))</f>
        <v/>
      </c>
      <c r="H183" s="5" t="str">
        <f t="shared" ca="1" si="7"/>
        <v/>
      </c>
      <c r="I183" s="2"/>
      <c r="J183" s="2"/>
      <c r="K183" s="2"/>
      <c r="L183" s="2"/>
      <c r="M183" s="2"/>
    </row>
    <row r="184" spans="1:13" ht="15.6" x14ac:dyDescent="0.3">
      <c r="A184" s="2"/>
      <c r="B184" s="5" t="str">
        <f>IF(COUNTIF(data_val!$E$3:$E$5, sample_log!$E184), sample_log!$C184 &amp; "_" &amp; sample_log!$D184, "")</f>
        <v/>
      </c>
      <c r="C184" s="5" t="str">
        <f>IF(B184="", IF(F184="", "", C183), IF(sample_log!E184="Triennial SASS", "tri_params", "params"))</f>
        <v/>
      </c>
      <c r="D184" s="5" t="str">
        <f>IF(B184="", "", C184 &amp; "!" &amp; CHAR(65+MATCH(B184, params!$B$2:$R$2, 0)))</f>
        <v/>
      </c>
      <c r="E184" s="5" t="str">
        <f ca="1">IF(B184="", "", COUNTA(INDIRECT(D184 &amp; 3):INDIRECT(D184 &amp; 24)))</f>
        <v/>
      </c>
      <c r="F184" s="5" t="str">
        <f t="shared" si="6"/>
        <v/>
      </c>
      <c r="G184" s="5" t="str">
        <f>IF(F184="", "", IF(B184&lt;&gt;"", MATCH(B184, params!$B$2:$R$2, 0), G183))</f>
        <v/>
      </c>
      <c r="H184" s="5" t="str">
        <f t="shared" ca="1" si="7"/>
        <v/>
      </c>
      <c r="I184" s="2"/>
      <c r="J184" s="2"/>
      <c r="K184" s="2"/>
      <c r="L184" s="2"/>
      <c r="M184" s="2"/>
    </row>
    <row r="185" spans="1:13" ht="15.6" x14ac:dyDescent="0.3">
      <c r="A185" s="2"/>
      <c r="B185" s="5" t="str">
        <f>IF(COUNTIF(data_val!$E$3:$E$5, sample_log!$E185), sample_log!$C185 &amp; "_" &amp; sample_log!$D185, "")</f>
        <v/>
      </c>
      <c r="C185" s="5" t="str">
        <f>IF(B185="", IF(F185="", "", C184), IF(sample_log!E185="Triennial SASS", "tri_params", "params"))</f>
        <v/>
      </c>
      <c r="D185" s="5" t="str">
        <f>IF(B185="", "", C185 &amp; "!" &amp; CHAR(65+MATCH(B185, params!$B$2:$R$2, 0)))</f>
        <v/>
      </c>
      <c r="E185" s="5" t="str">
        <f ca="1">IF(B185="", "", COUNTA(INDIRECT(D185 &amp; 3):INDIRECT(D185 &amp; 24)))</f>
        <v/>
      </c>
      <c r="F185" s="5" t="str">
        <f t="shared" si="6"/>
        <v/>
      </c>
      <c r="G185" s="5" t="str">
        <f>IF(F185="", "", IF(B185&lt;&gt;"", MATCH(B185, params!$B$2:$R$2, 0), G184))</f>
        <v/>
      </c>
      <c r="H185" s="5" t="str">
        <f t="shared" ca="1" si="7"/>
        <v/>
      </c>
      <c r="I185" s="2"/>
      <c r="J185" s="2"/>
      <c r="K185" s="2"/>
      <c r="L185" s="2"/>
      <c r="M185" s="2"/>
    </row>
    <row r="186" spans="1:13" ht="15.6" x14ac:dyDescent="0.3">
      <c r="A186" s="2"/>
      <c r="B186" s="5" t="str">
        <f>IF(COUNTIF(data_val!$E$3:$E$5, sample_log!$E186), sample_log!$C186 &amp; "_" &amp; sample_log!$D186, "")</f>
        <v/>
      </c>
      <c r="C186" s="5" t="str">
        <f>IF(B186="", IF(F186="", "", C185), IF(sample_log!E186="Triennial SASS", "tri_params", "params"))</f>
        <v/>
      </c>
      <c r="D186" s="5" t="str">
        <f>IF(B186="", "", C186 &amp; "!" &amp; CHAR(65+MATCH(B186, params!$B$2:$R$2, 0)))</f>
        <v/>
      </c>
      <c r="E186" s="5" t="str">
        <f ca="1">IF(B186="", "", COUNTA(INDIRECT(D186 &amp; 3):INDIRECT(D186 &amp; 24)))</f>
        <v/>
      </c>
      <c r="F186" s="5" t="str">
        <f t="shared" si="6"/>
        <v/>
      </c>
      <c r="G186" s="5" t="str">
        <f>IF(F186="", "", IF(B186&lt;&gt;"", MATCH(B186, params!$B$2:$R$2, 0), G185))</f>
        <v/>
      </c>
      <c r="H186" s="5" t="str">
        <f t="shared" ca="1" si="7"/>
        <v/>
      </c>
      <c r="I186" s="2"/>
      <c r="J186" s="2"/>
      <c r="K186" s="2"/>
      <c r="L186" s="2"/>
      <c r="M186" s="2"/>
    </row>
    <row r="187" spans="1:13" ht="15.6" x14ac:dyDescent="0.3">
      <c r="A187" s="2"/>
      <c r="B187" s="5" t="str">
        <f>IF(COUNTIF(data_val!$E$3:$E$5, sample_log!$E187), sample_log!$C187 &amp; "_" &amp; sample_log!$D187, "")</f>
        <v/>
      </c>
      <c r="C187" s="5" t="str">
        <f>IF(B187="", IF(F187="", "", C186), IF(sample_log!E187="Triennial SASS", "tri_params", "params"))</f>
        <v/>
      </c>
      <c r="D187" s="5" t="str">
        <f>IF(B187="", "", C187 &amp; "!" &amp; CHAR(65+MATCH(B187, params!$B$2:$R$2, 0)))</f>
        <v/>
      </c>
      <c r="E187" s="5" t="str">
        <f ca="1">IF(B187="", "", COUNTA(INDIRECT(D187 &amp; 3):INDIRECT(D187 &amp; 24)))</f>
        <v/>
      </c>
      <c r="F187" s="5" t="str">
        <f t="shared" si="6"/>
        <v/>
      </c>
      <c r="G187" s="5" t="str">
        <f>IF(F187="", "", IF(B187&lt;&gt;"", MATCH(B187, params!$B$2:$R$2, 0), G186))</f>
        <v/>
      </c>
      <c r="H187" s="5" t="str">
        <f t="shared" ca="1" si="7"/>
        <v/>
      </c>
      <c r="I187" s="2"/>
      <c r="J187" s="2"/>
      <c r="K187" s="2"/>
      <c r="L187" s="2"/>
      <c r="M187" s="2"/>
    </row>
    <row r="188" spans="1:13" ht="15.6" x14ac:dyDescent="0.3">
      <c r="A188" s="2"/>
      <c r="B188" s="5" t="str">
        <f>IF(COUNTIF(data_val!$E$3:$E$5, sample_log!$E188), sample_log!$C188 &amp; "_" &amp; sample_log!$D188, "")</f>
        <v/>
      </c>
      <c r="C188" s="5" t="str">
        <f>IF(B188="", IF(F188="", "", C187), IF(sample_log!E188="Triennial SASS", "tri_params", "params"))</f>
        <v/>
      </c>
      <c r="D188" s="5" t="str">
        <f>IF(B188="", "", C188 &amp; "!" &amp; CHAR(65+MATCH(B188, params!$B$2:$R$2, 0)))</f>
        <v/>
      </c>
      <c r="E188" s="5" t="str">
        <f ca="1">IF(B188="", "", COUNTA(INDIRECT(D188 &amp; 3):INDIRECT(D188 &amp; 24)))</f>
        <v/>
      </c>
      <c r="F188" s="5" t="str">
        <f t="shared" si="6"/>
        <v/>
      </c>
      <c r="G188" s="5" t="str">
        <f>IF(F188="", "", IF(B188&lt;&gt;"", MATCH(B188, params!$B$2:$R$2, 0), G187))</f>
        <v/>
      </c>
      <c r="H188" s="5" t="str">
        <f t="shared" ca="1" si="7"/>
        <v/>
      </c>
      <c r="I188" s="2"/>
      <c r="J188" s="2"/>
      <c r="K188" s="2"/>
      <c r="L188" s="2"/>
      <c r="M188" s="2"/>
    </row>
    <row r="189" spans="1:13" ht="15.6" x14ac:dyDescent="0.3">
      <c r="A189" s="2"/>
      <c r="B189" s="5" t="str">
        <f>IF(COUNTIF(data_val!$E$3:$E$5, sample_log!$E189), sample_log!$C189 &amp; "_" &amp; sample_log!$D189, "")</f>
        <v/>
      </c>
      <c r="C189" s="5" t="str">
        <f>IF(B189="", IF(F189="", "", C188), IF(sample_log!E189="Triennial SASS", "tri_params", "params"))</f>
        <v/>
      </c>
      <c r="D189" s="5" t="str">
        <f>IF(B189="", "", C189 &amp; "!" &amp; CHAR(65+MATCH(B189, params!$B$2:$R$2, 0)))</f>
        <v/>
      </c>
      <c r="E189" s="5" t="str">
        <f ca="1">IF(B189="", "", COUNTA(INDIRECT(D189 &amp; 3):INDIRECT(D189 &amp; 24)))</f>
        <v/>
      </c>
      <c r="F189" s="5" t="str">
        <f t="shared" si="6"/>
        <v/>
      </c>
      <c r="G189" s="5" t="str">
        <f>IF(F189="", "", IF(B189&lt;&gt;"", MATCH(B189, params!$B$2:$R$2, 0), G188))</f>
        <v/>
      </c>
      <c r="H189" s="5" t="str">
        <f t="shared" ca="1" si="7"/>
        <v/>
      </c>
      <c r="I189" s="2"/>
      <c r="J189" s="2"/>
      <c r="K189" s="2"/>
      <c r="L189" s="2"/>
      <c r="M189" s="2"/>
    </row>
    <row r="190" spans="1:13" ht="15.6" x14ac:dyDescent="0.3">
      <c r="A190" s="2"/>
      <c r="B190" s="5" t="str">
        <f>IF(COUNTIF(data_val!$E$3:$E$5, sample_log!$E190), sample_log!$C190 &amp; "_" &amp; sample_log!$D190, "")</f>
        <v/>
      </c>
      <c r="C190" s="5" t="str">
        <f>IF(B190="", IF(F190="", "", C189), IF(sample_log!E190="Triennial SASS", "tri_params", "params"))</f>
        <v/>
      </c>
      <c r="D190" s="5" t="str">
        <f>IF(B190="", "", C190 &amp; "!" &amp; CHAR(65+MATCH(B190, params!$B$2:$R$2, 0)))</f>
        <v/>
      </c>
      <c r="E190" s="5" t="str">
        <f ca="1">IF(B190="", "", COUNTA(INDIRECT(D190 &amp; 3):INDIRECT(D190 &amp; 24)))</f>
        <v/>
      </c>
      <c r="F190" s="5" t="str">
        <f t="shared" si="6"/>
        <v/>
      </c>
      <c r="G190" s="5" t="str">
        <f>IF(F190="", "", IF(B190&lt;&gt;"", MATCH(B190, params!$B$2:$R$2, 0), G189))</f>
        <v/>
      </c>
      <c r="H190" s="5" t="str">
        <f t="shared" ca="1" si="7"/>
        <v/>
      </c>
      <c r="I190" s="2"/>
      <c r="J190" s="2"/>
      <c r="K190" s="2"/>
      <c r="L190" s="2"/>
      <c r="M190" s="2"/>
    </row>
    <row r="191" spans="1:13" ht="15.6" x14ac:dyDescent="0.3">
      <c r="A191" s="2"/>
      <c r="B191" s="5" t="str">
        <f>IF(COUNTIF(data_val!$E$3:$E$5, sample_log!$E191), sample_log!$C191 &amp; "_" &amp; sample_log!$D191, "")</f>
        <v/>
      </c>
      <c r="C191" s="5" t="str">
        <f>IF(B191="", IF(F191="", "", C190), IF(sample_log!E191="Triennial SASS", "tri_params", "params"))</f>
        <v/>
      </c>
      <c r="D191" s="5" t="str">
        <f>IF(B191="", "", C191 &amp; "!" &amp; CHAR(65+MATCH(B191, params!$B$2:$R$2, 0)))</f>
        <v/>
      </c>
      <c r="E191" s="5" t="str">
        <f ca="1">IF(B191="", "", COUNTA(INDIRECT(D191 &amp; 3):INDIRECT(D191 &amp; 24)))</f>
        <v/>
      </c>
      <c r="F191" s="5" t="str">
        <f t="shared" si="6"/>
        <v/>
      </c>
      <c r="G191" s="5" t="str">
        <f>IF(F191="", "", IF(B191&lt;&gt;"", MATCH(B191, params!$B$2:$R$2, 0), G190))</f>
        <v/>
      </c>
      <c r="H191" s="5" t="str">
        <f t="shared" ca="1" si="7"/>
        <v/>
      </c>
      <c r="I191" s="2"/>
      <c r="J191" s="2"/>
      <c r="K191" s="2"/>
      <c r="L191" s="2"/>
      <c r="M191" s="2"/>
    </row>
    <row r="192" spans="1:13" ht="15.6" x14ac:dyDescent="0.3">
      <c r="A192" s="2"/>
      <c r="B192" s="5" t="str">
        <f>IF(COUNTIF(data_val!$E$3:$E$5, sample_log!$E192), sample_log!$C192 &amp; "_" &amp; sample_log!$D192, "")</f>
        <v/>
      </c>
      <c r="C192" s="5" t="str">
        <f>IF(B192="", IF(F192="", "", C191), IF(sample_log!E192="Triennial SASS", "tri_params", "params"))</f>
        <v/>
      </c>
      <c r="D192" s="5" t="str">
        <f>IF(B192="", "", C192 &amp; "!" &amp; CHAR(65+MATCH(B192, params!$B$2:$R$2, 0)))</f>
        <v/>
      </c>
      <c r="E192" s="5" t="str">
        <f ca="1">IF(B192="", "", COUNTA(INDIRECT(D192 &amp; 3):INDIRECT(D192 &amp; 24)))</f>
        <v/>
      </c>
      <c r="F192" s="5" t="str">
        <f t="shared" si="6"/>
        <v/>
      </c>
      <c r="G192" s="5" t="str">
        <f>IF(F192="", "", IF(B192&lt;&gt;"", MATCH(B192, params!$B$2:$R$2, 0), G191))</f>
        <v/>
      </c>
      <c r="H192" s="5" t="str">
        <f t="shared" ca="1" si="7"/>
        <v/>
      </c>
      <c r="I192" s="2"/>
      <c r="J192" s="2"/>
      <c r="K192" s="2"/>
      <c r="L192" s="2"/>
      <c r="M192" s="2"/>
    </row>
    <row r="193" spans="1:13" ht="15.6" x14ac:dyDescent="0.3">
      <c r="A193" s="2"/>
      <c r="B193" s="5" t="str">
        <f>IF(COUNTIF(data_val!$E$3:$E$5, sample_log!$E193), sample_log!$C193 &amp; "_" &amp; sample_log!$D193, "")</f>
        <v/>
      </c>
      <c r="C193" s="5" t="str">
        <f>IF(B193="", IF(F193="", "", C192), IF(sample_log!E193="Triennial SASS", "tri_params", "params"))</f>
        <v/>
      </c>
      <c r="D193" s="5" t="str">
        <f>IF(B193="", "", C193 &amp; "!" &amp; CHAR(65+MATCH(B193, params!$B$2:$R$2, 0)))</f>
        <v/>
      </c>
      <c r="E193" s="5" t="str">
        <f ca="1">IF(B193="", "", COUNTA(INDIRECT(D193 &amp; 3):INDIRECT(D193 &amp; 24)))</f>
        <v/>
      </c>
      <c r="F193" s="5" t="str">
        <f t="shared" si="6"/>
        <v/>
      </c>
      <c r="G193" s="5" t="str">
        <f>IF(F193="", "", IF(B193&lt;&gt;"", MATCH(B193, params!$B$2:$R$2, 0), G192))</f>
        <v/>
      </c>
      <c r="H193" s="5" t="str">
        <f t="shared" ca="1" si="7"/>
        <v/>
      </c>
      <c r="I193" s="2"/>
      <c r="J193" s="2"/>
      <c r="K193" s="2"/>
      <c r="L193" s="2"/>
      <c r="M193" s="2"/>
    </row>
    <row r="194" spans="1:13" ht="15.6" x14ac:dyDescent="0.3">
      <c r="A194" s="2"/>
      <c r="B194" s="5" t="str">
        <f>IF(COUNTIF(data_val!$E$3:$E$5, sample_log!$E194), sample_log!$C194 &amp; "_" &amp; sample_log!$D194, "")</f>
        <v/>
      </c>
      <c r="C194" s="5" t="str">
        <f>IF(B194="", IF(F194="", "", C193), IF(sample_log!E194="Triennial SASS", "tri_params", "params"))</f>
        <v/>
      </c>
      <c r="D194" s="5" t="str">
        <f>IF(B194="", "", C194 &amp; "!" &amp; CHAR(65+MATCH(B194, params!$B$2:$R$2, 0)))</f>
        <v/>
      </c>
      <c r="E194" s="5" t="str">
        <f ca="1">IF(B194="", "", COUNTA(INDIRECT(D194 &amp; 3):INDIRECT(D194 &amp; 24)))</f>
        <v/>
      </c>
      <c r="F194" s="5" t="str">
        <f t="shared" si="6"/>
        <v/>
      </c>
      <c r="G194" s="5" t="str">
        <f>IF(F194="", "", IF(B194&lt;&gt;"", MATCH(B194, params!$B$2:$R$2, 0), G193))</f>
        <v/>
      </c>
      <c r="H194" s="5" t="str">
        <f t="shared" ca="1" si="7"/>
        <v/>
      </c>
      <c r="I194" s="2"/>
      <c r="J194" s="2"/>
      <c r="K194" s="2"/>
      <c r="L194" s="2"/>
      <c r="M194" s="2"/>
    </row>
    <row r="195" spans="1:13" ht="15.6" x14ac:dyDescent="0.3">
      <c r="A195" s="2"/>
      <c r="B195" s="5" t="str">
        <f>IF(COUNTIF(data_val!$E$3:$E$5, sample_log!$E195), sample_log!$C195 &amp; "_" &amp; sample_log!$D195, "")</f>
        <v/>
      </c>
      <c r="C195" s="5" t="str">
        <f>IF(B195="", IF(F195="", "", C194), IF(sample_log!E195="Triennial SASS", "tri_params", "params"))</f>
        <v/>
      </c>
      <c r="D195" s="5" t="str">
        <f>IF(B195="", "", C195 &amp; "!" &amp; CHAR(65+MATCH(B195, params!$B$2:$R$2, 0)))</f>
        <v/>
      </c>
      <c r="E195" s="5" t="str">
        <f ca="1">IF(B195="", "", COUNTA(INDIRECT(D195 &amp; 3):INDIRECT(D195 &amp; 24)))</f>
        <v/>
      </c>
      <c r="F195" s="5" t="str">
        <f t="shared" ref="F195:F258" si="8">IF(B195="", IF(NOT(ISNUMBER(F194)), "", IF(F194-1&gt;0, F194-1, "")), E195)</f>
        <v/>
      </c>
      <c r="G195" s="5" t="str">
        <f>IF(F195="", "", IF(B195&lt;&gt;"", MATCH(B195, params!$B$2:$R$2, 0), G194))</f>
        <v/>
      </c>
      <c r="H195" s="5" t="str">
        <f t="shared" ca="1" si="7"/>
        <v/>
      </c>
      <c r="I195" s="2"/>
      <c r="J195" s="2"/>
      <c r="K195" s="2"/>
      <c r="L195" s="2"/>
      <c r="M195" s="2"/>
    </row>
    <row r="196" spans="1:13" ht="15.6" x14ac:dyDescent="0.3">
      <c r="A196" s="2"/>
      <c r="B196" s="5" t="str">
        <f>IF(COUNTIF(data_val!$E$3:$E$5, sample_log!$E196), sample_log!$C196 &amp; "_" &amp; sample_log!$D196, "")</f>
        <v/>
      </c>
      <c r="C196" s="5" t="str">
        <f>IF(B196="", IF(F196="", "", C195), IF(sample_log!E196="Triennial SASS", "tri_params", "params"))</f>
        <v/>
      </c>
      <c r="D196" s="5" t="str">
        <f>IF(B196="", "", C196 &amp; "!" &amp; CHAR(65+MATCH(B196, params!$B$2:$R$2, 0)))</f>
        <v/>
      </c>
      <c r="E196" s="5" t="str">
        <f ca="1">IF(B196="", "", COUNTA(INDIRECT(D196 &amp; 3):INDIRECT(D196 &amp; 24)))</f>
        <v/>
      </c>
      <c r="F196" s="5" t="str">
        <f t="shared" si="8"/>
        <v/>
      </c>
      <c r="G196" s="5" t="str">
        <f>IF(F196="", "", IF(B196&lt;&gt;"", MATCH(B196, params!$B$2:$R$2, 0), G195))</f>
        <v/>
      </c>
      <c r="H196" s="5" t="str">
        <f t="shared" ca="1" si="7"/>
        <v/>
      </c>
      <c r="I196" s="2"/>
      <c r="J196" s="2"/>
      <c r="K196" s="2"/>
      <c r="L196" s="2"/>
      <c r="M196" s="2"/>
    </row>
    <row r="197" spans="1:13" ht="15.6" x14ac:dyDescent="0.3">
      <c r="A197" s="2"/>
      <c r="B197" s="5" t="str">
        <f>IF(COUNTIF(data_val!$E$3:$E$5, sample_log!$E197), sample_log!$C197 &amp; "_" &amp; sample_log!$D197, "")</f>
        <v/>
      </c>
      <c r="C197" s="5" t="str">
        <f>IF(B197="", IF(F197="", "", C196), IF(sample_log!E197="Triennial SASS", "tri_params", "params"))</f>
        <v/>
      </c>
      <c r="D197" s="5" t="str">
        <f>IF(B197="", "", C197 &amp; "!" &amp; CHAR(65+MATCH(B197, params!$B$2:$R$2, 0)))</f>
        <v/>
      </c>
      <c r="E197" s="5" t="str">
        <f ca="1">IF(B197="", "", COUNTA(INDIRECT(D197 &amp; 3):INDIRECT(D197 &amp; 24)))</f>
        <v/>
      </c>
      <c r="F197" s="5" t="str">
        <f t="shared" si="8"/>
        <v/>
      </c>
      <c r="G197" s="5" t="str">
        <f>IF(F197="", "", IF(B197&lt;&gt;"", MATCH(B197, params!$B$2:$R$2, 0), G196))</f>
        <v/>
      </c>
      <c r="H197" s="5" t="str">
        <f t="shared" ca="1" si="7"/>
        <v/>
      </c>
      <c r="I197" s="2"/>
      <c r="J197" s="2"/>
      <c r="K197" s="2"/>
      <c r="L197" s="2"/>
      <c r="M197" s="2"/>
    </row>
    <row r="198" spans="1:13" ht="15.6" x14ac:dyDescent="0.3">
      <c r="A198" s="2"/>
      <c r="B198" s="5" t="str">
        <f>IF(COUNTIF(data_val!$E$3:$E$5, sample_log!$E198), sample_log!$C198 &amp; "_" &amp; sample_log!$D198, "")</f>
        <v/>
      </c>
      <c r="C198" s="5" t="str">
        <f>IF(B198="", IF(F198="", "", C197), IF(sample_log!E198="Triennial SASS", "tri_params", "params"))</f>
        <v/>
      </c>
      <c r="D198" s="5" t="str">
        <f>IF(B198="", "", C198 &amp; "!" &amp; CHAR(65+MATCH(B198, params!$B$2:$R$2, 0)))</f>
        <v/>
      </c>
      <c r="E198" s="5" t="str">
        <f ca="1">IF(B198="", "", COUNTA(INDIRECT(D198 &amp; 3):INDIRECT(D198 &amp; 24)))</f>
        <v/>
      </c>
      <c r="F198" s="5" t="str">
        <f t="shared" si="8"/>
        <v/>
      </c>
      <c r="G198" s="5" t="str">
        <f>IF(F198="", "", IF(B198&lt;&gt;"", MATCH(B198, params!$B$2:$R$2, 0), G197))</f>
        <v/>
      </c>
      <c r="H198" s="5" t="str">
        <f t="shared" ca="1" si="7"/>
        <v/>
      </c>
      <c r="I198" s="2"/>
      <c r="J198" s="2"/>
      <c r="K198" s="2"/>
      <c r="L198" s="2"/>
      <c r="M198" s="2"/>
    </row>
    <row r="199" spans="1:13" ht="15.6" x14ac:dyDescent="0.3">
      <c r="A199" s="2"/>
      <c r="B199" s="5" t="str">
        <f>IF(COUNTIF(data_val!$E$3:$E$5, sample_log!$E199), sample_log!$C199 &amp; "_" &amp; sample_log!$D199, "")</f>
        <v/>
      </c>
      <c r="C199" s="5" t="str">
        <f>IF(B199="", IF(F199="", "", C198), IF(sample_log!E199="Triennial SASS", "tri_params", "params"))</f>
        <v/>
      </c>
      <c r="D199" s="5" t="str">
        <f>IF(B199="", "", C199 &amp; "!" &amp; CHAR(65+MATCH(B199, params!$B$2:$R$2, 0)))</f>
        <v/>
      </c>
      <c r="E199" s="5" t="str">
        <f ca="1">IF(B199="", "", COUNTA(INDIRECT(D199 &amp; 3):INDIRECT(D199 &amp; 24)))</f>
        <v/>
      </c>
      <c r="F199" s="5" t="str">
        <f t="shared" si="8"/>
        <v/>
      </c>
      <c r="G199" s="5" t="str">
        <f>IF(F199="", "", IF(B199&lt;&gt;"", MATCH(B199, params!$B$2:$R$2, 0), G198))</f>
        <v/>
      </c>
      <c r="H199" s="5" t="str">
        <f t="shared" ca="1" si="7"/>
        <v/>
      </c>
      <c r="I199" s="2"/>
      <c r="J199" s="2"/>
      <c r="K199" s="2"/>
      <c r="L199" s="2"/>
      <c r="M199" s="2"/>
    </row>
    <row r="200" spans="1:13" ht="15.6" x14ac:dyDescent="0.3">
      <c r="A200" s="2"/>
      <c r="B200" s="5" t="str">
        <f>IF(COUNTIF(data_val!$E$3:$E$5, sample_log!$E200), sample_log!$C200 &amp; "_" &amp; sample_log!$D200, "")</f>
        <v/>
      </c>
      <c r="C200" s="5" t="str">
        <f>IF(B200="", IF(F200="", "", C199), IF(sample_log!E200="Triennial SASS", "tri_params", "params"))</f>
        <v/>
      </c>
      <c r="D200" s="5" t="str">
        <f>IF(B200="", "", C200 &amp; "!" &amp; CHAR(65+MATCH(B200, params!$B$2:$R$2, 0)))</f>
        <v/>
      </c>
      <c r="E200" s="5" t="str">
        <f ca="1">IF(B200="", "", COUNTA(INDIRECT(D200 &amp; 3):INDIRECT(D200 &amp; 24)))</f>
        <v/>
      </c>
      <c r="F200" s="5" t="str">
        <f t="shared" si="8"/>
        <v/>
      </c>
      <c r="G200" s="5" t="str">
        <f>IF(F200="", "", IF(B200&lt;&gt;"", MATCH(B200, params!$B$2:$R$2, 0), G199))</f>
        <v/>
      </c>
      <c r="H200" s="5" t="str">
        <f t="shared" ca="1" si="7"/>
        <v/>
      </c>
      <c r="I200" s="2"/>
      <c r="J200" s="2"/>
      <c r="K200" s="2"/>
      <c r="L200" s="2"/>
      <c r="M200" s="2"/>
    </row>
    <row r="201" spans="1:13" ht="15.6" x14ac:dyDescent="0.3">
      <c r="A201" s="2"/>
      <c r="B201" s="5" t="str">
        <f>IF(COUNTIF(data_val!$E$3:$E$5, sample_log!$E201), sample_log!$C201 &amp; "_" &amp; sample_log!$D201, "")</f>
        <v/>
      </c>
      <c r="C201" s="5" t="str">
        <f>IF(B201="", IF(F201="", "", C200), IF(sample_log!E201="Triennial SASS", "tri_params", "params"))</f>
        <v/>
      </c>
      <c r="D201" s="5" t="str">
        <f>IF(B201="", "", C201 &amp; "!" &amp; CHAR(65+MATCH(B201, params!$B$2:$R$2, 0)))</f>
        <v/>
      </c>
      <c r="E201" s="5" t="str">
        <f ca="1">IF(B201="", "", COUNTA(INDIRECT(D201 &amp; 3):INDIRECT(D201 &amp; 24)))</f>
        <v/>
      </c>
      <c r="F201" s="5" t="str">
        <f t="shared" si="8"/>
        <v/>
      </c>
      <c r="G201" s="5" t="str">
        <f>IF(F201="", "", IF(B201&lt;&gt;"", MATCH(B201, params!$B$2:$R$2, 0), G200))</f>
        <v/>
      </c>
      <c r="H201" s="5" t="str">
        <f t="shared" ca="1" si="7"/>
        <v/>
      </c>
      <c r="I201" s="2"/>
      <c r="J201" s="2"/>
      <c r="K201" s="2"/>
      <c r="L201" s="2"/>
      <c r="M201" s="2"/>
    </row>
    <row r="202" spans="1:13" ht="15.6" x14ac:dyDescent="0.3">
      <c r="A202" s="2"/>
      <c r="B202" s="5" t="str">
        <f>IF(COUNTIF(data_val!$E$3:$E$5, sample_log!$E202), sample_log!$C202 &amp; "_" &amp; sample_log!$D202, "")</f>
        <v/>
      </c>
      <c r="C202" s="5" t="str">
        <f>IF(B202="", IF(F202="", "", C201), IF(sample_log!E202="Triennial SASS", "tri_params", "params"))</f>
        <v/>
      </c>
      <c r="D202" s="5" t="str">
        <f>IF(B202="", "", C202 &amp; "!" &amp; CHAR(65+MATCH(B202, params!$B$2:$R$2, 0)))</f>
        <v/>
      </c>
      <c r="E202" s="5" t="str">
        <f ca="1">IF(B202="", "", COUNTA(INDIRECT(D202 &amp; 3):INDIRECT(D202 &amp; 24)))</f>
        <v/>
      </c>
      <c r="F202" s="5" t="str">
        <f t="shared" si="8"/>
        <v/>
      </c>
      <c r="G202" s="5" t="str">
        <f>IF(F202="", "", IF(B202&lt;&gt;"", MATCH(B202, params!$B$2:$R$2, 0), G201))</f>
        <v/>
      </c>
      <c r="H202" s="5" t="str">
        <f t="shared" ca="1" si="7"/>
        <v/>
      </c>
      <c r="I202" s="2"/>
      <c r="J202" s="2"/>
      <c r="K202" s="2"/>
      <c r="L202" s="2"/>
      <c r="M202" s="2"/>
    </row>
    <row r="203" spans="1:13" ht="15.6" x14ac:dyDescent="0.3">
      <c r="A203" s="2"/>
      <c r="B203" s="5" t="str">
        <f>IF(COUNTIF(data_val!$E$3:$E$5, sample_log!$E203), sample_log!$C203 &amp; "_" &amp; sample_log!$D203, "")</f>
        <v/>
      </c>
      <c r="C203" s="5" t="str">
        <f>IF(B203="", IF(F203="", "", C202), IF(sample_log!E203="Triennial SASS", "tri_params", "params"))</f>
        <v/>
      </c>
      <c r="D203" s="5" t="str">
        <f>IF(B203="", "", C203 &amp; "!" &amp; CHAR(65+MATCH(B203, params!$B$2:$R$2, 0)))</f>
        <v/>
      </c>
      <c r="E203" s="5" t="str">
        <f ca="1">IF(B203="", "", COUNTA(INDIRECT(D203 &amp; 3):INDIRECT(D203 &amp; 24)))</f>
        <v/>
      </c>
      <c r="F203" s="5" t="str">
        <f t="shared" si="8"/>
        <v/>
      </c>
      <c r="G203" s="5" t="str">
        <f>IF(F203="", "", IF(B203&lt;&gt;"", MATCH(B203, params!$B$2:$R$2, 0), G202))</f>
        <v/>
      </c>
      <c r="H203" s="5" t="str">
        <f t="shared" ca="1" si="7"/>
        <v/>
      </c>
      <c r="I203" s="2"/>
      <c r="J203" s="2"/>
      <c r="K203" s="2"/>
      <c r="L203" s="2"/>
      <c r="M203" s="2"/>
    </row>
    <row r="204" spans="1:13" ht="15.6" x14ac:dyDescent="0.3">
      <c r="A204" s="2"/>
      <c r="B204" s="5" t="str">
        <f>IF(COUNTIF(data_val!$E$3:$E$5, sample_log!$E204), sample_log!$C204 &amp; "_" &amp; sample_log!$D204, "")</f>
        <v/>
      </c>
      <c r="C204" s="5" t="str">
        <f>IF(B204="", IF(F204="", "", C203), IF(sample_log!E204="Triennial SASS", "tri_params", "params"))</f>
        <v/>
      </c>
      <c r="D204" s="5" t="str">
        <f>IF(B204="", "", C204 &amp; "!" &amp; CHAR(65+MATCH(B204, params!$B$2:$R$2, 0)))</f>
        <v/>
      </c>
      <c r="E204" s="5" t="str">
        <f ca="1">IF(B204="", "", COUNTA(INDIRECT(D204 &amp; 3):INDIRECT(D204 &amp; 24)))</f>
        <v/>
      </c>
      <c r="F204" s="5" t="str">
        <f t="shared" si="8"/>
        <v/>
      </c>
      <c r="G204" s="5" t="str">
        <f>IF(F204="", "", IF(B204&lt;&gt;"", MATCH(B204, params!$B$2:$R$2, 0), G203))</f>
        <v/>
      </c>
      <c r="H204" s="5" t="str">
        <f t="shared" ca="1" si="7"/>
        <v/>
      </c>
      <c r="I204" s="2"/>
      <c r="J204" s="2"/>
      <c r="K204" s="2"/>
      <c r="L204" s="2"/>
      <c r="M204" s="2"/>
    </row>
    <row r="205" spans="1:13" ht="15.6" x14ac:dyDescent="0.3">
      <c r="A205" s="2"/>
      <c r="B205" s="5" t="str">
        <f>IF(COUNTIF(data_val!$E$3:$E$5, sample_log!$E205), sample_log!$C205 &amp; "_" &amp; sample_log!$D205, "")</f>
        <v/>
      </c>
      <c r="C205" s="5" t="str">
        <f>IF(B205="", IF(F205="", "", C204), IF(sample_log!E205="Triennial SASS", "tri_params", "params"))</f>
        <v/>
      </c>
      <c r="D205" s="5" t="str">
        <f>IF(B205="", "", C205 &amp; "!" &amp; CHAR(65+MATCH(B205, params!$B$2:$R$2, 0)))</f>
        <v/>
      </c>
      <c r="E205" s="5" t="str">
        <f ca="1">IF(B205="", "", COUNTA(INDIRECT(D205 &amp; 3):INDIRECT(D205 &amp; 24)))</f>
        <v/>
      </c>
      <c r="F205" s="5" t="str">
        <f t="shared" si="8"/>
        <v/>
      </c>
      <c r="G205" s="5" t="str">
        <f>IF(F205="", "", IF(B205&lt;&gt;"", MATCH(B205, params!$B$2:$R$2, 0), G204))</f>
        <v/>
      </c>
      <c r="H205" s="5" t="str">
        <f t="shared" ca="1" si="7"/>
        <v/>
      </c>
      <c r="I205" s="2"/>
      <c r="J205" s="2"/>
      <c r="K205" s="2"/>
      <c r="L205" s="2"/>
      <c r="M205" s="2"/>
    </row>
    <row r="206" spans="1:13" ht="15.6" x14ac:dyDescent="0.3">
      <c r="A206" s="2"/>
      <c r="B206" s="5" t="str">
        <f>IF(COUNTIF(data_val!$E$3:$E$5, sample_log!$E206), sample_log!$C206 &amp; "_" &amp; sample_log!$D206, "")</f>
        <v/>
      </c>
      <c r="C206" s="5" t="str">
        <f>IF(B206="", IF(F206="", "", C205), IF(sample_log!E206="Triennial SASS", "tri_params", "params"))</f>
        <v/>
      </c>
      <c r="D206" s="5" t="str">
        <f>IF(B206="", "", C206 &amp; "!" &amp; CHAR(65+MATCH(B206, params!$B$2:$R$2, 0)))</f>
        <v/>
      </c>
      <c r="E206" s="5" t="str">
        <f ca="1">IF(B206="", "", COUNTA(INDIRECT(D206 &amp; 3):INDIRECT(D206 &amp; 24)))</f>
        <v/>
      </c>
      <c r="F206" s="5" t="str">
        <f t="shared" si="8"/>
        <v/>
      </c>
      <c r="G206" s="5" t="str">
        <f>IF(F206="", "", IF(B206&lt;&gt;"", MATCH(B206, params!$B$2:$R$2, 0), G205))</f>
        <v/>
      </c>
      <c r="H206" s="5" t="str">
        <f t="shared" ca="1" si="7"/>
        <v/>
      </c>
      <c r="I206" s="2"/>
      <c r="J206" s="2"/>
      <c r="K206" s="2"/>
      <c r="L206" s="2"/>
      <c r="M206" s="2"/>
    </row>
    <row r="207" spans="1:13" ht="15.6" x14ac:dyDescent="0.3">
      <c r="A207" s="2"/>
      <c r="B207" s="5" t="str">
        <f>IF(COUNTIF(data_val!$E$3:$E$5, sample_log!$E207), sample_log!$C207 &amp; "_" &amp; sample_log!$D207, "")</f>
        <v/>
      </c>
      <c r="C207" s="5" t="str">
        <f>IF(B207="", IF(F207="", "", C206), IF(sample_log!E207="Triennial SASS", "tri_params", "params"))</f>
        <v/>
      </c>
      <c r="D207" s="5" t="str">
        <f>IF(B207="", "", C207 &amp; "!" &amp; CHAR(65+MATCH(B207, params!$B$2:$R$2, 0)))</f>
        <v/>
      </c>
      <c r="E207" s="5" t="str">
        <f ca="1">IF(B207="", "", COUNTA(INDIRECT(D207 &amp; 3):INDIRECT(D207 &amp; 24)))</f>
        <v/>
      </c>
      <c r="F207" s="5" t="str">
        <f t="shared" si="8"/>
        <v/>
      </c>
      <c r="G207" s="5" t="str">
        <f>IF(F207="", "", IF(B207&lt;&gt;"", MATCH(B207, params!$B$2:$R$2, 0), G206))</f>
        <v/>
      </c>
      <c r="H207" s="5" t="str">
        <f t="shared" ca="1" si="7"/>
        <v/>
      </c>
      <c r="I207" s="2"/>
      <c r="J207" s="2"/>
      <c r="K207" s="2"/>
      <c r="L207" s="2"/>
      <c r="M207" s="2"/>
    </row>
    <row r="208" spans="1:13" ht="15.6" x14ac:dyDescent="0.3">
      <c r="A208" s="2"/>
      <c r="B208" s="5" t="str">
        <f>IF(COUNTIF(data_val!$E$3:$E$5, sample_log!$E208), sample_log!$C208 &amp; "_" &amp; sample_log!$D208, "")</f>
        <v/>
      </c>
      <c r="C208" s="5" t="str">
        <f>IF(B208="", IF(F208="", "", C207), IF(sample_log!E208="Triennial SASS", "tri_params", "params"))</f>
        <v/>
      </c>
      <c r="D208" s="5" t="str">
        <f>IF(B208="", "", C208 &amp; "!" &amp; CHAR(65+MATCH(B208, params!$B$2:$R$2, 0)))</f>
        <v/>
      </c>
      <c r="E208" s="5" t="str">
        <f ca="1">IF(B208="", "", COUNTA(INDIRECT(D208 &amp; 3):INDIRECT(D208 &amp; 24)))</f>
        <v/>
      </c>
      <c r="F208" s="5" t="str">
        <f t="shared" si="8"/>
        <v/>
      </c>
      <c r="G208" s="5" t="str">
        <f>IF(F208="", "", IF(B208&lt;&gt;"", MATCH(B208, params!$B$2:$R$2, 0), G207))</f>
        <v/>
      </c>
      <c r="H208" s="5" t="str">
        <f t="shared" ca="1" si="7"/>
        <v/>
      </c>
      <c r="I208" s="2"/>
      <c r="J208" s="2"/>
      <c r="K208" s="2"/>
      <c r="L208" s="2"/>
      <c r="M208" s="2"/>
    </row>
    <row r="209" spans="1:13" ht="15.6" x14ac:dyDescent="0.3">
      <c r="A209" s="2"/>
      <c r="B209" s="5" t="str">
        <f>IF(COUNTIF(data_val!$E$3:$E$5, sample_log!$E209), sample_log!$C209 &amp; "_" &amp; sample_log!$D209, "")</f>
        <v/>
      </c>
      <c r="C209" s="5" t="str">
        <f>IF(B209="", IF(F209="", "", C208), IF(sample_log!E209="Triennial SASS", "tri_params", "params"))</f>
        <v/>
      </c>
      <c r="D209" s="5" t="str">
        <f>IF(B209="", "", C209 &amp; "!" &amp; CHAR(65+MATCH(B209, params!$B$2:$R$2, 0)))</f>
        <v/>
      </c>
      <c r="E209" s="5" t="str">
        <f ca="1">IF(B209="", "", COUNTA(INDIRECT(D209 &amp; 3):INDIRECT(D209 &amp; 24)))</f>
        <v/>
      </c>
      <c r="F209" s="5" t="str">
        <f t="shared" si="8"/>
        <v/>
      </c>
      <c r="G209" s="5" t="str">
        <f>IF(F209="", "", IF(B209&lt;&gt;"", MATCH(B209, params!$B$2:$R$2, 0), G208))</f>
        <v/>
      </c>
      <c r="H209" s="5" t="str">
        <f t="shared" ca="1" si="7"/>
        <v/>
      </c>
      <c r="I209" s="2"/>
      <c r="J209" s="2"/>
      <c r="K209" s="2"/>
      <c r="L209" s="2"/>
      <c r="M209" s="2"/>
    </row>
    <row r="210" spans="1:13" ht="15.6" x14ac:dyDescent="0.3">
      <c r="A210" s="2"/>
      <c r="B210" s="5" t="str">
        <f>IF(COUNTIF(data_val!$E$3:$E$5, sample_log!$E210), sample_log!$C210 &amp; "_" &amp; sample_log!$D210, "")</f>
        <v/>
      </c>
      <c r="C210" s="5" t="str">
        <f>IF(B210="", IF(F210="", "", C209), IF(sample_log!E210="Triennial SASS", "tri_params", "params"))</f>
        <v/>
      </c>
      <c r="D210" s="5" t="str">
        <f>IF(B210="", "", C210 &amp; "!" &amp; CHAR(65+MATCH(B210, params!$B$2:$R$2, 0)))</f>
        <v/>
      </c>
      <c r="E210" s="5" t="str">
        <f ca="1">IF(B210="", "", COUNTA(INDIRECT(D210 &amp; 3):INDIRECT(D210 &amp; 24)))</f>
        <v/>
      </c>
      <c r="F210" s="5" t="str">
        <f t="shared" si="8"/>
        <v/>
      </c>
      <c r="G210" s="5" t="str">
        <f>IF(F210="", "", IF(B210&lt;&gt;"", MATCH(B210, params!$B$2:$R$2, 0), G209))</f>
        <v/>
      </c>
      <c r="H210" s="5" t="str">
        <f t="shared" ca="1" si="7"/>
        <v/>
      </c>
      <c r="I210" s="2"/>
      <c r="J210" s="2"/>
      <c r="K210" s="2"/>
      <c r="L210" s="2"/>
      <c r="M210" s="2"/>
    </row>
    <row r="211" spans="1:13" ht="15.6" x14ac:dyDescent="0.3">
      <c r="A211" s="2"/>
      <c r="B211" s="5" t="str">
        <f>IF(COUNTIF(data_val!$E$3:$E$5, sample_log!$E211), sample_log!$C211 &amp; "_" &amp; sample_log!$D211, "")</f>
        <v/>
      </c>
      <c r="C211" s="5" t="str">
        <f>IF(B211="", IF(F211="", "", C210), IF(sample_log!E211="Triennial SASS", "tri_params", "params"))</f>
        <v/>
      </c>
      <c r="D211" s="5" t="str">
        <f>IF(B211="", "", C211 &amp; "!" &amp; CHAR(65+MATCH(B211, params!$B$2:$R$2, 0)))</f>
        <v/>
      </c>
      <c r="E211" s="5" t="str">
        <f ca="1">IF(B211="", "", COUNTA(INDIRECT(D211 &amp; 3):INDIRECT(D211 &amp; 24)))</f>
        <v/>
      </c>
      <c r="F211" s="5" t="str">
        <f t="shared" si="8"/>
        <v/>
      </c>
      <c r="G211" s="5" t="str">
        <f>IF(F211="", "", IF(B211&lt;&gt;"", MATCH(B211, params!$B$2:$R$2, 0), G210))</f>
        <v/>
      </c>
      <c r="H211" s="5" t="str">
        <f t="shared" ca="1" si="7"/>
        <v/>
      </c>
      <c r="I211" s="2"/>
      <c r="J211" s="2"/>
      <c r="K211" s="2"/>
      <c r="L211" s="2"/>
      <c r="M211" s="2"/>
    </row>
    <row r="212" spans="1:13" ht="15.6" x14ac:dyDescent="0.3">
      <c r="A212" s="2"/>
      <c r="B212" s="5" t="str">
        <f>IF(COUNTIF(data_val!$E$3:$E$5, sample_log!$E212), sample_log!$C212 &amp; "_" &amp; sample_log!$D212, "")</f>
        <v/>
      </c>
      <c r="C212" s="5" t="str">
        <f>IF(B212="", IF(F212="", "", C211), IF(sample_log!E212="Triennial SASS", "tri_params", "params"))</f>
        <v/>
      </c>
      <c r="D212" s="5" t="str">
        <f>IF(B212="", "", C212 &amp; "!" &amp; CHAR(65+MATCH(B212, params!$B$2:$R$2, 0)))</f>
        <v/>
      </c>
      <c r="E212" s="5" t="str">
        <f ca="1">IF(B212="", "", COUNTA(INDIRECT(D212 &amp; 3):INDIRECT(D212 &amp; 24)))</f>
        <v/>
      </c>
      <c r="F212" s="5" t="str">
        <f t="shared" si="8"/>
        <v/>
      </c>
      <c r="G212" s="5" t="str">
        <f>IF(F212="", "", IF(B212&lt;&gt;"", MATCH(B212, params!$B$2:$R$2, 0), G211))</f>
        <v/>
      </c>
      <c r="H212" s="5" t="str">
        <f t="shared" ca="1" si="7"/>
        <v/>
      </c>
      <c r="I212" s="2"/>
      <c r="J212" s="2"/>
      <c r="K212" s="2"/>
      <c r="L212" s="2"/>
      <c r="M212" s="2"/>
    </row>
    <row r="213" spans="1:13" ht="15.6" x14ac:dyDescent="0.3">
      <c r="A213" s="2"/>
      <c r="B213" s="5" t="str">
        <f>IF(COUNTIF(data_val!$E$3:$E$5, sample_log!$E213), sample_log!$C213 &amp; "_" &amp; sample_log!$D213, "")</f>
        <v/>
      </c>
      <c r="C213" s="5" t="str">
        <f>IF(B213="", IF(F213="", "", C212), IF(sample_log!E213="Triennial SASS", "tri_params", "params"))</f>
        <v/>
      </c>
      <c r="D213" s="5" t="str">
        <f>IF(B213="", "", C213 &amp; "!" &amp; CHAR(65+MATCH(B213, params!$B$2:$R$2, 0)))</f>
        <v/>
      </c>
      <c r="E213" s="5" t="str">
        <f ca="1">IF(B213="", "", COUNTA(INDIRECT(D213 &amp; 3):INDIRECT(D213 &amp; 24)))</f>
        <v/>
      </c>
      <c r="F213" s="5" t="str">
        <f t="shared" si="8"/>
        <v/>
      </c>
      <c r="G213" s="5" t="str">
        <f>IF(F213="", "", IF(B213&lt;&gt;"", MATCH(B213, params!$B$2:$R$2, 0), G212))</f>
        <v/>
      </c>
      <c r="H213" s="5" t="str">
        <f t="shared" ca="1" si="7"/>
        <v/>
      </c>
      <c r="I213" s="2"/>
      <c r="J213" s="2"/>
      <c r="K213" s="2"/>
      <c r="L213" s="2"/>
      <c r="M213" s="2"/>
    </row>
    <row r="214" spans="1:13" ht="15.6" x14ac:dyDescent="0.3">
      <c r="A214" s="2"/>
      <c r="B214" s="5" t="str">
        <f>IF(COUNTIF(data_val!$E$3:$E$5, sample_log!$E214), sample_log!$C214 &amp; "_" &amp; sample_log!$D214, "")</f>
        <v/>
      </c>
      <c r="C214" s="5" t="str">
        <f>IF(B214="", IF(F214="", "", C213), IF(sample_log!E214="Triennial SASS", "tri_params", "params"))</f>
        <v/>
      </c>
      <c r="D214" s="5" t="str">
        <f>IF(B214="", "", C214 &amp; "!" &amp; CHAR(65+MATCH(B214, params!$B$2:$R$2, 0)))</f>
        <v/>
      </c>
      <c r="E214" s="5" t="str">
        <f ca="1">IF(B214="", "", COUNTA(INDIRECT(D214 &amp; 3):INDIRECT(D214 &amp; 24)))</f>
        <v/>
      </c>
      <c r="F214" s="5" t="str">
        <f t="shared" si="8"/>
        <v/>
      </c>
      <c r="G214" s="5" t="str">
        <f>IF(F214="", "", IF(B214&lt;&gt;"", MATCH(B214, params!$B$2:$R$2, 0), G213))</f>
        <v/>
      </c>
      <c r="H214" s="5" t="str">
        <f t="shared" ca="1" si="7"/>
        <v/>
      </c>
      <c r="I214" s="2"/>
      <c r="J214" s="2"/>
      <c r="K214" s="2"/>
      <c r="L214" s="2"/>
      <c r="M214" s="2"/>
    </row>
    <row r="215" spans="1:13" ht="15.6" x14ac:dyDescent="0.3">
      <c r="A215" s="2"/>
      <c r="B215" s="5" t="str">
        <f>IF(COUNTIF(data_val!$E$3:$E$5, sample_log!$E215), sample_log!$C215 &amp; "_" &amp; sample_log!$D215, "")</f>
        <v/>
      </c>
      <c r="C215" s="5" t="str">
        <f>IF(B215="", IF(F215="", "", C214), IF(sample_log!E215="Triennial SASS", "tri_params", "params"))</f>
        <v/>
      </c>
      <c r="D215" s="5" t="str">
        <f>IF(B215="", "", C215 &amp; "!" &amp; CHAR(65+MATCH(B215, params!$B$2:$R$2, 0)))</f>
        <v/>
      </c>
      <c r="E215" s="5" t="str">
        <f ca="1">IF(B215="", "", COUNTA(INDIRECT(D215 &amp; 3):INDIRECT(D215 &amp; 24)))</f>
        <v/>
      </c>
      <c r="F215" s="5" t="str">
        <f t="shared" si="8"/>
        <v/>
      </c>
      <c r="G215" s="5" t="str">
        <f>IF(F215="", "", IF(B215&lt;&gt;"", MATCH(B215, params!$B$2:$R$2, 0), G214))</f>
        <v/>
      </c>
      <c r="H215" s="5" t="str">
        <f t="shared" ca="1" si="7"/>
        <v/>
      </c>
      <c r="I215" s="2"/>
      <c r="J215" s="2"/>
      <c r="K215" s="2"/>
      <c r="L215" s="2"/>
      <c r="M215" s="2"/>
    </row>
    <row r="216" spans="1:13" ht="15.6" x14ac:dyDescent="0.3">
      <c r="A216" s="2"/>
      <c r="B216" s="5" t="str">
        <f>IF(COUNTIF(data_val!$E$3:$E$5, sample_log!$E216), sample_log!$C216 &amp; "_" &amp; sample_log!$D216, "")</f>
        <v/>
      </c>
      <c r="C216" s="5" t="str">
        <f>IF(B216="", IF(F216="", "", C215), IF(sample_log!E216="Triennial SASS", "tri_params", "params"))</f>
        <v/>
      </c>
      <c r="D216" s="5" t="str">
        <f>IF(B216="", "", C216 &amp; "!" &amp; CHAR(65+MATCH(B216, params!$B$2:$R$2, 0)))</f>
        <v/>
      </c>
      <c r="E216" s="5" t="str">
        <f ca="1">IF(B216="", "", COUNTA(INDIRECT(D216 &amp; 3):INDIRECT(D216 &amp; 24)))</f>
        <v/>
      </c>
      <c r="F216" s="5" t="str">
        <f t="shared" si="8"/>
        <v/>
      </c>
      <c r="G216" s="5" t="str">
        <f>IF(F216="", "", IF(B216&lt;&gt;"", MATCH(B216, params!$B$2:$R$2, 0), G215))</f>
        <v/>
      </c>
      <c r="H216" s="5" t="str">
        <f t="shared" ca="1" si="7"/>
        <v/>
      </c>
      <c r="I216" s="2"/>
      <c r="J216" s="2"/>
      <c r="K216" s="2"/>
      <c r="L216" s="2"/>
      <c r="M216" s="2"/>
    </row>
    <row r="217" spans="1:13" ht="15.6" x14ac:dyDescent="0.3">
      <c r="A217" s="2"/>
      <c r="B217" s="5" t="str">
        <f>IF(COUNTIF(data_val!$E$3:$E$5, sample_log!$E217), sample_log!$C217 &amp; "_" &amp; sample_log!$D217, "")</f>
        <v/>
      </c>
      <c r="C217" s="5" t="str">
        <f>IF(B217="", IF(F217="", "", C216), IF(sample_log!E217="Triennial SASS", "tri_params", "params"))</f>
        <v/>
      </c>
      <c r="D217" s="5" t="str">
        <f>IF(B217="", "", C217 &amp; "!" &amp; CHAR(65+MATCH(B217, params!$B$2:$R$2, 0)))</f>
        <v/>
      </c>
      <c r="E217" s="5" t="str">
        <f ca="1">IF(B217="", "", COUNTA(INDIRECT(D217 &amp; 3):INDIRECT(D217 &amp; 24)))</f>
        <v/>
      </c>
      <c r="F217" s="5" t="str">
        <f t="shared" si="8"/>
        <v/>
      </c>
      <c r="G217" s="5" t="str">
        <f>IF(F217="", "", IF(B217&lt;&gt;"", MATCH(B217, params!$B$2:$R$2, 0), G216))</f>
        <v/>
      </c>
      <c r="H217" s="5" t="str">
        <f t="shared" ref="H217:H280" ca="1" si="9">IF($F217="", "", INDEX(INDIRECT("'" &amp; C217 &amp; "'!$B$3:$R$24"), $F217, $G217))</f>
        <v/>
      </c>
      <c r="I217" s="2"/>
      <c r="J217" s="2"/>
      <c r="K217" s="2"/>
      <c r="L217" s="2"/>
      <c r="M217" s="2"/>
    </row>
    <row r="218" spans="1:13" ht="15.6" x14ac:dyDescent="0.3">
      <c r="A218" s="2"/>
      <c r="B218" s="5" t="str">
        <f>IF(COUNTIF(data_val!$E$3:$E$5, sample_log!$E218), sample_log!$C218 &amp; "_" &amp; sample_log!$D218, "")</f>
        <v/>
      </c>
      <c r="C218" s="5" t="str">
        <f>IF(B218="", IF(F218="", "", C217), IF(sample_log!E218="Triennial SASS", "tri_params", "params"))</f>
        <v/>
      </c>
      <c r="D218" s="5" t="str">
        <f>IF(B218="", "", C218 &amp; "!" &amp; CHAR(65+MATCH(B218, params!$B$2:$R$2, 0)))</f>
        <v/>
      </c>
      <c r="E218" s="5" t="str">
        <f ca="1">IF(B218="", "", COUNTA(INDIRECT(D218 &amp; 3):INDIRECT(D218 &amp; 24)))</f>
        <v/>
      </c>
      <c r="F218" s="5" t="str">
        <f t="shared" si="8"/>
        <v/>
      </c>
      <c r="G218" s="5" t="str">
        <f>IF(F218="", "", IF(B218&lt;&gt;"", MATCH(B218, params!$B$2:$R$2, 0), G217))</f>
        <v/>
      </c>
      <c r="H218" s="5" t="str">
        <f t="shared" ca="1" si="9"/>
        <v/>
      </c>
      <c r="I218" s="2"/>
      <c r="J218" s="2"/>
      <c r="K218" s="2"/>
      <c r="L218" s="2"/>
      <c r="M218" s="2"/>
    </row>
    <row r="219" spans="1:13" ht="15.6" x14ac:dyDescent="0.3">
      <c r="A219" s="2"/>
      <c r="B219" s="5" t="str">
        <f>IF(COUNTIF(data_val!$E$3:$E$5, sample_log!$E219), sample_log!$C219 &amp; "_" &amp; sample_log!$D219, "")</f>
        <v/>
      </c>
      <c r="C219" s="5" t="str">
        <f>IF(B219="", IF(F219="", "", C218), IF(sample_log!E219="Triennial SASS", "tri_params", "params"))</f>
        <v/>
      </c>
      <c r="D219" s="5" t="str">
        <f>IF(B219="", "", C219 &amp; "!" &amp; CHAR(65+MATCH(B219, params!$B$2:$R$2, 0)))</f>
        <v/>
      </c>
      <c r="E219" s="5" t="str">
        <f ca="1">IF(B219="", "", COUNTA(INDIRECT(D219 &amp; 3):INDIRECT(D219 &amp; 24)))</f>
        <v/>
      </c>
      <c r="F219" s="5" t="str">
        <f t="shared" si="8"/>
        <v/>
      </c>
      <c r="G219" s="5" t="str">
        <f>IF(F219="", "", IF(B219&lt;&gt;"", MATCH(B219, params!$B$2:$R$2, 0), G218))</f>
        <v/>
      </c>
      <c r="H219" s="5" t="str">
        <f t="shared" ca="1" si="9"/>
        <v/>
      </c>
      <c r="I219" s="2"/>
      <c r="J219" s="2"/>
      <c r="K219" s="2"/>
      <c r="L219" s="2"/>
      <c r="M219" s="2"/>
    </row>
    <row r="220" spans="1:13" ht="15.6" x14ac:dyDescent="0.3">
      <c r="A220" s="2"/>
      <c r="B220" s="5" t="str">
        <f>IF(COUNTIF(data_val!$E$3:$E$5, sample_log!$E220), sample_log!$C220 &amp; "_" &amp; sample_log!$D220, "")</f>
        <v/>
      </c>
      <c r="C220" s="5" t="str">
        <f>IF(B220="", IF(F220="", "", C219), IF(sample_log!E220="Triennial SASS", "tri_params", "params"))</f>
        <v/>
      </c>
      <c r="D220" s="5" t="str">
        <f>IF(B220="", "", C220 &amp; "!" &amp; CHAR(65+MATCH(B220, params!$B$2:$R$2, 0)))</f>
        <v/>
      </c>
      <c r="E220" s="5" t="str">
        <f ca="1">IF(B220="", "", COUNTA(INDIRECT(D220 &amp; 3):INDIRECT(D220 &amp; 24)))</f>
        <v/>
      </c>
      <c r="F220" s="5" t="str">
        <f t="shared" si="8"/>
        <v/>
      </c>
      <c r="G220" s="5" t="str">
        <f>IF(F220="", "", IF(B220&lt;&gt;"", MATCH(B220, params!$B$2:$R$2, 0), G219))</f>
        <v/>
      </c>
      <c r="H220" s="5" t="str">
        <f t="shared" ca="1" si="9"/>
        <v/>
      </c>
      <c r="I220" s="2"/>
      <c r="J220" s="2"/>
      <c r="K220" s="2"/>
      <c r="L220" s="2"/>
      <c r="M220" s="2"/>
    </row>
    <row r="221" spans="1:13" ht="15.6" x14ac:dyDescent="0.3">
      <c r="A221" s="2"/>
      <c r="B221" s="5" t="str">
        <f>IF(COUNTIF(data_val!$E$3:$E$5, sample_log!$E221), sample_log!$C221 &amp; "_" &amp; sample_log!$D221, "")</f>
        <v/>
      </c>
      <c r="C221" s="5" t="str">
        <f>IF(B221="", IF(F221="", "", C220), IF(sample_log!E221="Triennial SASS", "tri_params", "params"))</f>
        <v/>
      </c>
      <c r="D221" s="5" t="str">
        <f>IF(B221="", "", C221 &amp; "!" &amp; CHAR(65+MATCH(B221, params!$B$2:$R$2, 0)))</f>
        <v/>
      </c>
      <c r="E221" s="5" t="str">
        <f ca="1">IF(B221="", "", COUNTA(INDIRECT(D221 &amp; 3):INDIRECT(D221 &amp; 24)))</f>
        <v/>
      </c>
      <c r="F221" s="5" t="str">
        <f t="shared" si="8"/>
        <v/>
      </c>
      <c r="G221" s="5" t="str">
        <f>IF(F221="", "", IF(B221&lt;&gt;"", MATCH(B221, params!$B$2:$R$2, 0), G220))</f>
        <v/>
      </c>
      <c r="H221" s="5" t="str">
        <f t="shared" ca="1" si="9"/>
        <v/>
      </c>
      <c r="I221" s="2"/>
      <c r="J221" s="2"/>
      <c r="K221" s="2"/>
      <c r="L221" s="2"/>
      <c r="M221" s="2"/>
    </row>
    <row r="222" spans="1:13" ht="15.6" x14ac:dyDescent="0.3">
      <c r="A222" s="2"/>
      <c r="B222" s="5" t="str">
        <f>IF(COUNTIF(data_val!$E$3:$E$5, sample_log!$E222), sample_log!$C222 &amp; "_" &amp; sample_log!$D222, "")</f>
        <v/>
      </c>
      <c r="C222" s="5" t="str">
        <f>IF(B222="", IF(F222="", "", C221), IF(sample_log!E222="Triennial SASS", "tri_params", "params"))</f>
        <v/>
      </c>
      <c r="D222" s="5" t="str">
        <f>IF(B222="", "", C222 &amp; "!" &amp; CHAR(65+MATCH(B222, params!$B$2:$R$2, 0)))</f>
        <v/>
      </c>
      <c r="E222" s="5" t="str">
        <f ca="1">IF(B222="", "", COUNTA(INDIRECT(D222 &amp; 3):INDIRECT(D222 &amp; 24)))</f>
        <v/>
      </c>
      <c r="F222" s="5" t="str">
        <f t="shared" si="8"/>
        <v/>
      </c>
      <c r="G222" s="5" t="str">
        <f>IF(F222="", "", IF(B222&lt;&gt;"", MATCH(B222, params!$B$2:$R$2, 0), G221))</f>
        <v/>
      </c>
      <c r="H222" s="5" t="str">
        <f t="shared" ca="1" si="9"/>
        <v/>
      </c>
      <c r="I222" s="2"/>
      <c r="J222" s="2"/>
      <c r="K222" s="2"/>
      <c r="L222" s="2"/>
      <c r="M222" s="2"/>
    </row>
    <row r="223" spans="1:13" ht="15.6" x14ac:dyDescent="0.3">
      <c r="A223" s="2"/>
      <c r="B223" s="5" t="str">
        <f>IF(COUNTIF(data_val!$E$3:$E$5, sample_log!$E223), sample_log!$C223 &amp; "_" &amp; sample_log!$D223, "")</f>
        <v/>
      </c>
      <c r="C223" s="5" t="str">
        <f>IF(B223="", IF(F223="", "", C222), IF(sample_log!E223="Triennial SASS", "tri_params", "params"))</f>
        <v/>
      </c>
      <c r="D223" s="5" t="str">
        <f>IF(B223="", "", C223 &amp; "!" &amp; CHAR(65+MATCH(B223, params!$B$2:$R$2, 0)))</f>
        <v/>
      </c>
      <c r="E223" s="5" t="str">
        <f ca="1">IF(B223="", "", COUNTA(INDIRECT(D223 &amp; 3):INDIRECT(D223 &amp; 24)))</f>
        <v/>
      </c>
      <c r="F223" s="5" t="str">
        <f t="shared" si="8"/>
        <v/>
      </c>
      <c r="G223" s="5" t="str">
        <f>IF(F223="", "", IF(B223&lt;&gt;"", MATCH(B223, params!$B$2:$R$2, 0), G222))</f>
        <v/>
      </c>
      <c r="H223" s="5" t="str">
        <f t="shared" ca="1" si="9"/>
        <v/>
      </c>
      <c r="I223" s="2"/>
      <c r="J223" s="2"/>
      <c r="K223" s="2"/>
      <c r="L223" s="2"/>
      <c r="M223" s="2"/>
    </row>
    <row r="224" spans="1:13" ht="15.6" x14ac:dyDescent="0.3">
      <c r="A224" s="2"/>
      <c r="B224" s="5" t="str">
        <f>IF(COUNTIF(data_val!$E$3:$E$5, sample_log!$E224), sample_log!$C224 &amp; "_" &amp; sample_log!$D224, "")</f>
        <v/>
      </c>
      <c r="C224" s="5" t="str">
        <f>IF(B224="", IF(F224="", "", C223), IF(sample_log!E224="Triennial SASS", "tri_params", "params"))</f>
        <v/>
      </c>
      <c r="D224" s="5" t="str">
        <f>IF(B224="", "", C224 &amp; "!" &amp; CHAR(65+MATCH(B224, params!$B$2:$R$2, 0)))</f>
        <v/>
      </c>
      <c r="E224" s="5" t="str">
        <f ca="1">IF(B224="", "", COUNTA(INDIRECT(D224 &amp; 3):INDIRECT(D224 &amp; 24)))</f>
        <v/>
      </c>
      <c r="F224" s="5" t="str">
        <f t="shared" si="8"/>
        <v/>
      </c>
      <c r="G224" s="5" t="str">
        <f>IF(F224="", "", IF(B224&lt;&gt;"", MATCH(B224, params!$B$2:$R$2, 0), G223))</f>
        <v/>
      </c>
      <c r="H224" s="5" t="str">
        <f t="shared" ca="1" si="9"/>
        <v/>
      </c>
      <c r="I224" s="2"/>
      <c r="J224" s="2"/>
      <c r="K224" s="2"/>
      <c r="L224" s="2"/>
      <c r="M224" s="2"/>
    </row>
    <row r="225" spans="1:13" ht="15.6" x14ac:dyDescent="0.3">
      <c r="A225" s="2"/>
      <c r="B225" s="5" t="str">
        <f>IF(COUNTIF(data_val!$E$3:$E$5, sample_log!$E225), sample_log!$C225 &amp; "_" &amp; sample_log!$D225, "")</f>
        <v/>
      </c>
      <c r="C225" s="5" t="str">
        <f>IF(B225="", IF(F225="", "", C224), IF(sample_log!E225="Triennial SASS", "tri_params", "params"))</f>
        <v/>
      </c>
      <c r="D225" s="5" t="str">
        <f>IF(B225="", "", C225 &amp; "!" &amp; CHAR(65+MATCH(B225, params!$B$2:$R$2, 0)))</f>
        <v/>
      </c>
      <c r="E225" s="5" t="str">
        <f ca="1">IF(B225="", "", COUNTA(INDIRECT(D225 &amp; 3):INDIRECT(D225 &amp; 24)))</f>
        <v/>
      </c>
      <c r="F225" s="5" t="str">
        <f t="shared" si="8"/>
        <v/>
      </c>
      <c r="G225" s="5" t="str">
        <f>IF(F225="", "", IF(B225&lt;&gt;"", MATCH(B225, params!$B$2:$R$2, 0), G224))</f>
        <v/>
      </c>
      <c r="H225" s="5" t="str">
        <f t="shared" ca="1" si="9"/>
        <v/>
      </c>
      <c r="I225" s="2"/>
      <c r="J225" s="2"/>
      <c r="K225" s="2"/>
      <c r="L225" s="2"/>
      <c r="M225" s="2"/>
    </row>
    <row r="226" spans="1:13" ht="15.6" x14ac:dyDescent="0.3">
      <c r="A226" s="2"/>
      <c r="B226" s="5" t="str">
        <f>IF(COUNTIF(data_val!$E$3:$E$5, sample_log!$E226), sample_log!$C226 &amp; "_" &amp; sample_log!$D226, "")</f>
        <v/>
      </c>
      <c r="C226" s="5" t="str">
        <f>IF(B226="", IF(F226="", "", C225), IF(sample_log!E226="Triennial SASS", "tri_params", "params"))</f>
        <v/>
      </c>
      <c r="D226" s="5" t="str">
        <f>IF(B226="", "", C226 &amp; "!" &amp; CHAR(65+MATCH(B226, params!$B$2:$R$2, 0)))</f>
        <v/>
      </c>
      <c r="E226" s="5" t="str">
        <f ca="1">IF(B226="", "", COUNTA(INDIRECT(D226 &amp; 3):INDIRECT(D226 &amp; 24)))</f>
        <v/>
      </c>
      <c r="F226" s="5" t="str">
        <f t="shared" si="8"/>
        <v/>
      </c>
      <c r="G226" s="5" t="str">
        <f>IF(F226="", "", IF(B226&lt;&gt;"", MATCH(B226, params!$B$2:$R$2, 0), G225))</f>
        <v/>
      </c>
      <c r="H226" s="5" t="str">
        <f t="shared" ca="1" si="9"/>
        <v/>
      </c>
      <c r="I226" s="2"/>
      <c r="J226" s="2"/>
      <c r="K226" s="2"/>
      <c r="L226" s="2"/>
      <c r="M226" s="2"/>
    </row>
    <row r="227" spans="1:13" ht="15.6" x14ac:dyDescent="0.3">
      <c r="A227" s="2"/>
      <c r="B227" s="5" t="str">
        <f>IF(COUNTIF(data_val!$E$3:$E$5, sample_log!$E227), sample_log!$C227 &amp; "_" &amp; sample_log!$D227, "")</f>
        <v/>
      </c>
      <c r="C227" s="5" t="str">
        <f>IF(B227="", IF(F227="", "", C226), IF(sample_log!E227="Triennial SASS", "tri_params", "params"))</f>
        <v/>
      </c>
      <c r="D227" s="5" t="str">
        <f>IF(B227="", "", C227 &amp; "!" &amp; CHAR(65+MATCH(B227, params!$B$2:$R$2, 0)))</f>
        <v/>
      </c>
      <c r="E227" s="5" t="str">
        <f ca="1">IF(B227="", "", COUNTA(INDIRECT(D227 &amp; 3):INDIRECT(D227 &amp; 24)))</f>
        <v/>
      </c>
      <c r="F227" s="5" t="str">
        <f t="shared" si="8"/>
        <v/>
      </c>
      <c r="G227" s="5" t="str">
        <f>IF(F227="", "", IF(B227&lt;&gt;"", MATCH(B227, params!$B$2:$R$2, 0), G226))</f>
        <v/>
      </c>
      <c r="H227" s="5" t="str">
        <f t="shared" ca="1" si="9"/>
        <v/>
      </c>
      <c r="I227" s="2"/>
      <c r="J227" s="2"/>
      <c r="K227" s="2"/>
      <c r="L227" s="2"/>
      <c r="M227" s="2"/>
    </row>
    <row r="228" spans="1:13" ht="15.6" x14ac:dyDescent="0.3">
      <c r="A228" s="2"/>
      <c r="B228" s="5" t="str">
        <f>IF(COUNTIF(data_val!$E$3:$E$5, sample_log!$E228), sample_log!$C228 &amp; "_" &amp; sample_log!$D228, "")</f>
        <v/>
      </c>
      <c r="C228" s="5" t="str">
        <f>IF(B228="", IF(F228="", "", C227), IF(sample_log!E228="Triennial SASS", "tri_params", "params"))</f>
        <v/>
      </c>
      <c r="D228" s="5" t="str">
        <f>IF(B228="", "", C228 &amp; "!" &amp; CHAR(65+MATCH(B228, params!$B$2:$R$2, 0)))</f>
        <v/>
      </c>
      <c r="E228" s="5" t="str">
        <f ca="1">IF(B228="", "", COUNTA(INDIRECT(D228 &amp; 3):INDIRECT(D228 &amp; 24)))</f>
        <v/>
      </c>
      <c r="F228" s="5" t="str">
        <f t="shared" si="8"/>
        <v/>
      </c>
      <c r="G228" s="5" t="str">
        <f>IF(F228="", "", IF(B228&lt;&gt;"", MATCH(B228, params!$B$2:$R$2, 0), G227))</f>
        <v/>
      </c>
      <c r="H228" s="5" t="str">
        <f t="shared" ca="1" si="9"/>
        <v/>
      </c>
      <c r="I228" s="2"/>
      <c r="J228" s="2"/>
      <c r="K228" s="2"/>
      <c r="L228" s="2"/>
      <c r="M228" s="2"/>
    </row>
    <row r="229" spans="1:13" ht="15.6" x14ac:dyDescent="0.3">
      <c r="A229" s="2"/>
      <c r="B229" s="5" t="str">
        <f>IF(COUNTIF(data_val!$E$3:$E$5, sample_log!$E229), sample_log!$C229 &amp; "_" &amp; sample_log!$D229, "")</f>
        <v/>
      </c>
      <c r="C229" s="5" t="str">
        <f>IF(B229="", IF(F229="", "", C228), IF(sample_log!E229="Triennial SASS", "tri_params", "params"))</f>
        <v/>
      </c>
      <c r="D229" s="5" t="str">
        <f>IF(B229="", "", C229 &amp; "!" &amp; CHAR(65+MATCH(B229, params!$B$2:$R$2, 0)))</f>
        <v/>
      </c>
      <c r="E229" s="5" t="str">
        <f ca="1">IF(B229="", "", COUNTA(INDIRECT(D229 &amp; 3):INDIRECT(D229 &amp; 24)))</f>
        <v/>
      </c>
      <c r="F229" s="5" t="str">
        <f t="shared" si="8"/>
        <v/>
      </c>
      <c r="G229" s="5" t="str">
        <f>IF(F229="", "", IF(B229&lt;&gt;"", MATCH(B229, params!$B$2:$R$2, 0), G228))</f>
        <v/>
      </c>
      <c r="H229" s="5" t="str">
        <f t="shared" ca="1" si="9"/>
        <v/>
      </c>
      <c r="I229" s="2"/>
      <c r="J229" s="2"/>
      <c r="K229" s="2"/>
      <c r="L229" s="2"/>
      <c r="M229" s="2"/>
    </row>
    <row r="230" spans="1:13" ht="15.6" x14ac:dyDescent="0.3">
      <c r="A230" s="2"/>
      <c r="B230" s="5" t="str">
        <f>IF(COUNTIF(data_val!$E$3:$E$5, sample_log!$E230), sample_log!$C230 &amp; "_" &amp; sample_log!$D230, "")</f>
        <v/>
      </c>
      <c r="C230" s="5" t="str">
        <f>IF(B230="", IF(F230="", "", C229), IF(sample_log!E230="Triennial SASS", "tri_params", "params"))</f>
        <v/>
      </c>
      <c r="D230" s="5" t="str">
        <f>IF(B230="", "", C230 &amp; "!" &amp; CHAR(65+MATCH(B230, params!$B$2:$R$2, 0)))</f>
        <v/>
      </c>
      <c r="E230" s="5" t="str">
        <f ca="1">IF(B230="", "", COUNTA(INDIRECT(D230 &amp; 3):INDIRECT(D230 &amp; 24)))</f>
        <v/>
      </c>
      <c r="F230" s="5" t="str">
        <f t="shared" si="8"/>
        <v/>
      </c>
      <c r="G230" s="5" t="str">
        <f>IF(F230="", "", IF(B230&lt;&gt;"", MATCH(B230, params!$B$2:$R$2, 0), G229))</f>
        <v/>
      </c>
      <c r="H230" s="5" t="str">
        <f t="shared" ca="1" si="9"/>
        <v/>
      </c>
      <c r="I230" s="2"/>
      <c r="J230" s="2"/>
      <c r="K230" s="2"/>
      <c r="L230" s="2"/>
      <c r="M230" s="2"/>
    </row>
    <row r="231" spans="1:13" ht="15.6" x14ac:dyDescent="0.3">
      <c r="A231" s="2"/>
      <c r="B231" s="5" t="str">
        <f>IF(COUNTIF(data_val!$E$3:$E$5, sample_log!$E231), sample_log!$C231 &amp; "_" &amp; sample_log!$D231, "")</f>
        <v/>
      </c>
      <c r="C231" s="5" t="str">
        <f>IF(B231="", IF(F231="", "", C230), IF(sample_log!E231="Triennial SASS", "tri_params", "params"))</f>
        <v/>
      </c>
      <c r="D231" s="5" t="str">
        <f>IF(B231="", "", C231 &amp; "!" &amp; CHAR(65+MATCH(B231, params!$B$2:$R$2, 0)))</f>
        <v/>
      </c>
      <c r="E231" s="5" t="str">
        <f ca="1">IF(B231="", "", COUNTA(INDIRECT(D231 &amp; 3):INDIRECT(D231 &amp; 24)))</f>
        <v/>
      </c>
      <c r="F231" s="5" t="str">
        <f t="shared" si="8"/>
        <v/>
      </c>
      <c r="G231" s="5" t="str">
        <f>IF(F231="", "", IF(B231&lt;&gt;"", MATCH(B231, params!$B$2:$R$2, 0), G230))</f>
        <v/>
      </c>
      <c r="H231" s="5" t="str">
        <f t="shared" ca="1" si="9"/>
        <v/>
      </c>
      <c r="I231" s="2"/>
      <c r="J231" s="2"/>
      <c r="K231" s="2"/>
      <c r="L231" s="2"/>
      <c r="M231" s="2"/>
    </row>
    <row r="232" spans="1:13" ht="15.6" x14ac:dyDescent="0.3">
      <c r="A232" s="2"/>
      <c r="B232" s="5" t="str">
        <f>IF(COUNTIF(data_val!$E$3:$E$5, sample_log!$E232), sample_log!$C232 &amp; "_" &amp; sample_log!$D232, "")</f>
        <v/>
      </c>
      <c r="C232" s="5" t="str">
        <f>IF(B232="", IF(F232="", "", C231), IF(sample_log!E232="Triennial SASS", "tri_params", "params"))</f>
        <v/>
      </c>
      <c r="D232" s="5" t="str">
        <f>IF(B232="", "", C232 &amp; "!" &amp; CHAR(65+MATCH(B232, params!$B$2:$R$2, 0)))</f>
        <v/>
      </c>
      <c r="E232" s="5" t="str">
        <f ca="1">IF(B232="", "", COUNTA(INDIRECT(D232 &amp; 3):INDIRECT(D232 &amp; 24)))</f>
        <v/>
      </c>
      <c r="F232" s="5" t="str">
        <f t="shared" si="8"/>
        <v/>
      </c>
      <c r="G232" s="5" t="str">
        <f>IF(F232="", "", IF(B232&lt;&gt;"", MATCH(B232, params!$B$2:$R$2, 0), G231))</f>
        <v/>
      </c>
      <c r="H232" s="5" t="str">
        <f t="shared" ca="1" si="9"/>
        <v/>
      </c>
      <c r="I232" s="2"/>
      <c r="J232" s="2"/>
      <c r="K232" s="2"/>
      <c r="L232" s="2"/>
      <c r="M232" s="2"/>
    </row>
    <row r="233" spans="1:13" ht="15.6" x14ac:dyDescent="0.3">
      <c r="A233" s="2"/>
      <c r="B233" s="5" t="str">
        <f>IF(COUNTIF(data_val!$E$3:$E$5, sample_log!$E233), sample_log!$C233 &amp; "_" &amp; sample_log!$D233, "")</f>
        <v/>
      </c>
      <c r="C233" s="5" t="str">
        <f>IF(B233="", IF(F233="", "", C232), IF(sample_log!E233="Triennial SASS", "tri_params", "params"))</f>
        <v/>
      </c>
      <c r="D233" s="5" t="str">
        <f>IF(B233="", "", C233 &amp; "!" &amp; CHAR(65+MATCH(B233, params!$B$2:$R$2, 0)))</f>
        <v/>
      </c>
      <c r="E233" s="5" t="str">
        <f ca="1">IF(B233="", "", COUNTA(INDIRECT(D233 &amp; 3):INDIRECT(D233 &amp; 24)))</f>
        <v/>
      </c>
      <c r="F233" s="5" t="str">
        <f t="shared" si="8"/>
        <v/>
      </c>
      <c r="G233" s="5" t="str">
        <f>IF(F233="", "", IF(B233&lt;&gt;"", MATCH(B233, params!$B$2:$R$2, 0), G232))</f>
        <v/>
      </c>
      <c r="H233" s="5" t="str">
        <f t="shared" ca="1" si="9"/>
        <v/>
      </c>
      <c r="I233" s="2"/>
      <c r="J233" s="2"/>
      <c r="K233" s="2"/>
      <c r="L233" s="2"/>
      <c r="M233" s="2"/>
    </row>
    <row r="234" spans="1:13" ht="15.6" x14ac:dyDescent="0.3">
      <c r="A234" s="2"/>
      <c r="B234" s="5" t="str">
        <f>IF(COUNTIF(data_val!$E$3:$E$5, sample_log!$E234), sample_log!$C234 &amp; "_" &amp; sample_log!$D234, "")</f>
        <v/>
      </c>
      <c r="C234" s="5" t="str">
        <f>IF(B234="", IF(F234="", "", C233), IF(sample_log!E234="Triennial SASS", "tri_params", "params"))</f>
        <v/>
      </c>
      <c r="D234" s="5" t="str">
        <f>IF(B234="", "", C234 &amp; "!" &amp; CHAR(65+MATCH(B234, params!$B$2:$R$2, 0)))</f>
        <v/>
      </c>
      <c r="E234" s="5" t="str">
        <f ca="1">IF(B234="", "", COUNTA(INDIRECT(D234 &amp; 3):INDIRECT(D234 &amp; 24)))</f>
        <v/>
      </c>
      <c r="F234" s="5" t="str">
        <f t="shared" si="8"/>
        <v/>
      </c>
      <c r="G234" s="5" t="str">
        <f>IF(F234="", "", IF(B234&lt;&gt;"", MATCH(B234, params!$B$2:$R$2, 0), G233))</f>
        <v/>
      </c>
      <c r="H234" s="5" t="str">
        <f t="shared" ca="1" si="9"/>
        <v/>
      </c>
      <c r="I234" s="2"/>
      <c r="J234" s="2"/>
      <c r="K234" s="2"/>
      <c r="L234" s="2"/>
      <c r="M234" s="2"/>
    </row>
    <row r="235" spans="1:13" ht="15.6" x14ac:dyDescent="0.3">
      <c r="A235" s="2"/>
      <c r="B235" s="5" t="str">
        <f>IF(COUNTIF(data_val!$E$3:$E$5, sample_log!$E235), sample_log!$C235 &amp; "_" &amp; sample_log!$D235, "")</f>
        <v/>
      </c>
      <c r="C235" s="5" t="str">
        <f>IF(B235="", IF(F235="", "", C234), IF(sample_log!E235="Triennial SASS", "tri_params", "params"))</f>
        <v/>
      </c>
      <c r="D235" s="5" t="str">
        <f>IF(B235="", "", C235 &amp; "!" &amp; CHAR(65+MATCH(B235, params!$B$2:$R$2, 0)))</f>
        <v/>
      </c>
      <c r="E235" s="5" t="str">
        <f ca="1">IF(B235="", "", COUNTA(INDIRECT(D235 &amp; 3):INDIRECT(D235 &amp; 24)))</f>
        <v/>
      </c>
      <c r="F235" s="5" t="str">
        <f t="shared" si="8"/>
        <v/>
      </c>
      <c r="G235" s="5" t="str">
        <f>IF(F235="", "", IF(B235&lt;&gt;"", MATCH(B235, params!$B$2:$R$2, 0), G234))</f>
        <v/>
      </c>
      <c r="H235" s="5" t="str">
        <f t="shared" ca="1" si="9"/>
        <v/>
      </c>
      <c r="I235" s="2"/>
      <c r="J235" s="2"/>
      <c r="K235" s="2"/>
      <c r="L235" s="2"/>
      <c r="M235" s="2"/>
    </row>
    <row r="236" spans="1:13" ht="15.6" x14ac:dyDescent="0.3">
      <c r="A236" s="2"/>
      <c r="B236" s="5" t="str">
        <f>IF(COUNTIF(data_val!$E$3:$E$5, sample_log!$E236), sample_log!$C236 &amp; "_" &amp; sample_log!$D236, "")</f>
        <v/>
      </c>
      <c r="C236" s="5" t="str">
        <f>IF(B236="", IF(F236="", "", C235), IF(sample_log!E236="Triennial SASS", "tri_params", "params"))</f>
        <v/>
      </c>
      <c r="D236" s="5" t="str">
        <f>IF(B236="", "", C236 &amp; "!" &amp; CHAR(65+MATCH(B236, params!$B$2:$R$2, 0)))</f>
        <v/>
      </c>
      <c r="E236" s="5" t="str">
        <f ca="1">IF(B236="", "", COUNTA(INDIRECT(D236 &amp; 3):INDIRECT(D236 &amp; 24)))</f>
        <v/>
      </c>
      <c r="F236" s="5" t="str">
        <f t="shared" si="8"/>
        <v/>
      </c>
      <c r="G236" s="5" t="str">
        <f>IF(F236="", "", IF(B236&lt;&gt;"", MATCH(B236, params!$B$2:$R$2, 0), G235))</f>
        <v/>
      </c>
      <c r="H236" s="5" t="str">
        <f t="shared" ca="1" si="9"/>
        <v/>
      </c>
      <c r="I236" s="2"/>
      <c r="J236" s="2"/>
      <c r="K236" s="2"/>
      <c r="L236" s="2"/>
      <c r="M236" s="2"/>
    </row>
    <row r="237" spans="1:13" ht="15.6" x14ac:dyDescent="0.3">
      <c r="A237" s="2"/>
      <c r="B237" s="5" t="str">
        <f>IF(COUNTIF(data_val!$E$3:$E$5, sample_log!$E237), sample_log!$C237 &amp; "_" &amp; sample_log!$D237, "")</f>
        <v/>
      </c>
      <c r="C237" s="5" t="str">
        <f>IF(B237="", IF(F237="", "", C236), IF(sample_log!E237="Triennial SASS", "tri_params", "params"))</f>
        <v/>
      </c>
      <c r="D237" s="5" t="str">
        <f>IF(B237="", "", C237 &amp; "!" &amp; CHAR(65+MATCH(B237, params!$B$2:$R$2, 0)))</f>
        <v/>
      </c>
      <c r="E237" s="5" t="str">
        <f ca="1">IF(B237="", "", COUNTA(INDIRECT(D237 &amp; 3):INDIRECT(D237 &amp; 24)))</f>
        <v/>
      </c>
      <c r="F237" s="5" t="str">
        <f t="shared" si="8"/>
        <v/>
      </c>
      <c r="G237" s="5" t="str">
        <f>IF(F237="", "", IF(B237&lt;&gt;"", MATCH(B237, params!$B$2:$R$2, 0), G236))</f>
        <v/>
      </c>
      <c r="H237" s="5" t="str">
        <f t="shared" ca="1" si="9"/>
        <v/>
      </c>
      <c r="I237" s="2"/>
      <c r="J237" s="2"/>
      <c r="K237" s="2"/>
      <c r="L237" s="2"/>
      <c r="M237" s="2"/>
    </row>
    <row r="238" spans="1:13" ht="15.6" x14ac:dyDescent="0.3">
      <c r="A238" s="2"/>
      <c r="B238" s="5" t="str">
        <f>IF(COUNTIF(data_val!$E$3:$E$5, sample_log!$E238), sample_log!$C238 &amp; "_" &amp; sample_log!$D238, "")</f>
        <v/>
      </c>
      <c r="C238" s="5" t="str">
        <f>IF(B238="", IF(F238="", "", C237), IF(sample_log!E238="Triennial SASS", "tri_params", "params"))</f>
        <v/>
      </c>
      <c r="D238" s="5" t="str">
        <f>IF(B238="", "", C238 &amp; "!" &amp; CHAR(65+MATCH(B238, params!$B$2:$R$2, 0)))</f>
        <v/>
      </c>
      <c r="E238" s="5" t="str">
        <f ca="1">IF(B238="", "", COUNTA(INDIRECT(D238 &amp; 3):INDIRECT(D238 &amp; 24)))</f>
        <v/>
      </c>
      <c r="F238" s="5" t="str">
        <f t="shared" si="8"/>
        <v/>
      </c>
      <c r="G238" s="5" t="str">
        <f>IF(F238="", "", IF(B238&lt;&gt;"", MATCH(B238, params!$B$2:$R$2, 0), G237))</f>
        <v/>
      </c>
      <c r="H238" s="5" t="str">
        <f t="shared" ca="1" si="9"/>
        <v/>
      </c>
      <c r="I238" s="2"/>
      <c r="J238" s="2"/>
      <c r="K238" s="2"/>
      <c r="L238" s="2"/>
      <c r="M238" s="2"/>
    </row>
    <row r="239" spans="1:13" ht="15.6" x14ac:dyDescent="0.3">
      <c r="A239" s="2"/>
      <c r="B239" s="5" t="str">
        <f>IF(COUNTIF(data_val!$E$3:$E$5, sample_log!$E239), sample_log!$C239 &amp; "_" &amp; sample_log!$D239, "")</f>
        <v/>
      </c>
      <c r="C239" s="5" t="str">
        <f>IF(B239="", IF(F239="", "", C238), IF(sample_log!E239="Triennial SASS", "tri_params", "params"))</f>
        <v/>
      </c>
      <c r="D239" s="5" t="str">
        <f>IF(B239="", "", C239 &amp; "!" &amp; CHAR(65+MATCH(B239, params!$B$2:$R$2, 0)))</f>
        <v/>
      </c>
      <c r="E239" s="5" t="str">
        <f ca="1">IF(B239="", "", COUNTA(INDIRECT(D239 &amp; 3):INDIRECT(D239 &amp; 24)))</f>
        <v/>
      </c>
      <c r="F239" s="5" t="str">
        <f t="shared" si="8"/>
        <v/>
      </c>
      <c r="G239" s="5" t="str">
        <f>IF(F239="", "", IF(B239&lt;&gt;"", MATCH(B239, params!$B$2:$R$2, 0), G238))</f>
        <v/>
      </c>
      <c r="H239" s="5" t="str">
        <f t="shared" ca="1" si="9"/>
        <v/>
      </c>
      <c r="I239" s="2"/>
      <c r="J239" s="2"/>
      <c r="K239" s="2"/>
      <c r="L239" s="2"/>
      <c r="M239" s="2"/>
    </row>
    <row r="240" spans="1:13" ht="15.6" x14ac:dyDescent="0.3">
      <c r="A240" s="2"/>
      <c r="B240" s="5" t="str">
        <f>IF(COUNTIF(data_val!$E$3:$E$5, sample_log!$E240), sample_log!$C240 &amp; "_" &amp; sample_log!$D240, "")</f>
        <v/>
      </c>
      <c r="C240" s="5" t="str">
        <f>IF(B240="", IF(F240="", "", C239), IF(sample_log!E240="Triennial SASS", "tri_params", "params"))</f>
        <v/>
      </c>
      <c r="D240" s="5" t="str">
        <f>IF(B240="", "", C240 &amp; "!" &amp; CHAR(65+MATCH(B240, params!$B$2:$R$2, 0)))</f>
        <v/>
      </c>
      <c r="E240" s="5" t="str">
        <f ca="1">IF(B240="", "", COUNTA(INDIRECT(D240 &amp; 3):INDIRECT(D240 &amp; 24)))</f>
        <v/>
      </c>
      <c r="F240" s="5" t="str">
        <f t="shared" si="8"/>
        <v/>
      </c>
      <c r="G240" s="5" t="str">
        <f>IF(F240="", "", IF(B240&lt;&gt;"", MATCH(B240, params!$B$2:$R$2, 0), G239))</f>
        <v/>
      </c>
      <c r="H240" s="5" t="str">
        <f t="shared" ca="1" si="9"/>
        <v/>
      </c>
      <c r="I240" s="2"/>
      <c r="J240" s="2"/>
      <c r="K240" s="2"/>
      <c r="L240" s="2"/>
      <c r="M240" s="2"/>
    </row>
    <row r="241" spans="1:13" ht="15.6" x14ac:dyDescent="0.3">
      <c r="A241" s="2"/>
      <c r="B241" s="5" t="str">
        <f>IF(COUNTIF(data_val!$E$3:$E$5, sample_log!$E241), sample_log!$C241 &amp; "_" &amp; sample_log!$D241, "")</f>
        <v/>
      </c>
      <c r="C241" s="5" t="str">
        <f>IF(B241="", IF(F241="", "", C240), IF(sample_log!E241="Triennial SASS", "tri_params", "params"))</f>
        <v/>
      </c>
      <c r="D241" s="5" t="str">
        <f>IF(B241="", "", C241 &amp; "!" &amp; CHAR(65+MATCH(B241, params!$B$2:$R$2, 0)))</f>
        <v/>
      </c>
      <c r="E241" s="5" t="str">
        <f ca="1">IF(B241="", "", COUNTA(INDIRECT(D241 &amp; 3):INDIRECT(D241 &amp; 24)))</f>
        <v/>
      </c>
      <c r="F241" s="5" t="str">
        <f t="shared" si="8"/>
        <v/>
      </c>
      <c r="G241" s="5" t="str">
        <f>IF(F241="", "", IF(B241&lt;&gt;"", MATCH(B241, params!$B$2:$R$2, 0), G240))</f>
        <v/>
      </c>
      <c r="H241" s="5" t="str">
        <f t="shared" ca="1" si="9"/>
        <v/>
      </c>
      <c r="I241" s="2"/>
      <c r="J241" s="2"/>
      <c r="K241" s="2"/>
      <c r="L241" s="2"/>
      <c r="M241" s="2"/>
    </row>
    <row r="242" spans="1:13" ht="15.6" x14ac:dyDescent="0.3">
      <c r="A242" s="2"/>
      <c r="B242" s="5" t="str">
        <f>IF(COUNTIF(data_val!$E$3:$E$5, sample_log!$E242), sample_log!$C242 &amp; "_" &amp; sample_log!$D242, "")</f>
        <v/>
      </c>
      <c r="C242" s="5" t="str">
        <f>IF(B242="", IF(F242="", "", C241), IF(sample_log!E242="Triennial SASS", "tri_params", "params"))</f>
        <v/>
      </c>
      <c r="D242" s="5" t="str">
        <f>IF(B242="", "", C242 &amp; "!" &amp; CHAR(65+MATCH(B242, params!$B$2:$R$2, 0)))</f>
        <v/>
      </c>
      <c r="E242" s="5" t="str">
        <f ca="1">IF(B242="", "", COUNTA(INDIRECT(D242 &amp; 3):INDIRECT(D242 &amp; 24)))</f>
        <v/>
      </c>
      <c r="F242" s="5" t="str">
        <f t="shared" si="8"/>
        <v/>
      </c>
      <c r="G242" s="5" t="str">
        <f>IF(F242="", "", IF(B242&lt;&gt;"", MATCH(B242, params!$B$2:$R$2, 0), G241))</f>
        <v/>
      </c>
      <c r="H242" s="5" t="str">
        <f t="shared" ca="1" si="9"/>
        <v/>
      </c>
      <c r="I242" s="2"/>
      <c r="J242" s="2"/>
      <c r="K242" s="2"/>
      <c r="L242" s="2"/>
      <c r="M242" s="2"/>
    </row>
    <row r="243" spans="1:13" ht="15.6" x14ac:dyDescent="0.3">
      <c r="A243" s="2"/>
      <c r="B243" s="5" t="str">
        <f>IF(COUNTIF(data_val!$E$3:$E$5, sample_log!$E243), sample_log!$C243 &amp; "_" &amp; sample_log!$D243, "")</f>
        <v/>
      </c>
      <c r="C243" s="5" t="str">
        <f>IF(B243="", IF(F243="", "", C242), IF(sample_log!E243="Triennial SASS", "tri_params", "params"))</f>
        <v/>
      </c>
      <c r="D243" s="5" t="str">
        <f>IF(B243="", "", C243 &amp; "!" &amp; CHAR(65+MATCH(B243, params!$B$2:$R$2, 0)))</f>
        <v/>
      </c>
      <c r="E243" s="5" t="str">
        <f ca="1">IF(B243="", "", COUNTA(INDIRECT(D243 &amp; 3):INDIRECT(D243 &amp; 24)))</f>
        <v/>
      </c>
      <c r="F243" s="5" t="str">
        <f t="shared" si="8"/>
        <v/>
      </c>
      <c r="G243" s="5" t="str">
        <f>IF(F243="", "", IF(B243&lt;&gt;"", MATCH(B243, params!$B$2:$R$2, 0), G242))</f>
        <v/>
      </c>
      <c r="H243" s="5" t="str">
        <f t="shared" ca="1" si="9"/>
        <v/>
      </c>
      <c r="I243" s="2"/>
      <c r="J243" s="2"/>
      <c r="K243" s="2"/>
      <c r="L243" s="2"/>
      <c r="M243" s="2"/>
    </row>
    <row r="244" spans="1:13" ht="15.6" x14ac:dyDescent="0.3">
      <c r="A244" s="2"/>
      <c r="B244" s="5" t="str">
        <f>IF(COUNTIF(data_val!$E$3:$E$5, sample_log!$E244), sample_log!$C244 &amp; "_" &amp; sample_log!$D244, "")</f>
        <v/>
      </c>
      <c r="C244" s="5" t="str">
        <f>IF(B244="", IF(F244="", "", C243), IF(sample_log!E244="Triennial SASS", "tri_params", "params"))</f>
        <v/>
      </c>
      <c r="D244" s="5" t="str">
        <f>IF(B244="", "", C244 &amp; "!" &amp; CHAR(65+MATCH(B244, params!$B$2:$R$2, 0)))</f>
        <v/>
      </c>
      <c r="E244" s="5" t="str">
        <f ca="1">IF(B244="", "", COUNTA(INDIRECT(D244 &amp; 3):INDIRECT(D244 &amp; 24)))</f>
        <v/>
      </c>
      <c r="F244" s="5" t="str">
        <f t="shared" si="8"/>
        <v/>
      </c>
      <c r="G244" s="5" t="str">
        <f>IF(F244="", "", IF(B244&lt;&gt;"", MATCH(B244, params!$B$2:$R$2, 0), G243))</f>
        <v/>
      </c>
      <c r="H244" s="5" t="str">
        <f t="shared" ca="1" si="9"/>
        <v/>
      </c>
      <c r="I244" s="2"/>
      <c r="J244" s="2"/>
      <c r="K244" s="2"/>
      <c r="L244" s="2"/>
      <c r="M244" s="2"/>
    </row>
    <row r="245" spans="1:13" ht="15.6" x14ac:dyDescent="0.3">
      <c r="A245" s="2"/>
      <c r="B245" s="5" t="str">
        <f>IF(COUNTIF(data_val!$E$3:$E$5, sample_log!$E245), sample_log!$C245 &amp; "_" &amp; sample_log!$D245, "")</f>
        <v/>
      </c>
      <c r="C245" s="5" t="str">
        <f>IF(B245="", IF(F245="", "", C244), IF(sample_log!E245="Triennial SASS", "tri_params", "params"))</f>
        <v/>
      </c>
      <c r="D245" s="5" t="str">
        <f>IF(B245="", "", C245 &amp; "!" &amp; CHAR(65+MATCH(B245, params!$B$2:$R$2, 0)))</f>
        <v/>
      </c>
      <c r="E245" s="5" t="str">
        <f ca="1">IF(B245="", "", COUNTA(INDIRECT(D245 &amp; 3):INDIRECT(D245 &amp; 24)))</f>
        <v/>
      </c>
      <c r="F245" s="5" t="str">
        <f t="shared" si="8"/>
        <v/>
      </c>
      <c r="G245" s="5" t="str">
        <f>IF(F245="", "", IF(B245&lt;&gt;"", MATCH(B245, params!$B$2:$R$2, 0), G244))</f>
        <v/>
      </c>
      <c r="H245" s="5" t="str">
        <f t="shared" ca="1" si="9"/>
        <v/>
      </c>
      <c r="I245" s="2"/>
      <c r="J245" s="2"/>
      <c r="K245" s="2"/>
      <c r="L245" s="2"/>
      <c r="M245" s="2"/>
    </row>
    <row r="246" spans="1:13" ht="15.6" x14ac:dyDescent="0.3">
      <c r="A246" s="2"/>
      <c r="B246" s="5" t="str">
        <f>IF(COUNTIF(data_val!$E$3:$E$5, sample_log!$E246), sample_log!$C246 &amp; "_" &amp; sample_log!$D246, "")</f>
        <v/>
      </c>
      <c r="C246" s="5" t="str">
        <f>IF(B246="", IF(F246="", "", C245), IF(sample_log!E246="Triennial SASS", "tri_params", "params"))</f>
        <v/>
      </c>
      <c r="D246" s="5" t="str">
        <f>IF(B246="", "", C246 &amp; "!" &amp; CHAR(65+MATCH(B246, params!$B$2:$R$2, 0)))</f>
        <v/>
      </c>
      <c r="E246" s="5" t="str">
        <f ca="1">IF(B246="", "", COUNTA(INDIRECT(D246 &amp; 3):INDIRECT(D246 &amp; 24)))</f>
        <v/>
      </c>
      <c r="F246" s="5" t="str">
        <f t="shared" si="8"/>
        <v/>
      </c>
      <c r="G246" s="5" t="str">
        <f>IF(F246="", "", IF(B246&lt;&gt;"", MATCH(B246, params!$B$2:$R$2, 0), G245))</f>
        <v/>
      </c>
      <c r="H246" s="5" t="str">
        <f t="shared" ca="1" si="9"/>
        <v/>
      </c>
      <c r="I246" s="2"/>
      <c r="J246" s="2"/>
      <c r="K246" s="2"/>
      <c r="L246" s="2"/>
      <c r="M246" s="2"/>
    </row>
    <row r="247" spans="1:13" ht="15.6" x14ac:dyDescent="0.3">
      <c r="A247" s="2"/>
      <c r="B247" s="5" t="str">
        <f>IF(COUNTIF(data_val!$E$3:$E$5, sample_log!$E247), sample_log!$C247 &amp; "_" &amp; sample_log!$D247, "")</f>
        <v/>
      </c>
      <c r="C247" s="5" t="str">
        <f>IF(B247="", IF(F247="", "", C246), IF(sample_log!E247="Triennial SASS", "tri_params", "params"))</f>
        <v/>
      </c>
      <c r="D247" s="5" t="str">
        <f>IF(B247="", "", C247 &amp; "!" &amp; CHAR(65+MATCH(B247, params!$B$2:$R$2, 0)))</f>
        <v/>
      </c>
      <c r="E247" s="5" t="str">
        <f ca="1">IF(B247="", "", COUNTA(INDIRECT(D247 &amp; 3):INDIRECT(D247 &amp; 24)))</f>
        <v/>
      </c>
      <c r="F247" s="5" t="str">
        <f t="shared" si="8"/>
        <v/>
      </c>
      <c r="G247" s="5" t="str">
        <f>IF(F247="", "", IF(B247&lt;&gt;"", MATCH(B247, params!$B$2:$R$2, 0), G246))</f>
        <v/>
      </c>
      <c r="H247" s="5" t="str">
        <f t="shared" ca="1" si="9"/>
        <v/>
      </c>
      <c r="I247" s="2"/>
      <c r="J247" s="2"/>
      <c r="K247" s="2"/>
      <c r="L247" s="2"/>
      <c r="M247" s="2"/>
    </row>
    <row r="248" spans="1:13" ht="15.6" x14ac:dyDescent="0.3">
      <c r="A248" s="2"/>
      <c r="B248" s="5" t="str">
        <f>IF(COUNTIF(data_val!$E$3:$E$5, sample_log!$E248), sample_log!$C248 &amp; "_" &amp; sample_log!$D248, "")</f>
        <v/>
      </c>
      <c r="C248" s="5" t="str">
        <f>IF(B248="", IF(F248="", "", C247), IF(sample_log!E248="Triennial SASS", "tri_params", "params"))</f>
        <v/>
      </c>
      <c r="D248" s="5" t="str">
        <f>IF(B248="", "", C248 &amp; "!" &amp; CHAR(65+MATCH(B248, params!$B$2:$R$2, 0)))</f>
        <v/>
      </c>
      <c r="E248" s="5" t="str">
        <f ca="1">IF(B248="", "", COUNTA(INDIRECT(D248 &amp; 3):INDIRECT(D248 &amp; 24)))</f>
        <v/>
      </c>
      <c r="F248" s="5" t="str">
        <f t="shared" si="8"/>
        <v/>
      </c>
      <c r="G248" s="5" t="str">
        <f>IF(F248="", "", IF(B248&lt;&gt;"", MATCH(B248, params!$B$2:$R$2, 0), G247))</f>
        <v/>
      </c>
      <c r="H248" s="5" t="str">
        <f t="shared" ca="1" si="9"/>
        <v/>
      </c>
      <c r="I248" s="2"/>
      <c r="J248" s="2"/>
      <c r="K248" s="2"/>
      <c r="L248" s="2"/>
      <c r="M248" s="2"/>
    </row>
    <row r="249" spans="1:13" ht="15.6" x14ac:dyDescent="0.3">
      <c r="A249" s="2"/>
      <c r="B249" s="5" t="str">
        <f>IF(COUNTIF(data_val!$E$3:$E$5, sample_log!$E249), sample_log!$C249 &amp; "_" &amp; sample_log!$D249, "")</f>
        <v/>
      </c>
      <c r="C249" s="5" t="str">
        <f>IF(B249="", IF(F249="", "", C248), IF(sample_log!E249="Triennial SASS", "tri_params", "params"))</f>
        <v/>
      </c>
      <c r="D249" s="5" t="str">
        <f>IF(B249="", "", C249 &amp; "!" &amp; CHAR(65+MATCH(B249, params!$B$2:$R$2, 0)))</f>
        <v/>
      </c>
      <c r="E249" s="5" t="str">
        <f ca="1">IF(B249="", "", COUNTA(INDIRECT(D249 &amp; 3):INDIRECT(D249 &amp; 24)))</f>
        <v/>
      </c>
      <c r="F249" s="5" t="str">
        <f t="shared" si="8"/>
        <v/>
      </c>
      <c r="G249" s="5" t="str">
        <f>IF(F249="", "", IF(B249&lt;&gt;"", MATCH(B249, params!$B$2:$R$2, 0), G248))</f>
        <v/>
      </c>
      <c r="H249" s="5" t="str">
        <f t="shared" ca="1" si="9"/>
        <v/>
      </c>
      <c r="I249" s="2"/>
      <c r="J249" s="2"/>
      <c r="K249" s="2"/>
      <c r="L249" s="2"/>
      <c r="M249" s="2"/>
    </row>
    <row r="250" spans="1:13" ht="15.6" x14ac:dyDescent="0.3">
      <c r="A250" s="2"/>
      <c r="B250" s="5" t="str">
        <f>IF(COUNTIF(data_val!$E$3:$E$5, sample_log!$E250), sample_log!$C250 &amp; "_" &amp; sample_log!$D250, "")</f>
        <v/>
      </c>
      <c r="C250" s="5" t="str">
        <f>IF(B250="", IF(F250="", "", C249), IF(sample_log!E250="Triennial SASS", "tri_params", "params"))</f>
        <v/>
      </c>
      <c r="D250" s="5" t="str">
        <f>IF(B250="", "", C250 &amp; "!" &amp; CHAR(65+MATCH(B250, params!$B$2:$R$2, 0)))</f>
        <v/>
      </c>
      <c r="E250" s="5" t="str">
        <f ca="1">IF(B250="", "", COUNTA(INDIRECT(D250 &amp; 3):INDIRECT(D250 &amp; 24)))</f>
        <v/>
      </c>
      <c r="F250" s="5" t="str">
        <f t="shared" si="8"/>
        <v/>
      </c>
      <c r="G250" s="5" t="str">
        <f>IF(F250="", "", IF(B250&lt;&gt;"", MATCH(B250, params!$B$2:$R$2, 0), G249))</f>
        <v/>
      </c>
      <c r="H250" s="5" t="str">
        <f t="shared" ca="1" si="9"/>
        <v/>
      </c>
      <c r="I250" s="2"/>
      <c r="J250" s="2"/>
      <c r="K250" s="2"/>
      <c r="L250" s="2"/>
      <c r="M250" s="2"/>
    </row>
    <row r="251" spans="1:13" ht="15.6" x14ac:dyDescent="0.3">
      <c r="A251" s="2"/>
      <c r="B251" s="5" t="str">
        <f>IF(COUNTIF(data_val!$E$3:$E$5, sample_log!$E251), sample_log!$C251 &amp; "_" &amp; sample_log!$D251, "")</f>
        <v/>
      </c>
      <c r="C251" s="5" t="str">
        <f>IF(B251="", IF(F251="", "", C250), IF(sample_log!E251="Triennial SASS", "tri_params", "params"))</f>
        <v/>
      </c>
      <c r="D251" s="5" t="str">
        <f>IF(B251="", "", C251 &amp; "!" &amp; CHAR(65+MATCH(B251, params!$B$2:$R$2, 0)))</f>
        <v/>
      </c>
      <c r="E251" s="5" t="str">
        <f ca="1">IF(B251="", "", COUNTA(INDIRECT(D251 &amp; 3):INDIRECT(D251 &amp; 24)))</f>
        <v/>
      </c>
      <c r="F251" s="5" t="str">
        <f t="shared" si="8"/>
        <v/>
      </c>
      <c r="G251" s="5" t="str">
        <f>IF(F251="", "", IF(B251&lt;&gt;"", MATCH(B251, params!$B$2:$R$2, 0), G250))</f>
        <v/>
      </c>
      <c r="H251" s="5" t="str">
        <f t="shared" ca="1" si="9"/>
        <v/>
      </c>
      <c r="I251" s="2"/>
      <c r="J251" s="2"/>
      <c r="K251" s="2"/>
      <c r="L251" s="2"/>
      <c r="M251" s="2"/>
    </row>
    <row r="252" spans="1:13" ht="15.6" x14ac:dyDescent="0.3">
      <c r="A252" s="2"/>
      <c r="B252" s="5" t="str">
        <f>IF(COUNTIF(data_val!$E$3:$E$5, sample_log!$E252), sample_log!$C252 &amp; "_" &amp; sample_log!$D252, "")</f>
        <v/>
      </c>
      <c r="C252" s="5" t="str">
        <f>IF(B252="", IF(F252="", "", C251), IF(sample_log!E252="Triennial SASS", "tri_params", "params"))</f>
        <v/>
      </c>
      <c r="D252" s="5" t="str">
        <f>IF(B252="", "", C252 &amp; "!" &amp; CHAR(65+MATCH(B252, params!$B$2:$R$2, 0)))</f>
        <v/>
      </c>
      <c r="E252" s="5" t="str">
        <f ca="1">IF(B252="", "", COUNTA(INDIRECT(D252 &amp; 3):INDIRECT(D252 &amp; 24)))</f>
        <v/>
      </c>
      <c r="F252" s="5" t="str">
        <f t="shared" si="8"/>
        <v/>
      </c>
      <c r="G252" s="5" t="str">
        <f>IF(F252="", "", IF(B252&lt;&gt;"", MATCH(B252, params!$B$2:$R$2, 0), G251))</f>
        <v/>
      </c>
      <c r="H252" s="5" t="str">
        <f t="shared" ca="1" si="9"/>
        <v/>
      </c>
      <c r="I252" s="2"/>
      <c r="J252" s="2"/>
      <c r="K252" s="2"/>
      <c r="L252" s="2"/>
      <c r="M252" s="2"/>
    </row>
    <row r="253" spans="1:13" ht="15.6" x14ac:dyDescent="0.3">
      <c r="A253" s="2"/>
      <c r="B253" s="5" t="str">
        <f>IF(COUNTIF(data_val!$E$3:$E$5, sample_log!$E253), sample_log!$C253 &amp; "_" &amp; sample_log!$D253, "")</f>
        <v/>
      </c>
      <c r="C253" s="5" t="str">
        <f>IF(B253="", IF(F253="", "", C252), IF(sample_log!E253="Triennial SASS", "tri_params", "params"))</f>
        <v/>
      </c>
      <c r="D253" s="5" t="str">
        <f>IF(B253="", "", C253 &amp; "!" &amp; CHAR(65+MATCH(B253, params!$B$2:$R$2, 0)))</f>
        <v/>
      </c>
      <c r="E253" s="5" t="str">
        <f ca="1">IF(B253="", "", COUNTA(INDIRECT(D253 &amp; 3):INDIRECT(D253 &amp; 24)))</f>
        <v/>
      </c>
      <c r="F253" s="5" t="str">
        <f t="shared" si="8"/>
        <v/>
      </c>
      <c r="G253" s="5" t="str">
        <f>IF(F253="", "", IF(B253&lt;&gt;"", MATCH(B253, params!$B$2:$R$2, 0), G252))</f>
        <v/>
      </c>
      <c r="H253" s="5" t="str">
        <f t="shared" ca="1" si="9"/>
        <v/>
      </c>
      <c r="I253" s="2"/>
      <c r="J253" s="2"/>
      <c r="K253" s="2"/>
      <c r="L253" s="2"/>
      <c r="M253" s="2"/>
    </row>
    <row r="254" spans="1:13" ht="15.6" x14ac:dyDescent="0.3">
      <c r="A254" s="2"/>
      <c r="B254" s="5" t="str">
        <f>IF(COUNTIF(data_val!$E$3:$E$5, sample_log!$E254), sample_log!$C254 &amp; "_" &amp; sample_log!$D254, "")</f>
        <v/>
      </c>
      <c r="C254" s="5" t="str">
        <f>IF(B254="", IF(F254="", "", C253), IF(sample_log!E254="Triennial SASS", "tri_params", "params"))</f>
        <v/>
      </c>
      <c r="D254" s="5" t="str">
        <f>IF(B254="", "", C254 &amp; "!" &amp; CHAR(65+MATCH(B254, params!$B$2:$R$2, 0)))</f>
        <v/>
      </c>
      <c r="E254" s="5" t="str">
        <f ca="1">IF(B254="", "", COUNTA(INDIRECT(D254 &amp; 3):INDIRECT(D254 &amp; 24)))</f>
        <v/>
      </c>
      <c r="F254" s="5" t="str">
        <f t="shared" si="8"/>
        <v/>
      </c>
      <c r="G254" s="5" t="str">
        <f>IF(F254="", "", IF(B254&lt;&gt;"", MATCH(B254, params!$B$2:$R$2, 0), G253))</f>
        <v/>
      </c>
      <c r="H254" s="5" t="str">
        <f t="shared" ca="1" si="9"/>
        <v/>
      </c>
      <c r="I254" s="2"/>
      <c r="J254" s="2"/>
      <c r="K254" s="2"/>
      <c r="L254" s="2"/>
      <c r="M254" s="2"/>
    </row>
    <row r="255" spans="1:13" ht="15.6" x14ac:dyDescent="0.3">
      <c r="A255" s="2"/>
      <c r="B255" s="5" t="str">
        <f>IF(COUNTIF(data_val!$E$3:$E$5, sample_log!$E255), sample_log!$C255 &amp; "_" &amp; sample_log!$D255, "")</f>
        <v/>
      </c>
      <c r="C255" s="5" t="str">
        <f>IF(B255="", IF(F255="", "", C254), IF(sample_log!E255="Triennial SASS", "tri_params", "params"))</f>
        <v/>
      </c>
      <c r="D255" s="5" t="str">
        <f>IF(B255="", "", C255 &amp; "!" &amp; CHAR(65+MATCH(B255, params!$B$2:$R$2, 0)))</f>
        <v/>
      </c>
      <c r="E255" s="5" t="str">
        <f ca="1">IF(B255="", "", COUNTA(INDIRECT(D255 &amp; 3):INDIRECT(D255 &amp; 24)))</f>
        <v/>
      </c>
      <c r="F255" s="5" t="str">
        <f t="shared" si="8"/>
        <v/>
      </c>
      <c r="G255" s="5" t="str">
        <f>IF(F255="", "", IF(B255&lt;&gt;"", MATCH(B255, params!$B$2:$R$2, 0), G254))</f>
        <v/>
      </c>
      <c r="H255" s="5" t="str">
        <f t="shared" ca="1" si="9"/>
        <v/>
      </c>
      <c r="I255" s="2"/>
      <c r="J255" s="2"/>
      <c r="K255" s="2"/>
      <c r="L255" s="2"/>
      <c r="M255" s="2"/>
    </row>
    <row r="256" spans="1:13" ht="15.6" x14ac:dyDescent="0.3">
      <c r="A256" s="2"/>
      <c r="B256" s="5" t="str">
        <f>IF(COUNTIF(data_val!$E$3:$E$5, sample_log!$E256), sample_log!$C256 &amp; "_" &amp; sample_log!$D256, "")</f>
        <v/>
      </c>
      <c r="C256" s="5" t="str">
        <f>IF(B256="", IF(F256="", "", C255), IF(sample_log!E256="Triennial SASS", "tri_params", "params"))</f>
        <v/>
      </c>
      <c r="D256" s="5" t="str">
        <f>IF(B256="", "", C256 &amp; "!" &amp; CHAR(65+MATCH(B256, params!$B$2:$R$2, 0)))</f>
        <v/>
      </c>
      <c r="E256" s="5" t="str">
        <f ca="1">IF(B256="", "", COUNTA(INDIRECT(D256 &amp; 3):INDIRECT(D256 &amp; 24)))</f>
        <v/>
      </c>
      <c r="F256" s="5" t="str">
        <f t="shared" si="8"/>
        <v/>
      </c>
      <c r="G256" s="5" t="str">
        <f>IF(F256="", "", IF(B256&lt;&gt;"", MATCH(B256, params!$B$2:$R$2, 0), G255))</f>
        <v/>
      </c>
      <c r="H256" s="5" t="str">
        <f t="shared" ca="1" si="9"/>
        <v/>
      </c>
      <c r="I256" s="2"/>
      <c r="J256" s="2"/>
      <c r="K256" s="2"/>
      <c r="L256" s="2"/>
      <c r="M256" s="2"/>
    </row>
    <row r="257" spans="1:13" ht="15.6" x14ac:dyDescent="0.3">
      <c r="A257" s="2"/>
      <c r="B257" s="5" t="str">
        <f>IF(COUNTIF(data_val!$E$3:$E$5, sample_log!$E257), sample_log!$C257 &amp; "_" &amp; sample_log!$D257, "")</f>
        <v/>
      </c>
      <c r="C257" s="5" t="str">
        <f>IF(B257="", IF(F257="", "", C256), IF(sample_log!E257="Triennial SASS", "tri_params", "params"))</f>
        <v/>
      </c>
      <c r="D257" s="5" t="str">
        <f>IF(B257="", "", C257 &amp; "!" &amp; CHAR(65+MATCH(B257, params!$B$2:$R$2, 0)))</f>
        <v/>
      </c>
      <c r="E257" s="5" t="str">
        <f ca="1">IF(B257="", "", COUNTA(INDIRECT(D257 &amp; 3):INDIRECT(D257 &amp; 24)))</f>
        <v/>
      </c>
      <c r="F257" s="5" t="str">
        <f t="shared" si="8"/>
        <v/>
      </c>
      <c r="G257" s="5" t="str">
        <f>IF(F257="", "", IF(B257&lt;&gt;"", MATCH(B257, params!$B$2:$R$2, 0), G256))</f>
        <v/>
      </c>
      <c r="H257" s="5" t="str">
        <f t="shared" ca="1" si="9"/>
        <v/>
      </c>
      <c r="I257" s="2"/>
      <c r="J257" s="2"/>
      <c r="K257" s="2"/>
      <c r="L257" s="2"/>
      <c r="M257" s="2"/>
    </row>
    <row r="258" spans="1:13" ht="15.6" x14ac:dyDescent="0.3">
      <c r="A258" s="2"/>
      <c r="B258" s="5" t="str">
        <f>IF(COUNTIF(data_val!$E$3:$E$5, sample_log!$E258), sample_log!$C258 &amp; "_" &amp; sample_log!$D258, "")</f>
        <v/>
      </c>
      <c r="C258" s="5" t="str">
        <f>IF(B258="", IF(F258="", "", C257), IF(sample_log!E258="Triennial SASS", "tri_params", "params"))</f>
        <v/>
      </c>
      <c r="D258" s="5" t="str">
        <f>IF(B258="", "", C258 &amp; "!" &amp; CHAR(65+MATCH(B258, params!$B$2:$R$2, 0)))</f>
        <v/>
      </c>
      <c r="E258" s="5" t="str">
        <f ca="1">IF(B258="", "", COUNTA(INDIRECT(D258 &amp; 3):INDIRECT(D258 &amp; 24)))</f>
        <v/>
      </c>
      <c r="F258" s="5" t="str">
        <f t="shared" si="8"/>
        <v/>
      </c>
      <c r="G258" s="5" t="str">
        <f>IF(F258="", "", IF(B258&lt;&gt;"", MATCH(B258, params!$B$2:$R$2, 0), G257))</f>
        <v/>
      </c>
      <c r="H258" s="5" t="str">
        <f t="shared" ca="1" si="9"/>
        <v/>
      </c>
      <c r="I258" s="2"/>
      <c r="J258" s="2"/>
      <c r="K258" s="2"/>
      <c r="L258" s="2"/>
      <c r="M258" s="2"/>
    </row>
    <row r="259" spans="1:13" ht="15.6" x14ac:dyDescent="0.3">
      <c r="A259" s="2"/>
      <c r="B259" s="5" t="str">
        <f>IF(COUNTIF(data_val!$E$3:$E$5, sample_log!$E259), sample_log!$C259 &amp; "_" &amp; sample_log!$D259, "")</f>
        <v/>
      </c>
      <c r="C259" s="5" t="str">
        <f>IF(B259="", IF(F259="", "", C258), IF(sample_log!E259="Triennial SASS", "tri_params", "params"))</f>
        <v/>
      </c>
      <c r="D259" s="5" t="str">
        <f>IF(B259="", "", C259 &amp; "!" &amp; CHAR(65+MATCH(B259, params!$B$2:$R$2, 0)))</f>
        <v/>
      </c>
      <c r="E259" s="5" t="str">
        <f ca="1">IF(B259="", "", COUNTA(INDIRECT(D259 &amp; 3):INDIRECT(D259 &amp; 24)))</f>
        <v/>
      </c>
      <c r="F259" s="5" t="str">
        <f t="shared" ref="F259:F322" si="10">IF(B259="", IF(NOT(ISNUMBER(F258)), "", IF(F258-1&gt;0, F258-1, "")), E259)</f>
        <v/>
      </c>
      <c r="G259" s="5" t="str">
        <f>IF(F259="", "", IF(B259&lt;&gt;"", MATCH(B259, params!$B$2:$R$2, 0), G258))</f>
        <v/>
      </c>
      <c r="H259" s="5" t="str">
        <f t="shared" ca="1" si="9"/>
        <v/>
      </c>
      <c r="I259" s="2"/>
      <c r="J259" s="2"/>
      <c r="K259" s="2"/>
      <c r="L259" s="2"/>
      <c r="M259" s="2"/>
    </row>
    <row r="260" spans="1:13" ht="15.6" x14ac:dyDescent="0.3">
      <c r="A260" s="2"/>
      <c r="B260" s="5" t="str">
        <f>IF(COUNTIF(data_val!$E$3:$E$5, sample_log!$E260), sample_log!$C260 &amp; "_" &amp; sample_log!$D260, "")</f>
        <v/>
      </c>
      <c r="C260" s="5" t="str">
        <f>IF(B260="", IF(F260="", "", C259), IF(sample_log!E260="Triennial SASS", "tri_params", "params"))</f>
        <v/>
      </c>
      <c r="D260" s="5" t="str">
        <f>IF(B260="", "", C260 &amp; "!" &amp; CHAR(65+MATCH(B260, params!$B$2:$R$2, 0)))</f>
        <v/>
      </c>
      <c r="E260" s="5" t="str">
        <f ca="1">IF(B260="", "", COUNTA(INDIRECT(D260 &amp; 3):INDIRECT(D260 &amp; 24)))</f>
        <v/>
      </c>
      <c r="F260" s="5" t="str">
        <f t="shared" si="10"/>
        <v/>
      </c>
      <c r="G260" s="5" t="str">
        <f>IF(F260="", "", IF(B260&lt;&gt;"", MATCH(B260, params!$B$2:$R$2, 0), G259))</f>
        <v/>
      </c>
      <c r="H260" s="5" t="str">
        <f t="shared" ca="1" si="9"/>
        <v/>
      </c>
      <c r="I260" s="2"/>
      <c r="J260" s="2"/>
      <c r="K260" s="2"/>
      <c r="L260" s="2"/>
      <c r="M260" s="2"/>
    </row>
    <row r="261" spans="1:13" ht="15.6" x14ac:dyDescent="0.3">
      <c r="A261" s="2"/>
      <c r="B261" s="5" t="str">
        <f>IF(COUNTIF(data_val!$E$3:$E$5, sample_log!$E261), sample_log!$C261 &amp; "_" &amp; sample_log!$D261, "")</f>
        <v/>
      </c>
      <c r="C261" s="5" t="str">
        <f>IF(B261="", IF(F261="", "", C260), IF(sample_log!E261="Triennial SASS", "tri_params", "params"))</f>
        <v/>
      </c>
      <c r="D261" s="5" t="str">
        <f>IF(B261="", "", C261 &amp; "!" &amp; CHAR(65+MATCH(B261, params!$B$2:$R$2, 0)))</f>
        <v/>
      </c>
      <c r="E261" s="5" t="str">
        <f ca="1">IF(B261="", "", COUNTA(INDIRECT(D261 &amp; 3):INDIRECT(D261 &amp; 24)))</f>
        <v/>
      </c>
      <c r="F261" s="5" t="str">
        <f t="shared" si="10"/>
        <v/>
      </c>
      <c r="G261" s="5" t="str">
        <f>IF(F261="", "", IF(B261&lt;&gt;"", MATCH(B261, params!$B$2:$R$2, 0), G260))</f>
        <v/>
      </c>
      <c r="H261" s="5" t="str">
        <f t="shared" ca="1" si="9"/>
        <v/>
      </c>
      <c r="I261" s="2"/>
      <c r="J261" s="2"/>
      <c r="K261" s="2"/>
      <c r="L261" s="2"/>
      <c r="M261" s="2"/>
    </row>
    <row r="262" spans="1:13" ht="15.6" x14ac:dyDescent="0.3">
      <c r="A262" s="2"/>
      <c r="B262" s="5" t="str">
        <f>IF(COUNTIF(data_val!$E$3:$E$5, sample_log!$E262), sample_log!$C262 &amp; "_" &amp; sample_log!$D262, "")</f>
        <v/>
      </c>
      <c r="C262" s="5" t="str">
        <f>IF(B262="", IF(F262="", "", C261), IF(sample_log!E262="Triennial SASS", "tri_params", "params"))</f>
        <v/>
      </c>
      <c r="D262" s="5" t="str">
        <f>IF(B262="", "", C262 &amp; "!" &amp; CHAR(65+MATCH(B262, params!$B$2:$R$2, 0)))</f>
        <v/>
      </c>
      <c r="E262" s="5" t="str">
        <f ca="1">IF(B262="", "", COUNTA(INDIRECT(D262 &amp; 3):INDIRECT(D262 &amp; 24)))</f>
        <v/>
      </c>
      <c r="F262" s="5" t="str">
        <f t="shared" si="10"/>
        <v/>
      </c>
      <c r="G262" s="5" t="str">
        <f>IF(F262="", "", IF(B262&lt;&gt;"", MATCH(B262, params!$B$2:$R$2, 0), G261))</f>
        <v/>
      </c>
      <c r="H262" s="5" t="str">
        <f t="shared" ca="1" si="9"/>
        <v/>
      </c>
      <c r="I262" s="2"/>
      <c r="J262" s="2"/>
      <c r="K262" s="2"/>
      <c r="L262" s="2"/>
      <c r="M262" s="2"/>
    </row>
    <row r="263" spans="1:13" ht="15.6" x14ac:dyDescent="0.3">
      <c r="A263" s="2"/>
      <c r="B263" s="5" t="str">
        <f>IF(COUNTIF(data_val!$E$3:$E$5, sample_log!$E263), sample_log!$C263 &amp; "_" &amp; sample_log!$D263, "")</f>
        <v/>
      </c>
      <c r="C263" s="5" t="str">
        <f>IF(B263="", IF(F263="", "", C262), IF(sample_log!E263="Triennial SASS", "tri_params", "params"))</f>
        <v/>
      </c>
      <c r="D263" s="5" t="str">
        <f>IF(B263="", "", C263 &amp; "!" &amp; CHAR(65+MATCH(B263, params!$B$2:$R$2, 0)))</f>
        <v/>
      </c>
      <c r="E263" s="5" t="str">
        <f ca="1">IF(B263="", "", COUNTA(INDIRECT(D263 &amp; 3):INDIRECT(D263 &amp; 24)))</f>
        <v/>
      </c>
      <c r="F263" s="5" t="str">
        <f t="shared" si="10"/>
        <v/>
      </c>
      <c r="G263" s="5" t="str">
        <f>IF(F263="", "", IF(B263&lt;&gt;"", MATCH(B263, params!$B$2:$R$2, 0), G262))</f>
        <v/>
      </c>
      <c r="H263" s="5" t="str">
        <f t="shared" ca="1" si="9"/>
        <v/>
      </c>
      <c r="I263" s="2"/>
      <c r="J263" s="2"/>
      <c r="K263" s="2"/>
      <c r="L263" s="2"/>
      <c r="M263" s="2"/>
    </row>
    <row r="264" spans="1:13" ht="15.6" x14ac:dyDescent="0.3">
      <c r="A264" s="2"/>
      <c r="B264" s="5" t="str">
        <f>IF(COUNTIF(data_val!$E$3:$E$5, sample_log!$E264), sample_log!$C264 &amp; "_" &amp; sample_log!$D264, "")</f>
        <v/>
      </c>
      <c r="C264" s="5" t="str">
        <f>IF(B264="", IF(F264="", "", C263), IF(sample_log!E264="Triennial SASS", "tri_params", "params"))</f>
        <v/>
      </c>
      <c r="D264" s="5" t="str">
        <f>IF(B264="", "", C264 &amp; "!" &amp; CHAR(65+MATCH(B264, params!$B$2:$R$2, 0)))</f>
        <v/>
      </c>
      <c r="E264" s="5" t="str">
        <f ca="1">IF(B264="", "", COUNTA(INDIRECT(D264 &amp; 3):INDIRECT(D264 &amp; 24)))</f>
        <v/>
      </c>
      <c r="F264" s="5" t="str">
        <f t="shared" si="10"/>
        <v/>
      </c>
      <c r="G264" s="5" t="str">
        <f>IF(F264="", "", IF(B264&lt;&gt;"", MATCH(B264, params!$B$2:$R$2, 0), G263))</f>
        <v/>
      </c>
      <c r="H264" s="5" t="str">
        <f t="shared" ca="1" si="9"/>
        <v/>
      </c>
      <c r="I264" s="2"/>
      <c r="J264" s="2"/>
      <c r="K264" s="2"/>
      <c r="L264" s="2"/>
      <c r="M264" s="2"/>
    </row>
    <row r="265" spans="1:13" ht="15.6" x14ac:dyDescent="0.3">
      <c r="A265" s="2"/>
      <c r="B265" s="5" t="str">
        <f>IF(COUNTIF(data_val!$E$3:$E$5, sample_log!$E265), sample_log!$C265 &amp; "_" &amp; sample_log!$D265, "")</f>
        <v/>
      </c>
      <c r="C265" s="5" t="str">
        <f>IF(B265="", IF(F265="", "", C264), IF(sample_log!E265="Triennial SASS", "tri_params", "params"))</f>
        <v/>
      </c>
      <c r="D265" s="5" t="str">
        <f>IF(B265="", "", C265 &amp; "!" &amp; CHAR(65+MATCH(B265, params!$B$2:$R$2, 0)))</f>
        <v/>
      </c>
      <c r="E265" s="5" t="str">
        <f ca="1">IF(B265="", "", COUNTA(INDIRECT(D265 &amp; 3):INDIRECT(D265 &amp; 24)))</f>
        <v/>
      </c>
      <c r="F265" s="5" t="str">
        <f t="shared" si="10"/>
        <v/>
      </c>
      <c r="G265" s="5" t="str">
        <f>IF(F265="", "", IF(B265&lt;&gt;"", MATCH(B265, params!$B$2:$R$2, 0), G264))</f>
        <v/>
      </c>
      <c r="H265" s="5" t="str">
        <f t="shared" ca="1" si="9"/>
        <v/>
      </c>
      <c r="I265" s="2"/>
      <c r="J265" s="2"/>
      <c r="K265" s="2"/>
      <c r="L265" s="2"/>
      <c r="M265" s="2"/>
    </row>
    <row r="266" spans="1:13" ht="15.6" x14ac:dyDescent="0.3">
      <c r="A266" s="2"/>
      <c r="B266" s="5" t="str">
        <f>IF(COUNTIF(data_val!$E$3:$E$5, sample_log!$E266), sample_log!$C266 &amp; "_" &amp; sample_log!$D266, "")</f>
        <v/>
      </c>
      <c r="C266" s="5" t="str">
        <f>IF(B266="", IF(F266="", "", C265), IF(sample_log!E266="Triennial SASS", "tri_params", "params"))</f>
        <v/>
      </c>
      <c r="D266" s="5" t="str">
        <f>IF(B266="", "", C266 &amp; "!" &amp; CHAR(65+MATCH(B266, params!$B$2:$R$2, 0)))</f>
        <v/>
      </c>
      <c r="E266" s="5" t="str">
        <f ca="1">IF(B266="", "", COUNTA(INDIRECT(D266 &amp; 3):INDIRECT(D266 &amp; 24)))</f>
        <v/>
      </c>
      <c r="F266" s="5" t="str">
        <f t="shared" si="10"/>
        <v/>
      </c>
      <c r="G266" s="5" t="str">
        <f>IF(F266="", "", IF(B266&lt;&gt;"", MATCH(B266, params!$B$2:$R$2, 0), G265))</f>
        <v/>
      </c>
      <c r="H266" s="5" t="str">
        <f t="shared" ca="1" si="9"/>
        <v/>
      </c>
      <c r="I266" s="2"/>
      <c r="J266" s="2"/>
      <c r="K266" s="2"/>
      <c r="L266" s="2"/>
      <c r="M266" s="2"/>
    </row>
    <row r="267" spans="1:13" ht="15.6" x14ac:dyDescent="0.3">
      <c r="A267" s="2"/>
      <c r="B267" s="5" t="str">
        <f>IF(COUNTIF(data_val!$E$3:$E$5, sample_log!$E267), sample_log!$C267 &amp; "_" &amp; sample_log!$D267, "")</f>
        <v/>
      </c>
      <c r="C267" s="5" t="str">
        <f>IF(B267="", IF(F267="", "", C266), IF(sample_log!E267="Triennial SASS", "tri_params", "params"))</f>
        <v/>
      </c>
      <c r="D267" s="5" t="str">
        <f>IF(B267="", "", C267 &amp; "!" &amp; CHAR(65+MATCH(B267, params!$B$2:$R$2, 0)))</f>
        <v/>
      </c>
      <c r="E267" s="5" t="str">
        <f ca="1">IF(B267="", "", COUNTA(INDIRECT(D267 &amp; 3):INDIRECT(D267 &amp; 24)))</f>
        <v/>
      </c>
      <c r="F267" s="5" t="str">
        <f t="shared" si="10"/>
        <v/>
      </c>
      <c r="G267" s="5" t="str">
        <f>IF(F267="", "", IF(B267&lt;&gt;"", MATCH(B267, params!$B$2:$R$2, 0), G266))</f>
        <v/>
      </c>
      <c r="H267" s="5" t="str">
        <f t="shared" ca="1" si="9"/>
        <v/>
      </c>
      <c r="I267" s="2"/>
      <c r="J267" s="2"/>
      <c r="K267" s="2"/>
      <c r="L267" s="2"/>
      <c r="M267" s="2"/>
    </row>
    <row r="268" spans="1:13" ht="15.6" x14ac:dyDescent="0.3">
      <c r="A268" s="2"/>
      <c r="B268" s="5" t="str">
        <f>IF(COUNTIF(data_val!$E$3:$E$5, sample_log!$E268), sample_log!$C268 &amp; "_" &amp; sample_log!$D268, "")</f>
        <v/>
      </c>
      <c r="C268" s="5" t="str">
        <f>IF(B268="", IF(F268="", "", C267), IF(sample_log!E268="Triennial SASS", "tri_params", "params"))</f>
        <v/>
      </c>
      <c r="D268" s="5" t="str">
        <f>IF(B268="", "", C268 &amp; "!" &amp; CHAR(65+MATCH(B268, params!$B$2:$R$2, 0)))</f>
        <v/>
      </c>
      <c r="E268" s="5" t="str">
        <f ca="1">IF(B268="", "", COUNTA(INDIRECT(D268 &amp; 3):INDIRECT(D268 &amp; 24)))</f>
        <v/>
      </c>
      <c r="F268" s="5" t="str">
        <f t="shared" si="10"/>
        <v/>
      </c>
      <c r="G268" s="5" t="str">
        <f>IF(F268="", "", IF(B268&lt;&gt;"", MATCH(B268, params!$B$2:$R$2, 0), G267))</f>
        <v/>
      </c>
      <c r="H268" s="5" t="str">
        <f t="shared" ca="1" si="9"/>
        <v/>
      </c>
      <c r="I268" s="2"/>
      <c r="J268" s="2"/>
      <c r="K268" s="2"/>
      <c r="L268" s="2"/>
      <c r="M268" s="2"/>
    </row>
    <row r="269" spans="1:13" ht="15.6" x14ac:dyDescent="0.3">
      <c r="A269" s="2"/>
      <c r="B269" s="5" t="str">
        <f>IF(COUNTIF(data_val!$E$3:$E$5, sample_log!$E269), sample_log!$C269 &amp; "_" &amp; sample_log!$D269, "")</f>
        <v/>
      </c>
      <c r="C269" s="5" t="str">
        <f>IF(B269="", IF(F269="", "", C268), IF(sample_log!E269="Triennial SASS", "tri_params", "params"))</f>
        <v/>
      </c>
      <c r="D269" s="5" t="str">
        <f>IF(B269="", "", C269 &amp; "!" &amp; CHAR(65+MATCH(B269, params!$B$2:$R$2, 0)))</f>
        <v/>
      </c>
      <c r="E269" s="5" t="str">
        <f ca="1">IF(B269="", "", COUNTA(INDIRECT(D269 &amp; 3):INDIRECT(D269 &amp; 24)))</f>
        <v/>
      </c>
      <c r="F269" s="5" t="str">
        <f t="shared" si="10"/>
        <v/>
      </c>
      <c r="G269" s="5" t="str">
        <f>IF(F269="", "", IF(B269&lt;&gt;"", MATCH(B269, params!$B$2:$R$2, 0), G268))</f>
        <v/>
      </c>
      <c r="H269" s="5" t="str">
        <f t="shared" ca="1" si="9"/>
        <v/>
      </c>
      <c r="I269" s="2"/>
      <c r="J269" s="2"/>
      <c r="K269" s="2"/>
      <c r="L269" s="2"/>
      <c r="M269" s="2"/>
    </row>
    <row r="270" spans="1:13" ht="15.6" x14ac:dyDescent="0.3">
      <c r="A270" s="2"/>
      <c r="B270" s="5" t="str">
        <f>IF(COUNTIF(data_val!$E$3:$E$5, sample_log!$E270), sample_log!$C270 &amp; "_" &amp; sample_log!$D270, "")</f>
        <v/>
      </c>
      <c r="C270" s="5" t="str">
        <f>IF(B270="", IF(F270="", "", C269), IF(sample_log!E270="Triennial SASS", "tri_params", "params"))</f>
        <v/>
      </c>
      <c r="D270" s="5" t="str">
        <f>IF(B270="", "", C270 &amp; "!" &amp; CHAR(65+MATCH(B270, params!$B$2:$R$2, 0)))</f>
        <v/>
      </c>
      <c r="E270" s="5" t="str">
        <f ca="1">IF(B270="", "", COUNTA(INDIRECT(D270 &amp; 3):INDIRECT(D270 &amp; 24)))</f>
        <v/>
      </c>
      <c r="F270" s="5" t="str">
        <f t="shared" si="10"/>
        <v/>
      </c>
      <c r="G270" s="5" t="str">
        <f>IF(F270="", "", IF(B270&lt;&gt;"", MATCH(B270, params!$B$2:$R$2, 0), G269))</f>
        <v/>
      </c>
      <c r="H270" s="5" t="str">
        <f t="shared" ca="1" si="9"/>
        <v/>
      </c>
      <c r="I270" s="2"/>
      <c r="J270" s="2"/>
      <c r="K270" s="2"/>
      <c r="L270" s="2"/>
      <c r="M270" s="2"/>
    </row>
    <row r="271" spans="1:13" ht="15.6" x14ac:dyDescent="0.3">
      <c r="A271" s="2"/>
      <c r="B271" s="5" t="str">
        <f>IF(COUNTIF(data_val!$E$3:$E$5, sample_log!$E271), sample_log!$C271 &amp; "_" &amp; sample_log!$D271, "")</f>
        <v/>
      </c>
      <c r="C271" s="5" t="str">
        <f>IF(B271="", IF(F271="", "", C270), IF(sample_log!E271="Triennial SASS", "tri_params", "params"))</f>
        <v/>
      </c>
      <c r="D271" s="5" t="str">
        <f>IF(B271="", "", C271 &amp; "!" &amp; CHAR(65+MATCH(B271, params!$B$2:$R$2, 0)))</f>
        <v/>
      </c>
      <c r="E271" s="5" t="str">
        <f ca="1">IF(B271="", "", COUNTA(INDIRECT(D271 &amp; 3):INDIRECT(D271 &amp; 24)))</f>
        <v/>
      </c>
      <c r="F271" s="5" t="str">
        <f t="shared" si="10"/>
        <v/>
      </c>
      <c r="G271" s="5" t="str">
        <f>IF(F271="", "", IF(B271&lt;&gt;"", MATCH(B271, params!$B$2:$R$2, 0), G270))</f>
        <v/>
      </c>
      <c r="H271" s="5" t="str">
        <f t="shared" ca="1" si="9"/>
        <v/>
      </c>
      <c r="I271" s="2"/>
      <c r="J271" s="2"/>
      <c r="K271" s="2"/>
      <c r="L271" s="2"/>
      <c r="M271" s="2"/>
    </row>
    <row r="272" spans="1:13" ht="15.6" x14ac:dyDescent="0.3">
      <c r="A272" s="2"/>
      <c r="B272" s="5" t="str">
        <f>IF(COUNTIF(data_val!$E$3:$E$5, sample_log!$E272), sample_log!$C272 &amp; "_" &amp; sample_log!$D272, "")</f>
        <v/>
      </c>
      <c r="C272" s="5" t="str">
        <f>IF(B272="", IF(F272="", "", C271), IF(sample_log!E272="Triennial SASS", "tri_params", "params"))</f>
        <v/>
      </c>
      <c r="D272" s="5" t="str">
        <f>IF(B272="", "", C272 &amp; "!" &amp; CHAR(65+MATCH(B272, params!$B$2:$R$2, 0)))</f>
        <v/>
      </c>
      <c r="E272" s="5" t="str">
        <f ca="1">IF(B272="", "", COUNTA(INDIRECT(D272 &amp; 3):INDIRECT(D272 &amp; 24)))</f>
        <v/>
      </c>
      <c r="F272" s="5" t="str">
        <f t="shared" si="10"/>
        <v/>
      </c>
      <c r="G272" s="5" t="str">
        <f>IF(F272="", "", IF(B272&lt;&gt;"", MATCH(B272, params!$B$2:$R$2, 0), G271))</f>
        <v/>
      </c>
      <c r="H272" s="5" t="str">
        <f t="shared" ca="1" si="9"/>
        <v/>
      </c>
      <c r="I272" s="2"/>
      <c r="J272" s="2"/>
      <c r="K272" s="2"/>
      <c r="L272" s="2"/>
      <c r="M272" s="2"/>
    </row>
    <row r="273" spans="1:13" ht="15.6" x14ac:dyDescent="0.3">
      <c r="A273" s="2"/>
      <c r="B273" s="5" t="str">
        <f>IF(COUNTIF(data_val!$E$3:$E$5, sample_log!$E273), sample_log!$C273 &amp; "_" &amp; sample_log!$D273, "")</f>
        <v/>
      </c>
      <c r="C273" s="5" t="str">
        <f>IF(B273="", IF(F273="", "", C272), IF(sample_log!E273="Triennial SASS", "tri_params", "params"))</f>
        <v/>
      </c>
      <c r="D273" s="5" t="str">
        <f>IF(B273="", "", C273 &amp; "!" &amp; CHAR(65+MATCH(B273, params!$B$2:$R$2, 0)))</f>
        <v/>
      </c>
      <c r="E273" s="5" t="str">
        <f ca="1">IF(B273="", "", COUNTA(INDIRECT(D273 &amp; 3):INDIRECT(D273 &amp; 24)))</f>
        <v/>
      </c>
      <c r="F273" s="5" t="str">
        <f t="shared" si="10"/>
        <v/>
      </c>
      <c r="G273" s="5" t="str">
        <f>IF(F273="", "", IF(B273&lt;&gt;"", MATCH(B273, params!$B$2:$R$2, 0), G272))</f>
        <v/>
      </c>
      <c r="H273" s="5" t="str">
        <f t="shared" ca="1" si="9"/>
        <v/>
      </c>
      <c r="I273" s="2"/>
      <c r="J273" s="2"/>
      <c r="K273" s="2"/>
      <c r="L273" s="2"/>
      <c r="M273" s="2"/>
    </row>
    <row r="274" spans="1:13" ht="15.6" x14ac:dyDescent="0.3">
      <c r="A274" s="2"/>
      <c r="B274" s="5" t="str">
        <f>IF(COUNTIF(data_val!$E$3:$E$5, sample_log!$E274), sample_log!$C274 &amp; "_" &amp; sample_log!$D274, "")</f>
        <v/>
      </c>
      <c r="C274" s="5" t="str">
        <f>IF(B274="", IF(F274="", "", C273), IF(sample_log!E274="Triennial SASS", "tri_params", "params"))</f>
        <v/>
      </c>
      <c r="D274" s="5" t="str">
        <f>IF(B274="", "", C274 &amp; "!" &amp; CHAR(65+MATCH(B274, params!$B$2:$R$2, 0)))</f>
        <v/>
      </c>
      <c r="E274" s="5" t="str">
        <f ca="1">IF(B274="", "", COUNTA(INDIRECT(D274 &amp; 3):INDIRECT(D274 &amp; 24)))</f>
        <v/>
      </c>
      <c r="F274" s="5" t="str">
        <f t="shared" si="10"/>
        <v/>
      </c>
      <c r="G274" s="5" t="str">
        <f>IF(F274="", "", IF(B274&lt;&gt;"", MATCH(B274, params!$B$2:$R$2, 0), G273))</f>
        <v/>
      </c>
      <c r="H274" s="5" t="str">
        <f t="shared" ca="1" si="9"/>
        <v/>
      </c>
      <c r="I274" s="2"/>
      <c r="J274" s="2"/>
      <c r="K274" s="2"/>
      <c r="L274" s="2"/>
      <c r="M274" s="2"/>
    </row>
    <row r="275" spans="1:13" ht="15.6" x14ac:dyDescent="0.3">
      <c r="A275" s="2"/>
      <c r="B275" s="5" t="str">
        <f>IF(COUNTIF(data_val!$E$3:$E$5, sample_log!$E275), sample_log!$C275 &amp; "_" &amp; sample_log!$D275, "")</f>
        <v/>
      </c>
      <c r="C275" s="5" t="str">
        <f>IF(B275="", IF(F275="", "", C274), IF(sample_log!E275="Triennial SASS", "tri_params", "params"))</f>
        <v/>
      </c>
      <c r="D275" s="5" t="str">
        <f>IF(B275="", "", C275 &amp; "!" &amp; CHAR(65+MATCH(B275, params!$B$2:$R$2, 0)))</f>
        <v/>
      </c>
      <c r="E275" s="5" t="str">
        <f ca="1">IF(B275="", "", COUNTA(INDIRECT(D275 &amp; 3):INDIRECT(D275 &amp; 24)))</f>
        <v/>
      </c>
      <c r="F275" s="5" t="str">
        <f t="shared" si="10"/>
        <v/>
      </c>
      <c r="G275" s="5" t="str">
        <f>IF(F275="", "", IF(B275&lt;&gt;"", MATCH(B275, params!$B$2:$R$2, 0), G274))</f>
        <v/>
      </c>
      <c r="H275" s="5" t="str">
        <f t="shared" ca="1" si="9"/>
        <v/>
      </c>
      <c r="I275" s="2"/>
      <c r="J275" s="2"/>
      <c r="K275" s="2"/>
      <c r="L275" s="2"/>
      <c r="M275" s="2"/>
    </row>
    <row r="276" spans="1:13" ht="15.6" x14ac:dyDescent="0.3">
      <c r="A276" s="2"/>
      <c r="B276" s="5" t="str">
        <f>IF(COUNTIF(data_val!$E$3:$E$5, sample_log!$E276), sample_log!$C276 &amp; "_" &amp; sample_log!$D276, "")</f>
        <v/>
      </c>
      <c r="C276" s="5" t="str">
        <f>IF(B276="", IF(F276="", "", C275), IF(sample_log!E276="Triennial SASS", "tri_params", "params"))</f>
        <v/>
      </c>
      <c r="D276" s="5" t="str">
        <f>IF(B276="", "", C276 &amp; "!" &amp; CHAR(65+MATCH(B276, params!$B$2:$R$2, 0)))</f>
        <v/>
      </c>
      <c r="E276" s="5" t="str">
        <f ca="1">IF(B276="", "", COUNTA(INDIRECT(D276 &amp; 3):INDIRECT(D276 &amp; 24)))</f>
        <v/>
      </c>
      <c r="F276" s="5" t="str">
        <f t="shared" si="10"/>
        <v/>
      </c>
      <c r="G276" s="5" t="str">
        <f>IF(F276="", "", IF(B276&lt;&gt;"", MATCH(B276, params!$B$2:$R$2, 0), G275))</f>
        <v/>
      </c>
      <c r="H276" s="5" t="str">
        <f t="shared" ca="1" si="9"/>
        <v/>
      </c>
      <c r="I276" s="2"/>
      <c r="J276" s="2"/>
      <c r="K276" s="2"/>
      <c r="L276" s="2"/>
      <c r="M276" s="2"/>
    </row>
    <row r="277" spans="1:13" ht="15.6" x14ac:dyDescent="0.3">
      <c r="A277" s="2"/>
      <c r="B277" s="5" t="str">
        <f>IF(COUNTIF(data_val!$E$3:$E$5, sample_log!$E277), sample_log!$C277 &amp; "_" &amp; sample_log!$D277, "")</f>
        <v/>
      </c>
      <c r="C277" s="5" t="str">
        <f>IF(B277="", IF(F277="", "", C276), IF(sample_log!E277="Triennial SASS", "tri_params", "params"))</f>
        <v/>
      </c>
      <c r="D277" s="5" t="str">
        <f>IF(B277="", "", C277 &amp; "!" &amp; CHAR(65+MATCH(B277, params!$B$2:$R$2, 0)))</f>
        <v/>
      </c>
      <c r="E277" s="5" t="str">
        <f ca="1">IF(B277="", "", COUNTA(INDIRECT(D277 &amp; 3):INDIRECT(D277 &amp; 24)))</f>
        <v/>
      </c>
      <c r="F277" s="5" t="str">
        <f t="shared" si="10"/>
        <v/>
      </c>
      <c r="G277" s="5" t="str">
        <f>IF(F277="", "", IF(B277&lt;&gt;"", MATCH(B277, params!$B$2:$R$2, 0), G276))</f>
        <v/>
      </c>
      <c r="H277" s="5" t="str">
        <f t="shared" ca="1" si="9"/>
        <v/>
      </c>
      <c r="I277" s="2"/>
      <c r="J277" s="2"/>
      <c r="K277" s="2"/>
      <c r="L277" s="2"/>
      <c r="M277" s="2"/>
    </row>
    <row r="278" spans="1:13" ht="15.6" x14ac:dyDescent="0.3">
      <c r="A278" s="2"/>
      <c r="B278" s="5" t="str">
        <f>IF(COUNTIF(data_val!$E$3:$E$5, sample_log!$E278), sample_log!$C278 &amp; "_" &amp; sample_log!$D278, "")</f>
        <v/>
      </c>
      <c r="C278" s="5" t="str">
        <f>IF(B278="", IF(F278="", "", C277), IF(sample_log!E278="Triennial SASS", "tri_params", "params"))</f>
        <v/>
      </c>
      <c r="D278" s="5" t="str">
        <f>IF(B278="", "", C278 &amp; "!" &amp; CHAR(65+MATCH(B278, params!$B$2:$R$2, 0)))</f>
        <v/>
      </c>
      <c r="E278" s="5" t="str">
        <f ca="1">IF(B278="", "", COUNTA(INDIRECT(D278 &amp; 3):INDIRECT(D278 &amp; 24)))</f>
        <v/>
      </c>
      <c r="F278" s="5" t="str">
        <f t="shared" si="10"/>
        <v/>
      </c>
      <c r="G278" s="5" t="str">
        <f>IF(F278="", "", IF(B278&lt;&gt;"", MATCH(B278, params!$B$2:$R$2, 0), G277))</f>
        <v/>
      </c>
      <c r="H278" s="5" t="str">
        <f t="shared" ca="1" si="9"/>
        <v/>
      </c>
      <c r="I278" s="2"/>
      <c r="J278" s="2"/>
      <c r="K278" s="2"/>
      <c r="L278" s="2"/>
      <c r="M278" s="2"/>
    </row>
    <row r="279" spans="1:13" ht="15.6" x14ac:dyDescent="0.3">
      <c r="A279" s="2"/>
      <c r="B279" s="5" t="str">
        <f>IF(COUNTIF(data_val!$E$3:$E$5, sample_log!$E279), sample_log!$C279 &amp; "_" &amp; sample_log!$D279, "")</f>
        <v/>
      </c>
      <c r="C279" s="5" t="str">
        <f>IF(B279="", IF(F279="", "", C278), IF(sample_log!E279="Triennial SASS", "tri_params", "params"))</f>
        <v/>
      </c>
      <c r="D279" s="5" t="str">
        <f>IF(B279="", "", C279 &amp; "!" &amp; CHAR(65+MATCH(B279, params!$B$2:$R$2, 0)))</f>
        <v/>
      </c>
      <c r="E279" s="5" t="str">
        <f ca="1">IF(B279="", "", COUNTA(INDIRECT(D279 &amp; 3):INDIRECT(D279 &amp; 24)))</f>
        <v/>
      </c>
      <c r="F279" s="5" t="str">
        <f t="shared" si="10"/>
        <v/>
      </c>
      <c r="G279" s="5" t="str">
        <f>IF(F279="", "", IF(B279&lt;&gt;"", MATCH(B279, params!$B$2:$R$2, 0), G278))</f>
        <v/>
      </c>
      <c r="H279" s="5" t="str">
        <f t="shared" ca="1" si="9"/>
        <v/>
      </c>
      <c r="I279" s="2"/>
      <c r="J279" s="2"/>
      <c r="K279" s="2"/>
      <c r="L279" s="2"/>
      <c r="M279" s="2"/>
    </row>
    <row r="280" spans="1:13" ht="15.6" x14ac:dyDescent="0.3">
      <c r="A280" s="2"/>
      <c r="B280" s="5" t="str">
        <f>IF(COUNTIF(data_val!$E$3:$E$5, sample_log!$E280), sample_log!$C280 &amp; "_" &amp; sample_log!$D280, "")</f>
        <v/>
      </c>
      <c r="C280" s="5" t="str">
        <f>IF(B280="", IF(F280="", "", C279), IF(sample_log!E280="Triennial SASS", "tri_params", "params"))</f>
        <v/>
      </c>
      <c r="D280" s="5" t="str">
        <f>IF(B280="", "", C280 &amp; "!" &amp; CHAR(65+MATCH(B280, params!$B$2:$R$2, 0)))</f>
        <v/>
      </c>
      <c r="E280" s="5" t="str">
        <f ca="1">IF(B280="", "", COUNTA(INDIRECT(D280 &amp; 3):INDIRECT(D280 &amp; 24)))</f>
        <v/>
      </c>
      <c r="F280" s="5" t="str">
        <f t="shared" si="10"/>
        <v/>
      </c>
      <c r="G280" s="5" t="str">
        <f>IF(F280="", "", IF(B280&lt;&gt;"", MATCH(B280, params!$B$2:$R$2, 0), G279))</f>
        <v/>
      </c>
      <c r="H280" s="5" t="str">
        <f t="shared" ca="1" si="9"/>
        <v/>
      </c>
      <c r="I280" s="2"/>
      <c r="J280" s="2"/>
      <c r="K280" s="2"/>
      <c r="L280" s="2"/>
      <c r="M280" s="2"/>
    </row>
    <row r="281" spans="1:13" ht="15.6" x14ac:dyDescent="0.3">
      <c r="A281" s="2"/>
      <c r="B281" s="5" t="str">
        <f>IF(COUNTIF(data_val!$E$3:$E$5, sample_log!$E281), sample_log!$C281 &amp; "_" &amp; sample_log!$D281, "")</f>
        <v/>
      </c>
      <c r="C281" s="5" t="str">
        <f>IF(B281="", IF(F281="", "", C280), IF(sample_log!E281="Triennial SASS", "tri_params", "params"))</f>
        <v/>
      </c>
      <c r="D281" s="5" t="str">
        <f>IF(B281="", "", C281 &amp; "!" &amp; CHAR(65+MATCH(B281, params!$B$2:$R$2, 0)))</f>
        <v/>
      </c>
      <c r="E281" s="5" t="str">
        <f ca="1">IF(B281="", "", COUNTA(INDIRECT(D281 &amp; 3):INDIRECT(D281 &amp; 24)))</f>
        <v/>
      </c>
      <c r="F281" s="5" t="str">
        <f t="shared" si="10"/>
        <v/>
      </c>
      <c r="G281" s="5" t="str">
        <f>IF(F281="", "", IF(B281&lt;&gt;"", MATCH(B281, params!$B$2:$R$2, 0), G280))</f>
        <v/>
      </c>
      <c r="H281" s="5" t="str">
        <f t="shared" ref="H281:H344" ca="1" si="11">IF($F281="", "", INDEX(INDIRECT("'" &amp; C281 &amp; "'!$B$3:$R$24"), $F281, $G281))</f>
        <v/>
      </c>
      <c r="I281" s="2"/>
      <c r="J281" s="2"/>
      <c r="K281" s="2"/>
      <c r="L281" s="2"/>
      <c r="M281" s="2"/>
    </row>
    <row r="282" spans="1:13" ht="15.6" x14ac:dyDescent="0.3">
      <c r="A282" s="2"/>
      <c r="B282" s="5" t="str">
        <f>IF(COUNTIF(data_val!$E$3:$E$5, sample_log!$E282), sample_log!$C282 &amp; "_" &amp; sample_log!$D282, "")</f>
        <v/>
      </c>
      <c r="C282" s="5" t="str">
        <f>IF(B282="", IF(F282="", "", C281), IF(sample_log!E282="Triennial SASS", "tri_params", "params"))</f>
        <v/>
      </c>
      <c r="D282" s="5" t="str">
        <f>IF(B282="", "", C282 &amp; "!" &amp; CHAR(65+MATCH(B282, params!$B$2:$R$2, 0)))</f>
        <v/>
      </c>
      <c r="E282" s="5" t="str">
        <f ca="1">IF(B282="", "", COUNTA(INDIRECT(D282 &amp; 3):INDIRECT(D282 &amp; 24)))</f>
        <v/>
      </c>
      <c r="F282" s="5" t="str">
        <f t="shared" si="10"/>
        <v/>
      </c>
      <c r="G282" s="5" t="str">
        <f>IF(F282="", "", IF(B282&lt;&gt;"", MATCH(B282, params!$B$2:$R$2, 0), G281))</f>
        <v/>
      </c>
      <c r="H282" s="5" t="str">
        <f t="shared" ca="1" si="11"/>
        <v/>
      </c>
      <c r="I282" s="2"/>
      <c r="J282" s="2"/>
      <c r="K282" s="2"/>
      <c r="L282" s="2"/>
      <c r="M282" s="2"/>
    </row>
    <row r="283" spans="1:13" ht="15.6" x14ac:dyDescent="0.3">
      <c r="A283" s="2"/>
      <c r="B283" s="5" t="str">
        <f>IF(COUNTIF(data_val!$E$3:$E$5, sample_log!$E283), sample_log!$C283 &amp; "_" &amp; sample_log!$D283, "")</f>
        <v/>
      </c>
      <c r="C283" s="5" t="str">
        <f>IF(B283="", IF(F283="", "", C282), IF(sample_log!E283="Triennial SASS", "tri_params", "params"))</f>
        <v/>
      </c>
      <c r="D283" s="5" t="str">
        <f>IF(B283="", "", C283 &amp; "!" &amp; CHAR(65+MATCH(B283, params!$B$2:$R$2, 0)))</f>
        <v/>
      </c>
      <c r="E283" s="5" t="str">
        <f ca="1">IF(B283="", "", COUNTA(INDIRECT(D283 &amp; 3):INDIRECT(D283 &amp; 24)))</f>
        <v/>
      </c>
      <c r="F283" s="5" t="str">
        <f t="shared" si="10"/>
        <v/>
      </c>
      <c r="G283" s="5" t="str">
        <f>IF(F283="", "", IF(B283&lt;&gt;"", MATCH(B283, params!$B$2:$R$2, 0), G282))</f>
        <v/>
      </c>
      <c r="H283" s="5" t="str">
        <f t="shared" ca="1" si="11"/>
        <v/>
      </c>
      <c r="I283" s="2"/>
      <c r="J283" s="2"/>
      <c r="K283" s="2"/>
      <c r="L283" s="2"/>
      <c r="M283" s="2"/>
    </row>
    <row r="284" spans="1:13" ht="15.6" x14ac:dyDescent="0.3">
      <c r="A284" s="2"/>
      <c r="B284" s="5" t="str">
        <f>IF(COUNTIF(data_val!$E$3:$E$5, sample_log!$E284), sample_log!$C284 &amp; "_" &amp; sample_log!$D284, "")</f>
        <v/>
      </c>
      <c r="C284" s="5" t="str">
        <f>IF(B284="", IF(F284="", "", C283), IF(sample_log!E284="Triennial SASS", "tri_params", "params"))</f>
        <v/>
      </c>
      <c r="D284" s="5" t="str">
        <f>IF(B284="", "", C284 &amp; "!" &amp; CHAR(65+MATCH(B284, params!$B$2:$R$2, 0)))</f>
        <v/>
      </c>
      <c r="E284" s="5" t="str">
        <f ca="1">IF(B284="", "", COUNTA(INDIRECT(D284 &amp; 3):INDIRECT(D284 &amp; 24)))</f>
        <v/>
      </c>
      <c r="F284" s="5" t="str">
        <f t="shared" si="10"/>
        <v/>
      </c>
      <c r="G284" s="5" t="str">
        <f>IF(F284="", "", IF(B284&lt;&gt;"", MATCH(B284, params!$B$2:$R$2, 0), G283))</f>
        <v/>
      </c>
      <c r="H284" s="5" t="str">
        <f t="shared" ca="1" si="11"/>
        <v/>
      </c>
      <c r="I284" s="2"/>
      <c r="J284" s="2"/>
      <c r="K284" s="2"/>
      <c r="L284" s="2"/>
      <c r="M284" s="2"/>
    </row>
    <row r="285" spans="1:13" ht="15.6" x14ac:dyDescent="0.3">
      <c r="A285" s="2"/>
      <c r="B285" s="5" t="str">
        <f>IF(COUNTIF(data_val!$E$3:$E$5, sample_log!$E285), sample_log!$C285 &amp; "_" &amp; sample_log!$D285, "")</f>
        <v/>
      </c>
      <c r="C285" s="5" t="str">
        <f>IF(B285="", IF(F285="", "", C284), IF(sample_log!E285="Triennial SASS", "tri_params", "params"))</f>
        <v/>
      </c>
      <c r="D285" s="5" t="str">
        <f>IF(B285="", "", C285 &amp; "!" &amp; CHAR(65+MATCH(B285, params!$B$2:$R$2, 0)))</f>
        <v/>
      </c>
      <c r="E285" s="5" t="str">
        <f ca="1">IF(B285="", "", COUNTA(INDIRECT(D285 &amp; 3):INDIRECT(D285 &amp; 24)))</f>
        <v/>
      </c>
      <c r="F285" s="5" t="str">
        <f t="shared" si="10"/>
        <v/>
      </c>
      <c r="G285" s="5" t="str">
        <f>IF(F285="", "", IF(B285&lt;&gt;"", MATCH(B285, params!$B$2:$R$2, 0), G284))</f>
        <v/>
      </c>
      <c r="H285" s="5" t="str">
        <f t="shared" ca="1" si="11"/>
        <v/>
      </c>
      <c r="I285" s="2"/>
      <c r="J285" s="2"/>
      <c r="K285" s="2"/>
      <c r="L285" s="2"/>
      <c r="M285" s="2"/>
    </row>
    <row r="286" spans="1:13" ht="15.6" x14ac:dyDescent="0.3">
      <c r="A286" s="2"/>
      <c r="B286" s="5" t="str">
        <f>IF(COUNTIF(data_val!$E$3:$E$5, sample_log!$E286), sample_log!$C286 &amp; "_" &amp; sample_log!$D286, "")</f>
        <v/>
      </c>
      <c r="C286" s="5" t="str">
        <f>IF(B286="", IF(F286="", "", C285), IF(sample_log!E286="Triennial SASS", "tri_params", "params"))</f>
        <v/>
      </c>
      <c r="D286" s="5" t="str">
        <f>IF(B286="", "", C286 &amp; "!" &amp; CHAR(65+MATCH(B286, params!$B$2:$R$2, 0)))</f>
        <v/>
      </c>
      <c r="E286" s="5" t="str">
        <f ca="1">IF(B286="", "", COUNTA(INDIRECT(D286 &amp; 3):INDIRECT(D286 &amp; 24)))</f>
        <v/>
      </c>
      <c r="F286" s="5" t="str">
        <f t="shared" si="10"/>
        <v/>
      </c>
      <c r="G286" s="5" t="str">
        <f>IF(F286="", "", IF(B286&lt;&gt;"", MATCH(B286, params!$B$2:$R$2, 0), G285))</f>
        <v/>
      </c>
      <c r="H286" s="5" t="str">
        <f t="shared" ca="1" si="11"/>
        <v/>
      </c>
      <c r="I286" s="2"/>
      <c r="J286" s="2"/>
      <c r="K286" s="2"/>
      <c r="L286" s="2"/>
      <c r="M286" s="2"/>
    </row>
    <row r="287" spans="1:13" ht="15.6" x14ac:dyDescent="0.3">
      <c r="A287" s="2"/>
      <c r="B287" s="5" t="str">
        <f>IF(COUNTIF(data_val!$E$3:$E$5, sample_log!$E287), sample_log!$C287 &amp; "_" &amp; sample_log!$D287, "")</f>
        <v/>
      </c>
      <c r="C287" s="5" t="str">
        <f>IF(B287="", IF(F287="", "", C286), IF(sample_log!E287="Triennial SASS", "tri_params", "params"))</f>
        <v/>
      </c>
      <c r="D287" s="5" t="str">
        <f>IF(B287="", "", C287 &amp; "!" &amp; CHAR(65+MATCH(B287, params!$B$2:$R$2, 0)))</f>
        <v/>
      </c>
      <c r="E287" s="5" t="str">
        <f ca="1">IF(B287="", "", COUNTA(INDIRECT(D287 &amp; 3):INDIRECT(D287 &amp; 24)))</f>
        <v/>
      </c>
      <c r="F287" s="5" t="str">
        <f t="shared" si="10"/>
        <v/>
      </c>
      <c r="G287" s="5" t="str">
        <f>IF(F287="", "", IF(B287&lt;&gt;"", MATCH(B287, params!$B$2:$R$2, 0), G286))</f>
        <v/>
      </c>
      <c r="H287" s="5" t="str">
        <f t="shared" ca="1" si="11"/>
        <v/>
      </c>
      <c r="I287" s="2"/>
      <c r="J287" s="2"/>
      <c r="K287" s="2"/>
      <c r="L287" s="2"/>
      <c r="M287" s="2"/>
    </row>
    <row r="288" spans="1:13" ht="15.6" x14ac:dyDescent="0.3">
      <c r="A288" s="2"/>
      <c r="B288" s="5" t="str">
        <f>IF(COUNTIF(data_val!$E$3:$E$5, sample_log!$E288), sample_log!$C288 &amp; "_" &amp; sample_log!$D288, "")</f>
        <v/>
      </c>
      <c r="C288" s="5" t="str">
        <f>IF(B288="", IF(F288="", "", C287), IF(sample_log!E288="Triennial SASS", "tri_params", "params"))</f>
        <v/>
      </c>
      <c r="D288" s="5" t="str">
        <f>IF(B288="", "", C288 &amp; "!" &amp; CHAR(65+MATCH(B288, params!$B$2:$R$2, 0)))</f>
        <v/>
      </c>
      <c r="E288" s="5" t="str">
        <f ca="1">IF(B288="", "", COUNTA(INDIRECT(D288 &amp; 3):INDIRECT(D288 &amp; 24)))</f>
        <v/>
      </c>
      <c r="F288" s="5" t="str">
        <f t="shared" si="10"/>
        <v/>
      </c>
      <c r="G288" s="5" t="str">
        <f>IF(F288="", "", IF(B288&lt;&gt;"", MATCH(B288, params!$B$2:$R$2, 0), G287))</f>
        <v/>
      </c>
      <c r="H288" s="5" t="str">
        <f t="shared" ca="1" si="11"/>
        <v/>
      </c>
      <c r="I288" s="2"/>
      <c r="J288" s="2"/>
      <c r="K288" s="2"/>
      <c r="L288" s="2"/>
      <c r="M288" s="2"/>
    </row>
    <row r="289" spans="1:13" ht="15.6" x14ac:dyDescent="0.3">
      <c r="A289" s="2"/>
      <c r="B289" s="5" t="str">
        <f>IF(COUNTIF(data_val!$E$3:$E$5, sample_log!$E289), sample_log!$C289 &amp; "_" &amp; sample_log!$D289, "")</f>
        <v/>
      </c>
      <c r="C289" s="5" t="str">
        <f>IF(B289="", IF(F289="", "", C288), IF(sample_log!E289="Triennial SASS", "tri_params", "params"))</f>
        <v/>
      </c>
      <c r="D289" s="5" t="str">
        <f>IF(B289="", "", C289 &amp; "!" &amp; CHAR(65+MATCH(B289, params!$B$2:$R$2, 0)))</f>
        <v/>
      </c>
      <c r="E289" s="5" t="str">
        <f ca="1">IF(B289="", "", COUNTA(INDIRECT(D289 &amp; 3):INDIRECT(D289 &amp; 24)))</f>
        <v/>
      </c>
      <c r="F289" s="5" t="str">
        <f t="shared" si="10"/>
        <v/>
      </c>
      <c r="G289" s="5" t="str">
        <f>IF(F289="", "", IF(B289&lt;&gt;"", MATCH(B289, params!$B$2:$R$2, 0), G288))</f>
        <v/>
      </c>
      <c r="H289" s="5" t="str">
        <f t="shared" ca="1" si="11"/>
        <v/>
      </c>
      <c r="I289" s="2"/>
      <c r="J289" s="2"/>
      <c r="K289" s="2"/>
      <c r="L289" s="2"/>
      <c r="M289" s="2"/>
    </row>
    <row r="290" spans="1:13" ht="15.6" x14ac:dyDescent="0.3">
      <c r="A290" s="2"/>
      <c r="B290" s="5" t="str">
        <f>IF(COUNTIF(data_val!$E$3:$E$5, sample_log!$E290), sample_log!$C290 &amp; "_" &amp; sample_log!$D290, "")</f>
        <v/>
      </c>
      <c r="C290" s="5" t="str">
        <f>IF(B290="", IF(F290="", "", C289), IF(sample_log!E290="Triennial SASS", "tri_params", "params"))</f>
        <v/>
      </c>
      <c r="D290" s="5" t="str">
        <f>IF(B290="", "", C290 &amp; "!" &amp; CHAR(65+MATCH(B290, params!$B$2:$R$2, 0)))</f>
        <v/>
      </c>
      <c r="E290" s="5" t="str">
        <f ca="1">IF(B290="", "", COUNTA(INDIRECT(D290 &amp; 3):INDIRECT(D290 &amp; 24)))</f>
        <v/>
      </c>
      <c r="F290" s="5" t="str">
        <f t="shared" si="10"/>
        <v/>
      </c>
      <c r="G290" s="5" t="str">
        <f>IF(F290="", "", IF(B290&lt;&gt;"", MATCH(B290, params!$B$2:$R$2, 0), G289))</f>
        <v/>
      </c>
      <c r="H290" s="5" t="str">
        <f t="shared" ca="1" si="11"/>
        <v/>
      </c>
      <c r="I290" s="2"/>
      <c r="J290" s="2"/>
      <c r="K290" s="2"/>
      <c r="L290" s="2"/>
      <c r="M290" s="2"/>
    </row>
    <row r="291" spans="1:13" ht="15.6" x14ac:dyDescent="0.3">
      <c r="A291" s="2"/>
      <c r="B291" s="5" t="str">
        <f>IF(COUNTIF(data_val!$E$3:$E$5, sample_log!$E291), sample_log!$C291 &amp; "_" &amp; sample_log!$D291, "")</f>
        <v/>
      </c>
      <c r="C291" s="5" t="str">
        <f>IF(B291="", IF(F291="", "", C290), IF(sample_log!E291="Triennial SASS", "tri_params", "params"))</f>
        <v/>
      </c>
      <c r="D291" s="5" t="str">
        <f>IF(B291="", "", C291 &amp; "!" &amp; CHAR(65+MATCH(B291, params!$B$2:$R$2, 0)))</f>
        <v/>
      </c>
      <c r="E291" s="5" t="str">
        <f ca="1">IF(B291="", "", COUNTA(INDIRECT(D291 &amp; 3):INDIRECT(D291 &amp; 24)))</f>
        <v/>
      </c>
      <c r="F291" s="5" t="str">
        <f t="shared" si="10"/>
        <v/>
      </c>
      <c r="G291" s="5" t="str">
        <f>IF(F291="", "", IF(B291&lt;&gt;"", MATCH(B291, params!$B$2:$R$2, 0), G290))</f>
        <v/>
      </c>
      <c r="H291" s="5" t="str">
        <f t="shared" ca="1" si="11"/>
        <v/>
      </c>
      <c r="I291" s="2"/>
      <c r="J291" s="2"/>
      <c r="K291" s="2"/>
      <c r="L291" s="2"/>
      <c r="M291" s="2"/>
    </row>
    <row r="292" spans="1:13" ht="15.6" x14ac:dyDescent="0.3">
      <c r="A292" s="2"/>
      <c r="B292" s="5" t="str">
        <f>IF(COUNTIF(data_val!$E$3:$E$5, sample_log!$E292), sample_log!$C292 &amp; "_" &amp; sample_log!$D292, "")</f>
        <v/>
      </c>
      <c r="C292" s="5" t="str">
        <f>IF(B292="", IF(F292="", "", C291), IF(sample_log!E292="Triennial SASS", "tri_params", "params"))</f>
        <v/>
      </c>
      <c r="D292" s="5" t="str">
        <f>IF(B292="", "", C292 &amp; "!" &amp; CHAR(65+MATCH(B292, params!$B$2:$R$2, 0)))</f>
        <v/>
      </c>
      <c r="E292" s="5" t="str">
        <f ca="1">IF(B292="", "", COUNTA(INDIRECT(D292 &amp; 3):INDIRECT(D292 &amp; 24)))</f>
        <v/>
      </c>
      <c r="F292" s="5" t="str">
        <f t="shared" si="10"/>
        <v/>
      </c>
      <c r="G292" s="5" t="str">
        <f>IF(F292="", "", IF(B292&lt;&gt;"", MATCH(B292, params!$B$2:$R$2, 0), G291))</f>
        <v/>
      </c>
      <c r="H292" s="5" t="str">
        <f t="shared" ca="1" si="11"/>
        <v/>
      </c>
      <c r="I292" s="2"/>
      <c r="J292" s="2"/>
      <c r="K292" s="2"/>
      <c r="L292" s="2"/>
      <c r="M292" s="2"/>
    </row>
    <row r="293" spans="1:13" ht="15.6" x14ac:dyDescent="0.3">
      <c r="A293" s="2"/>
      <c r="B293" s="5" t="str">
        <f>IF(COUNTIF(data_val!$E$3:$E$5, sample_log!$E293), sample_log!$C293 &amp; "_" &amp; sample_log!$D293, "")</f>
        <v/>
      </c>
      <c r="C293" s="5" t="str">
        <f>IF(B293="", IF(F293="", "", C292), IF(sample_log!E293="Triennial SASS", "tri_params", "params"))</f>
        <v/>
      </c>
      <c r="D293" s="5" t="str">
        <f>IF(B293="", "", C293 &amp; "!" &amp; CHAR(65+MATCH(B293, params!$B$2:$R$2, 0)))</f>
        <v/>
      </c>
      <c r="E293" s="5" t="str">
        <f ca="1">IF(B293="", "", COUNTA(INDIRECT(D293 &amp; 3):INDIRECT(D293 &amp; 24)))</f>
        <v/>
      </c>
      <c r="F293" s="5" t="str">
        <f t="shared" si="10"/>
        <v/>
      </c>
      <c r="G293" s="5" t="str">
        <f>IF(F293="", "", IF(B293&lt;&gt;"", MATCH(B293, params!$B$2:$R$2, 0), G292))</f>
        <v/>
      </c>
      <c r="H293" s="5" t="str">
        <f t="shared" ca="1" si="11"/>
        <v/>
      </c>
      <c r="I293" s="2"/>
      <c r="J293" s="2"/>
      <c r="K293" s="2"/>
      <c r="L293" s="2"/>
      <c r="M293" s="2"/>
    </row>
    <row r="294" spans="1:13" ht="15.6" x14ac:dyDescent="0.3">
      <c r="A294" s="2"/>
      <c r="B294" s="5" t="str">
        <f>IF(COUNTIF(data_val!$E$3:$E$5, sample_log!$E294), sample_log!$C294 &amp; "_" &amp; sample_log!$D294, "")</f>
        <v/>
      </c>
      <c r="C294" s="5" t="str">
        <f>IF(B294="", IF(F294="", "", C293), IF(sample_log!E294="Triennial SASS", "tri_params", "params"))</f>
        <v/>
      </c>
      <c r="D294" s="5" t="str">
        <f>IF(B294="", "", C294 &amp; "!" &amp; CHAR(65+MATCH(B294, params!$B$2:$R$2, 0)))</f>
        <v/>
      </c>
      <c r="E294" s="5" t="str">
        <f ca="1">IF(B294="", "", COUNTA(INDIRECT(D294 &amp; 3):INDIRECT(D294 &amp; 24)))</f>
        <v/>
      </c>
      <c r="F294" s="5" t="str">
        <f t="shared" si="10"/>
        <v/>
      </c>
      <c r="G294" s="5" t="str">
        <f>IF(F294="", "", IF(B294&lt;&gt;"", MATCH(B294, params!$B$2:$R$2, 0), G293))</f>
        <v/>
      </c>
      <c r="H294" s="5" t="str">
        <f t="shared" ca="1" si="11"/>
        <v/>
      </c>
      <c r="I294" s="2"/>
      <c r="J294" s="2"/>
      <c r="K294" s="2"/>
      <c r="L294" s="2"/>
      <c r="M294" s="2"/>
    </row>
    <row r="295" spans="1:13" ht="15.6" x14ac:dyDescent="0.3">
      <c r="A295" s="2"/>
      <c r="B295" s="5" t="str">
        <f>IF(COUNTIF(data_val!$E$3:$E$5, sample_log!$E295), sample_log!$C295 &amp; "_" &amp; sample_log!$D295, "")</f>
        <v/>
      </c>
      <c r="C295" s="5" t="str">
        <f>IF(B295="", IF(F295="", "", C294), IF(sample_log!E295="Triennial SASS", "tri_params", "params"))</f>
        <v/>
      </c>
      <c r="D295" s="5" t="str">
        <f>IF(B295="", "", C295 &amp; "!" &amp; CHAR(65+MATCH(B295, params!$B$2:$R$2, 0)))</f>
        <v/>
      </c>
      <c r="E295" s="5" t="str">
        <f ca="1">IF(B295="", "", COUNTA(INDIRECT(D295 &amp; 3):INDIRECT(D295 &amp; 24)))</f>
        <v/>
      </c>
      <c r="F295" s="5" t="str">
        <f t="shared" si="10"/>
        <v/>
      </c>
      <c r="G295" s="5" t="str">
        <f>IF(F295="", "", IF(B295&lt;&gt;"", MATCH(B295, params!$B$2:$R$2, 0), G294))</f>
        <v/>
      </c>
      <c r="H295" s="5" t="str">
        <f t="shared" ca="1" si="11"/>
        <v/>
      </c>
      <c r="I295" s="2"/>
      <c r="J295" s="2"/>
      <c r="K295" s="2"/>
      <c r="L295" s="2"/>
      <c r="M295" s="2"/>
    </row>
    <row r="296" spans="1:13" ht="15.6" x14ac:dyDescent="0.3">
      <c r="A296" s="2"/>
      <c r="B296" s="5" t="str">
        <f>IF(COUNTIF(data_val!$E$3:$E$5, sample_log!$E296), sample_log!$C296 &amp; "_" &amp; sample_log!$D296, "")</f>
        <v/>
      </c>
      <c r="C296" s="5" t="str">
        <f>IF(B296="", IF(F296="", "", C295), IF(sample_log!E296="Triennial SASS", "tri_params", "params"))</f>
        <v/>
      </c>
      <c r="D296" s="5" t="str">
        <f>IF(B296="", "", C296 &amp; "!" &amp; CHAR(65+MATCH(B296, params!$B$2:$R$2, 0)))</f>
        <v/>
      </c>
      <c r="E296" s="5" t="str">
        <f ca="1">IF(B296="", "", COUNTA(INDIRECT(D296 &amp; 3):INDIRECT(D296 &amp; 24)))</f>
        <v/>
      </c>
      <c r="F296" s="5" t="str">
        <f t="shared" si="10"/>
        <v/>
      </c>
      <c r="G296" s="5" t="str">
        <f>IF(F296="", "", IF(B296&lt;&gt;"", MATCH(B296, params!$B$2:$R$2, 0), G295))</f>
        <v/>
      </c>
      <c r="H296" s="5" t="str">
        <f t="shared" ca="1" si="11"/>
        <v/>
      </c>
      <c r="I296" s="2"/>
      <c r="J296" s="2"/>
      <c r="K296" s="2"/>
      <c r="L296" s="2"/>
      <c r="M296" s="2"/>
    </row>
    <row r="297" spans="1:13" ht="15.6" x14ac:dyDescent="0.3">
      <c r="A297" s="2"/>
      <c r="B297" s="5" t="str">
        <f>IF(COUNTIF(data_val!$E$3:$E$5, sample_log!$E297), sample_log!$C297 &amp; "_" &amp; sample_log!$D297, "")</f>
        <v/>
      </c>
      <c r="C297" s="5" t="str">
        <f>IF(B297="", IF(F297="", "", C296), IF(sample_log!E297="Triennial SASS", "tri_params", "params"))</f>
        <v/>
      </c>
      <c r="D297" s="5" t="str">
        <f>IF(B297="", "", C297 &amp; "!" &amp; CHAR(65+MATCH(B297, params!$B$2:$R$2, 0)))</f>
        <v/>
      </c>
      <c r="E297" s="5" t="str">
        <f ca="1">IF(B297="", "", COUNTA(INDIRECT(D297 &amp; 3):INDIRECT(D297 &amp; 24)))</f>
        <v/>
      </c>
      <c r="F297" s="5" t="str">
        <f t="shared" si="10"/>
        <v/>
      </c>
      <c r="G297" s="5" t="str">
        <f>IF(F297="", "", IF(B297&lt;&gt;"", MATCH(B297, params!$B$2:$R$2, 0), G296))</f>
        <v/>
      </c>
      <c r="H297" s="5" t="str">
        <f t="shared" ca="1" si="11"/>
        <v/>
      </c>
      <c r="I297" s="2"/>
      <c r="J297" s="2"/>
      <c r="K297" s="2"/>
      <c r="L297" s="2"/>
      <c r="M297" s="2"/>
    </row>
    <row r="298" spans="1:13" ht="15.6" x14ac:dyDescent="0.3">
      <c r="A298" s="2"/>
      <c r="B298" s="5" t="str">
        <f>IF(COUNTIF(data_val!$E$3:$E$5, sample_log!$E298), sample_log!$C298 &amp; "_" &amp; sample_log!$D298, "")</f>
        <v/>
      </c>
      <c r="C298" s="5" t="str">
        <f>IF(B298="", IF(F298="", "", C297), IF(sample_log!E298="Triennial SASS", "tri_params", "params"))</f>
        <v/>
      </c>
      <c r="D298" s="5" t="str">
        <f>IF(B298="", "", C298 &amp; "!" &amp; CHAR(65+MATCH(B298, params!$B$2:$R$2, 0)))</f>
        <v/>
      </c>
      <c r="E298" s="5" t="str">
        <f ca="1">IF(B298="", "", COUNTA(INDIRECT(D298 &amp; 3):INDIRECT(D298 &amp; 24)))</f>
        <v/>
      </c>
      <c r="F298" s="5" t="str">
        <f t="shared" si="10"/>
        <v/>
      </c>
      <c r="G298" s="5" t="str">
        <f>IF(F298="", "", IF(B298&lt;&gt;"", MATCH(B298, params!$B$2:$R$2, 0), G297))</f>
        <v/>
      </c>
      <c r="H298" s="5" t="str">
        <f t="shared" ca="1" si="11"/>
        <v/>
      </c>
      <c r="I298" s="2"/>
      <c r="J298" s="2"/>
      <c r="K298" s="2"/>
      <c r="L298" s="2"/>
      <c r="M298" s="2"/>
    </row>
    <row r="299" spans="1:13" ht="15.6" x14ac:dyDescent="0.3">
      <c r="A299" s="2"/>
      <c r="B299" s="5" t="str">
        <f>IF(COUNTIF(data_val!$E$3:$E$5, sample_log!$E299), sample_log!$C299 &amp; "_" &amp; sample_log!$D299, "")</f>
        <v/>
      </c>
      <c r="C299" s="5" t="str">
        <f>IF(B299="", IF(F299="", "", C298), IF(sample_log!E299="Triennial SASS", "tri_params", "params"))</f>
        <v/>
      </c>
      <c r="D299" s="5" t="str">
        <f>IF(B299="", "", C299 &amp; "!" &amp; CHAR(65+MATCH(B299, params!$B$2:$R$2, 0)))</f>
        <v/>
      </c>
      <c r="E299" s="5" t="str">
        <f ca="1">IF(B299="", "", COUNTA(INDIRECT(D299 &amp; 3):INDIRECT(D299 &amp; 24)))</f>
        <v/>
      </c>
      <c r="F299" s="5" t="str">
        <f t="shared" si="10"/>
        <v/>
      </c>
      <c r="G299" s="5" t="str">
        <f>IF(F299="", "", IF(B299&lt;&gt;"", MATCH(B299, params!$B$2:$R$2, 0), G298))</f>
        <v/>
      </c>
      <c r="H299" s="5" t="str">
        <f t="shared" ca="1" si="11"/>
        <v/>
      </c>
      <c r="I299" s="2"/>
      <c r="J299" s="2"/>
      <c r="K299" s="2"/>
      <c r="L299" s="2"/>
      <c r="M299" s="2"/>
    </row>
    <row r="300" spans="1:13" ht="15.6" x14ac:dyDescent="0.3">
      <c r="A300" s="2"/>
      <c r="B300" s="5" t="str">
        <f>IF(COUNTIF(data_val!$E$3:$E$5, sample_log!$E300), sample_log!$C300 &amp; "_" &amp; sample_log!$D300, "")</f>
        <v/>
      </c>
      <c r="C300" s="5" t="str">
        <f>IF(B300="", IF(F300="", "", C299), IF(sample_log!E300="Triennial SASS", "tri_params", "params"))</f>
        <v/>
      </c>
      <c r="D300" s="5" t="str">
        <f>IF(B300="", "", C300 &amp; "!" &amp; CHAR(65+MATCH(B300, params!$B$2:$R$2, 0)))</f>
        <v/>
      </c>
      <c r="E300" s="5" t="str">
        <f ca="1">IF(B300="", "", COUNTA(INDIRECT(D300 &amp; 3):INDIRECT(D300 &amp; 24)))</f>
        <v/>
      </c>
      <c r="F300" s="5" t="str">
        <f t="shared" si="10"/>
        <v/>
      </c>
      <c r="G300" s="5" t="str">
        <f>IF(F300="", "", IF(B300&lt;&gt;"", MATCH(B300, params!$B$2:$R$2, 0), G299))</f>
        <v/>
      </c>
      <c r="H300" s="5" t="str">
        <f t="shared" ca="1" si="11"/>
        <v/>
      </c>
      <c r="I300" s="2"/>
      <c r="J300" s="2"/>
      <c r="K300" s="2"/>
      <c r="L300" s="2"/>
      <c r="M300" s="2"/>
    </row>
    <row r="301" spans="1:13" ht="15.6" x14ac:dyDescent="0.3">
      <c r="A301" s="2"/>
      <c r="B301" s="5" t="str">
        <f>IF(COUNTIF(data_val!$E$3:$E$5, sample_log!$E301), sample_log!$C301 &amp; "_" &amp; sample_log!$D301, "")</f>
        <v/>
      </c>
      <c r="C301" s="5" t="str">
        <f>IF(B301="", IF(F301="", "", C300), IF(sample_log!E301="Triennial SASS", "tri_params", "params"))</f>
        <v/>
      </c>
      <c r="D301" s="5" t="str">
        <f>IF(B301="", "", C301 &amp; "!" &amp; CHAR(65+MATCH(B301, params!$B$2:$R$2, 0)))</f>
        <v/>
      </c>
      <c r="E301" s="5" t="str">
        <f ca="1">IF(B301="", "", COUNTA(INDIRECT(D301 &amp; 3):INDIRECT(D301 &amp; 24)))</f>
        <v/>
      </c>
      <c r="F301" s="5" t="str">
        <f t="shared" si="10"/>
        <v/>
      </c>
      <c r="G301" s="5" t="str">
        <f>IF(F301="", "", IF(B301&lt;&gt;"", MATCH(B301, params!$B$2:$R$2, 0), G300))</f>
        <v/>
      </c>
      <c r="H301" s="5" t="str">
        <f t="shared" ca="1" si="11"/>
        <v/>
      </c>
      <c r="I301" s="2"/>
      <c r="J301" s="2"/>
      <c r="K301" s="2"/>
      <c r="L301" s="2"/>
      <c r="M301" s="2"/>
    </row>
    <row r="302" spans="1:13" ht="15.6" x14ac:dyDescent="0.3">
      <c r="A302" s="2"/>
      <c r="B302" s="5" t="str">
        <f>IF(COUNTIF(data_val!$E$3:$E$5, sample_log!$E302), sample_log!$C302 &amp; "_" &amp; sample_log!$D302, "")</f>
        <v/>
      </c>
      <c r="C302" s="5" t="str">
        <f>IF(B302="", IF(F302="", "", C301), IF(sample_log!E302="Triennial SASS", "tri_params", "params"))</f>
        <v/>
      </c>
      <c r="D302" s="5" t="str">
        <f>IF(B302="", "", C302 &amp; "!" &amp; CHAR(65+MATCH(B302, params!$B$2:$R$2, 0)))</f>
        <v/>
      </c>
      <c r="E302" s="5" t="str">
        <f ca="1">IF(B302="", "", COUNTA(INDIRECT(D302 &amp; 3):INDIRECT(D302 &amp; 24)))</f>
        <v/>
      </c>
      <c r="F302" s="5" t="str">
        <f t="shared" si="10"/>
        <v/>
      </c>
      <c r="G302" s="5" t="str">
        <f>IF(F302="", "", IF(B302&lt;&gt;"", MATCH(B302, params!$B$2:$R$2, 0), G301))</f>
        <v/>
      </c>
      <c r="H302" s="5" t="str">
        <f t="shared" ca="1" si="11"/>
        <v/>
      </c>
      <c r="I302" s="2"/>
      <c r="J302" s="2"/>
      <c r="K302" s="2"/>
      <c r="L302" s="2"/>
      <c r="M302" s="2"/>
    </row>
    <row r="303" spans="1:13" ht="15.6" x14ac:dyDescent="0.3">
      <c r="A303" s="2"/>
      <c r="B303" s="5" t="str">
        <f>IF(COUNTIF(data_val!$E$3:$E$5, sample_log!$E303), sample_log!$C303 &amp; "_" &amp; sample_log!$D303, "")</f>
        <v/>
      </c>
      <c r="C303" s="5" t="str">
        <f>IF(B303="", IF(F303="", "", C302), IF(sample_log!E303="Triennial SASS", "tri_params", "params"))</f>
        <v/>
      </c>
      <c r="D303" s="5" t="str">
        <f>IF(B303="", "", C303 &amp; "!" &amp; CHAR(65+MATCH(B303, params!$B$2:$R$2, 0)))</f>
        <v/>
      </c>
      <c r="E303" s="5" t="str">
        <f ca="1">IF(B303="", "", COUNTA(INDIRECT(D303 &amp; 3):INDIRECT(D303 &amp; 24)))</f>
        <v/>
      </c>
      <c r="F303" s="5" t="str">
        <f t="shared" si="10"/>
        <v/>
      </c>
      <c r="G303" s="5" t="str">
        <f>IF(F303="", "", IF(B303&lt;&gt;"", MATCH(B303, params!$B$2:$R$2, 0), G302))</f>
        <v/>
      </c>
      <c r="H303" s="5" t="str">
        <f t="shared" ca="1" si="11"/>
        <v/>
      </c>
      <c r="I303" s="2"/>
      <c r="J303" s="2"/>
      <c r="K303" s="2"/>
      <c r="L303" s="2"/>
      <c r="M303" s="2"/>
    </row>
    <row r="304" spans="1:13" ht="15.6" x14ac:dyDescent="0.3">
      <c r="A304" s="2"/>
      <c r="B304" s="5" t="str">
        <f>IF(COUNTIF(data_val!$E$3:$E$5, sample_log!$E304), sample_log!$C304 &amp; "_" &amp; sample_log!$D304, "")</f>
        <v/>
      </c>
      <c r="C304" s="5" t="str">
        <f>IF(B304="", IF(F304="", "", C303), IF(sample_log!E304="Triennial SASS", "tri_params", "params"))</f>
        <v/>
      </c>
      <c r="D304" s="5" t="str">
        <f>IF(B304="", "", C304 &amp; "!" &amp; CHAR(65+MATCH(B304, params!$B$2:$R$2, 0)))</f>
        <v/>
      </c>
      <c r="E304" s="5" t="str">
        <f ca="1">IF(B304="", "", COUNTA(INDIRECT(D304 &amp; 3):INDIRECT(D304 &amp; 24)))</f>
        <v/>
      </c>
      <c r="F304" s="5" t="str">
        <f t="shared" si="10"/>
        <v/>
      </c>
      <c r="G304" s="5" t="str">
        <f>IF(F304="", "", IF(B304&lt;&gt;"", MATCH(B304, params!$B$2:$R$2, 0), G303))</f>
        <v/>
      </c>
      <c r="H304" s="5" t="str">
        <f t="shared" ca="1" si="11"/>
        <v/>
      </c>
      <c r="I304" s="2"/>
      <c r="J304" s="2"/>
      <c r="K304" s="2"/>
      <c r="L304" s="2"/>
      <c r="M304" s="2"/>
    </row>
    <row r="305" spans="1:13" ht="15.6" x14ac:dyDescent="0.3">
      <c r="A305" s="2"/>
      <c r="B305" s="5" t="str">
        <f>IF(COUNTIF(data_val!$E$3:$E$5, sample_log!$E305), sample_log!$C305 &amp; "_" &amp; sample_log!$D305, "")</f>
        <v/>
      </c>
      <c r="C305" s="5" t="str">
        <f>IF(B305="", IF(F305="", "", C304), IF(sample_log!E305="Triennial SASS", "tri_params", "params"))</f>
        <v/>
      </c>
      <c r="D305" s="5" t="str">
        <f>IF(B305="", "", C305 &amp; "!" &amp; CHAR(65+MATCH(B305, params!$B$2:$R$2, 0)))</f>
        <v/>
      </c>
      <c r="E305" s="5" t="str">
        <f ca="1">IF(B305="", "", COUNTA(INDIRECT(D305 &amp; 3):INDIRECT(D305 &amp; 24)))</f>
        <v/>
      </c>
      <c r="F305" s="5" t="str">
        <f t="shared" si="10"/>
        <v/>
      </c>
      <c r="G305" s="5" t="str">
        <f>IF(F305="", "", IF(B305&lt;&gt;"", MATCH(B305, params!$B$2:$R$2, 0), G304))</f>
        <v/>
      </c>
      <c r="H305" s="5" t="str">
        <f t="shared" ca="1" si="11"/>
        <v/>
      </c>
      <c r="I305" s="2"/>
      <c r="J305" s="2"/>
      <c r="K305" s="2"/>
      <c r="L305" s="2"/>
      <c r="M305" s="2"/>
    </row>
    <row r="306" spans="1:13" ht="15.6" x14ac:dyDescent="0.3">
      <c r="A306" s="2"/>
      <c r="B306" s="5" t="str">
        <f>IF(COUNTIF(data_val!$E$3:$E$5, sample_log!$E306), sample_log!$C306 &amp; "_" &amp; sample_log!$D306, "")</f>
        <v/>
      </c>
      <c r="C306" s="5" t="str">
        <f>IF(B306="", IF(F306="", "", C305), IF(sample_log!E306="Triennial SASS", "tri_params", "params"))</f>
        <v/>
      </c>
      <c r="D306" s="5" t="str">
        <f>IF(B306="", "", C306 &amp; "!" &amp; CHAR(65+MATCH(B306, params!$B$2:$R$2, 0)))</f>
        <v/>
      </c>
      <c r="E306" s="5" t="str">
        <f ca="1">IF(B306="", "", COUNTA(INDIRECT(D306 &amp; 3):INDIRECT(D306 &amp; 24)))</f>
        <v/>
      </c>
      <c r="F306" s="5" t="str">
        <f t="shared" si="10"/>
        <v/>
      </c>
      <c r="G306" s="5" t="str">
        <f>IF(F306="", "", IF(B306&lt;&gt;"", MATCH(B306, params!$B$2:$R$2, 0), G305))</f>
        <v/>
      </c>
      <c r="H306" s="5" t="str">
        <f t="shared" ca="1" si="11"/>
        <v/>
      </c>
      <c r="I306" s="2"/>
      <c r="J306" s="2"/>
      <c r="K306" s="2"/>
      <c r="L306" s="2"/>
      <c r="M306" s="2"/>
    </row>
    <row r="307" spans="1:13" ht="15.6" x14ac:dyDescent="0.3">
      <c r="A307" s="2"/>
      <c r="B307" s="5" t="str">
        <f>IF(COUNTIF(data_val!$E$3:$E$5, sample_log!$E307), sample_log!$C307 &amp; "_" &amp; sample_log!$D307, "")</f>
        <v/>
      </c>
      <c r="C307" s="5" t="str">
        <f>IF(B307="", IF(F307="", "", C306), IF(sample_log!E307="Triennial SASS", "tri_params", "params"))</f>
        <v/>
      </c>
      <c r="D307" s="5" t="str">
        <f>IF(B307="", "", C307 &amp; "!" &amp; CHAR(65+MATCH(B307, params!$B$2:$R$2, 0)))</f>
        <v/>
      </c>
      <c r="E307" s="5" t="str">
        <f ca="1">IF(B307="", "", COUNTA(INDIRECT(D307 &amp; 3):INDIRECT(D307 &amp; 24)))</f>
        <v/>
      </c>
      <c r="F307" s="5" t="str">
        <f t="shared" si="10"/>
        <v/>
      </c>
      <c r="G307" s="5" t="str">
        <f>IF(F307="", "", IF(B307&lt;&gt;"", MATCH(B307, params!$B$2:$R$2, 0), G306))</f>
        <v/>
      </c>
      <c r="H307" s="5" t="str">
        <f t="shared" ca="1" si="11"/>
        <v/>
      </c>
      <c r="I307" s="2"/>
      <c r="J307" s="2"/>
      <c r="K307" s="2"/>
      <c r="L307" s="2"/>
      <c r="M307" s="2"/>
    </row>
    <row r="308" spans="1:13" ht="15.6" x14ac:dyDescent="0.3">
      <c r="A308" s="2"/>
      <c r="B308" s="5" t="str">
        <f>IF(COUNTIF(data_val!$E$3:$E$5, sample_log!$E308), sample_log!$C308 &amp; "_" &amp; sample_log!$D308, "")</f>
        <v/>
      </c>
      <c r="C308" s="5" t="str">
        <f>IF(B308="", IF(F308="", "", C307), IF(sample_log!E308="Triennial SASS", "tri_params", "params"))</f>
        <v/>
      </c>
      <c r="D308" s="5" t="str">
        <f>IF(B308="", "", C308 &amp; "!" &amp; CHAR(65+MATCH(B308, params!$B$2:$R$2, 0)))</f>
        <v/>
      </c>
      <c r="E308" s="5" t="str">
        <f ca="1">IF(B308="", "", COUNTA(INDIRECT(D308 &amp; 3):INDIRECT(D308 &amp; 24)))</f>
        <v/>
      </c>
      <c r="F308" s="5" t="str">
        <f t="shared" si="10"/>
        <v/>
      </c>
      <c r="G308" s="5" t="str">
        <f>IF(F308="", "", IF(B308&lt;&gt;"", MATCH(B308, params!$B$2:$R$2, 0), G307))</f>
        <v/>
      </c>
      <c r="H308" s="5" t="str">
        <f t="shared" ca="1" si="11"/>
        <v/>
      </c>
      <c r="I308" s="2"/>
      <c r="J308" s="2"/>
      <c r="K308" s="2"/>
      <c r="L308" s="2"/>
      <c r="M308" s="2"/>
    </row>
    <row r="309" spans="1:13" ht="15.6" x14ac:dyDescent="0.3">
      <c r="A309" s="2"/>
      <c r="B309" s="5" t="str">
        <f>IF(COUNTIF(data_val!$E$3:$E$5, sample_log!$E309), sample_log!$C309 &amp; "_" &amp; sample_log!$D309, "")</f>
        <v/>
      </c>
      <c r="C309" s="5" t="str">
        <f>IF(B309="", IF(F309="", "", C308), IF(sample_log!E309="Triennial SASS", "tri_params", "params"))</f>
        <v/>
      </c>
      <c r="D309" s="5" t="str">
        <f>IF(B309="", "", C309 &amp; "!" &amp; CHAR(65+MATCH(B309, params!$B$2:$R$2, 0)))</f>
        <v/>
      </c>
      <c r="E309" s="5" t="str">
        <f ca="1">IF(B309="", "", COUNTA(INDIRECT(D309 &amp; 3):INDIRECT(D309 &amp; 24)))</f>
        <v/>
      </c>
      <c r="F309" s="5" t="str">
        <f t="shared" si="10"/>
        <v/>
      </c>
      <c r="G309" s="5" t="str">
        <f>IF(F309="", "", IF(B309&lt;&gt;"", MATCH(B309, params!$B$2:$R$2, 0), G308))</f>
        <v/>
      </c>
      <c r="H309" s="5" t="str">
        <f t="shared" ca="1" si="11"/>
        <v/>
      </c>
      <c r="I309" s="2"/>
      <c r="J309" s="2"/>
      <c r="K309" s="2"/>
      <c r="L309" s="2"/>
      <c r="M309" s="2"/>
    </row>
    <row r="310" spans="1:13" ht="15.6" x14ac:dyDescent="0.3">
      <c r="A310" s="2"/>
      <c r="B310" s="5" t="str">
        <f>IF(COUNTIF(data_val!$E$3:$E$5, sample_log!$E310), sample_log!$C310 &amp; "_" &amp; sample_log!$D310, "")</f>
        <v/>
      </c>
      <c r="C310" s="5" t="str">
        <f>IF(B310="", IF(F310="", "", C309), IF(sample_log!E310="Triennial SASS", "tri_params", "params"))</f>
        <v/>
      </c>
      <c r="D310" s="5" t="str">
        <f>IF(B310="", "", C310 &amp; "!" &amp; CHAR(65+MATCH(B310, params!$B$2:$R$2, 0)))</f>
        <v/>
      </c>
      <c r="E310" s="5" t="str">
        <f ca="1">IF(B310="", "", COUNTA(INDIRECT(D310 &amp; 3):INDIRECT(D310 &amp; 24)))</f>
        <v/>
      </c>
      <c r="F310" s="5" t="str">
        <f t="shared" si="10"/>
        <v/>
      </c>
      <c r="G310" s="5" t="str">
        <f>IF(F310="", "", IF(B310&lt;&gt;"", MATCH(B310, params!$B$2:$R$2, 0), G309))</f>
        <v/>
      </c>
      <c r="H310" s="5" t="str">
        <f t="shared" ca="1" si="11"/>
        <v/>
      </c>
      <c r="I310" s="2"/>
      <c r="J310" s="2"/>
      <c r="K310" s="2"/>
      <c r="L310" s="2"/>
      <c r="M310" s="2"/>
    </row>
    <row r="311" spans="1:13" ht="15.6" x14ac:dyDescent="0.3">
      <c r="A311" s="2"/>
      <c r="B311" s="5" t="str">
        <f>IF(COUNTIF(data_val!$E$3:$E$5, sample_log!$E311), sample_log!$C311 &amp; "_" &amp; sample_log!$D311, "")</f>
        <v/>
      </c>
      <c r="C311" s="5" t="str">
        <f>IF(B311="", IF(F311="", "", C310), IF(sample_log!E311="Triennial SASS", "tri_params", "params"))</f>
        <v/>
      </c>
      <c r="D311" s="5" t="str">
        <f>IF(B311="", "", C311 &amp; "!" &amp; CHAR(65+MATCH(B311, params!$B$2:$R$2, 0)))</f>
        <v/>
      </c>
      <c r="E311" s="5" t="str">
        <f ca="1">IF(B311="", "", COUNTA(INDIRECT(D311 &amp; 3):INDIRECT(D311 &amp; 24)))</f>
        <v/>
      </c>
      <c r="F311" s="5" t="str">
        <f t="shared" si="10"/>
        <v/>
      </c>
      <c r="G311" s="5" t="str">
        <f>IF(F311="", "", IF(B311&lt;&gt;"", MATCH(B311, params!$B$2:$R$2, 0), G310))</f>
        <v/>
      </c>
      <c r="H311" s="5" t="str">
        <f t="shared" ca="1" si="11"/>
        <v/>
      </c>
      <c r="I311" s="2"/>
      <c r="J311" s="2"/>
      <c r="K311" s="2"/>
      <c r="L311" s="2"/>
      <c r="M311" s="2"/>
    </row>
    <row r="312" spans="1:13" ht="15.6" x14ac:dyDescent="0.3">
      <c r="A312" s="2"/>
      <c r="B312" s="5" t="str">
        <f>IF(COUNTIF(data_val!$E$3:$E$5, sample_log!$E312), sample_log!$C312 &amp; "_" &amp; sample_log!$D312, "")</f>
        <v/>
      </c>
      <c r="C312" s="5" t="str">
        <f>IF(B312="", IF(F312="", "", C311), IF(sample_log!E312="Triennial SASS", "tri_params", "params"))</f>
        <v/>
      </c>
      <c r="D312" s="5" t="str">
        <f>IF(B312="", "", C312 &amp; "!" &amp; CHAR(65+MATCH(B312, params!$B$2:$R$2, 0)))</f>
        <v/>
      </c>
      <c r="E312" s="5" t="str">
        <f ca="1">IF(B312="", "", COUNTA(INDIRECT(D312 &amp; 3):INDIRECT(D312 &amp; 24)))</f>
        <v/>
      </c>
      <c r="F312" s="5" t="str">
        <f t="shared" si="10"/>
        <v/>
      </c>
      <c r="G312" s="5" t="str">
        <f>IF(F312="", "", IF(B312&lt;&gt;"", MATCH(B312, params!$B$2:$R$2, 0), G311))</f>
        <v/>
      </c>
      <c r="H312" s="5" t="str">
        <f t="shared" ca="1" si="11"/>
        <v/>
      </c>
      <c r="I312" s="2"/>
      <c r="J312" s="2"/>
      <c r="K312" s="2"/>
      <c r="L312" s="2"/>
      <c r="M312" s="2"/>
    </row>
    <row r="313" spans="1:13" ht="15.6" x14ac:dyDescent="0.3">
      <c r="A313" s="2"/>
      <c r="B313" s="5" t="str">
        <f>IF(COUNTIF(data_val!$E$3:$E$5, sample_log!$E313), sample_log!$C313 &amp; "_" &amp; sample_log!$D313, "")</f>
        <v/>
      </c>
      <c r="C313" s="5" t="str">
        <f>IF(B313="", IF(F313="", "", C312), IF(sample_log!E313="Triennial SASS", "tri_params", "params"))</f>
        <v/>
      </c>
      <c r="D313" s="5" t="str">
        <f>IF(B313="", "", C313 &amp; "!" &amp; CHAR(65+MATCH(B313, params!$B$2:$R$2, 0)))</f>
        <v/>
      </c>
      <c r="E313" s="5" t="str">
        <f ca="1">IF(B313="", "", COUNTA(INDIRECT(D313 &amp; 3):INDIRECT(D313 &amp; 24)))</f>
        <v/>
      </c>
      <c r="F313" s="5" t="str">
        <f t="shared" si="10"/>
        <v/>
      </c>
      <c r="G313" s="5" t="str">
        <f>IF(F313="", "", IF(B313&lt;&gt;"", MATCH(B313, params!$B$2:$R$2, 0), G312))</f>
        <v/>
      </c>
      <c r="H313" s="5" t="str">
        <f t="shared" ca="1" si="11"/>
        <v/>
      </c>
      <c r="I313" s="2"/>
      <c r="J313" s="2"/>
      <c r="K313" s="2"/>
      <c r="L313" s="2"/>
      <c r="M313" s="2"/>
    </row>
    <row r="314" spans="1:13" ht="15.6" x14ac:dyDescent="0.3">
      <c r="A314" s="2"/>
      <c r="B314" s="5" t="str">
        <f>IF(COUNTIF(data_val!$E$3:$E$5, sample_log!$E314), sample_log!$C314 &amp; "_" &amp; sample_log!$D314, "")</f>
        <v/>
      </c>
      <c r="C314" s="5" t="str">
        <f>IF(B314="", IF(F314="", "", C313), IF(sample_log!E314="Triennial SASS", "tri_params", "params"))</f>
        <v/>
      </c>
      <c r="D314" s="5" t="str">
        <f>IF(B314="", "", C314 &amp; "!" &amp; CHAR(65+MATCH(B314, params!$B$2:$R$2, 0)))</f>
        <v/>
      </c>
      <c r="E314" s="5" t="str">
        <f ca="1">IF(B314="", "", COUNTA(INDIRECT(D314 &amp; 3):INDIRECT(D314 &amp; 24)))</f>
        <v/>
      </c>
      <c r="F314" s="5" t="str">
        <f t="shared" si="10"/>
        <v/>
      </c>
      <c r="G314" s="5" t="str">
        <f>IF(F314="", "", IF(B314&lt;&gt;"", MATCH(B314, params!$B$2:$R$2, 0), G313))</f>
        <v/>
      </c>
      <c r="H314" s="5" t="str">
        <f t="shared" ca="1" si="11"/>
        <v/>
      </c>
      <c r="I314" s="2"/>
      <c r="J314" s="2"/>
      <c r="K314" s="2"/>
      <c r="L314" s="2"/>
      <c r="M314" s="2"/>
    </row>
    <row r="315" spans="1:13" ht="15.6" x14ac:dyDescent="0.3">
      <c r="A315" s="2"/>
      <c r="B315" s="5" t="str">
        <f>IF(COUNTIF(data_val!$E$3:$E$5, sample_log!$E315), sample_log!$C315 &amp; "_" &amp; sample_log!$D315, "")</f>
        <v/>
      </c>
      <c r="C315" s="5" t="str">
        <f>IF(B315="", IF(F315="", "", C314), IF(sample_log!E315="Triennial SASS", "tri_params", "params"))</f>
        <v/>
      </c>
      <c r="D315" s="5" t="str">
        <f>IF(B315="", "", C315 &amp; "!" &amp; CHAR(65+MATCH(B315, params!$B$2:$R$2, 0)))</f>
        <v/>
      </c>
      <c r="E315" s="5" t="str">
        <f ca="1">IF(B315="", "", COUNTA(INDIRECT(D315 &amp; 3):INDIRECT(D315 &amp; 24)))</f>
        <v/>
      </c>
      <c r="F315" s="5" t="str">
        <f t="shared" si="10"/>
        <v/>
      </c>
      <c r="G315" s="5" t="str">
        <f>IF(F315="", "", IF(B315&lt;&gt;"", MATCH(B315, params!$B$2:$R$2, 0), G314))</f>
        <v/>
      </c>
      <c r="H315" s="5" t="str">
        <f t="shared" ca="1" si="11"/>
        <v/>
      </c>
      <c r="I315" s="2"/>
      <c r="J315" s="2"/>
      <c r="K315" s="2"/>
      <c r="L315" s="2"/>
      <c r="M315" s="2"/>
    </row>
    <row r="316" spans="1:13" ht="15.6" x14ac:dyDescent="0.3">
      <c r="A316" s="2"/>
      <c r="B316" s="5" t="str">
        <f>IF(COUNTIF(data_val!$E$3:$E$5, sample_log!$E316), sample_log!$C316 &amp; "_" &amp; sample_log!$D316, "")</f>
        <v/>
      </c>
      <c r="C316" s="5" t="str">
        <f>IF(B316="", IF(F316="", "", C315), IF(sample_log!E316="Triennial SASS", "tri_params", "params"))</f>
        <v/>
      </c>
      <c r="D316" s="5" t="str">
        <f>IF(B316="", "", C316 &amp; "!" &amp; CHAR(65+MATCH(B316, params!$B$2:$R$2, 0)))</f>
        <v/>
      </c>
      <c r="E316" s="5" t="str">
        <f ca="1">IF(B316="", "", COUNTA(INDIRECT(D316 &amp; 3):INDIRECT(D316 &amp; 24)))</f>
        <v/>
      </c>
      <c r="F316" s="5" t="str">
        <f t="shared" si="10"/>
        <v/>
      </c>
      <c r="G316" s="5" t="str">
        <f>IF(F316="", "", IF(B316&lt;&gt;"", MATCH(B316, params!$B$2:$R$2, 0), G315))</f>
        <v/>
      </c>
      <c r="H316" s="5" t="str">
        <f t="shared" ca="1" si="11"/>
        <v/>
      </c>
      <c r="I316" s="2"/>
      <c r="J316" s="2"/>
      <c r="K316" s="2"/>
      <c r="L316" s="2"/>
      <c r="M316" s="2"/>
    </row>
    <row r="317" spans="1:13" ht="15.6" x14ac:dyDescent="0.3">
      <c r="A317" s="2"/>
      <c r="B317" s="5" t="str">
        <f>IF(COUNTIF(data_val!$E$3:$E$5, sample_log!$E317), sample_log!$C317 &amp; "_" &amp; sample_log!$D317, "")</f>
        <v/>
      </c>
      <c r="C317" s="5" t="str">
        <f>IF(B317="", IF(F317="", "", C316), IF(sample_log!E317="Triennial SASS", "tri_params", "params"))</f>
        <v/>
      </c>
      <c r="D317" s="5" t="str">
        <f>IF(B317="", "", C317 &amp; "!" &amp; CHAR(65+MATCH(B317, params!$B$2:$R$2, 0)))</f>
        <v/>
      </c>
      <c r="E317" s="5" t="str">
        <f ca="1">IF(B317="", "", COUNTA(INDIRECT(D317 &amp; 3):INDIRECT(D317 &amp; 24)))</f>
        <v/>
      </c>
      <c r="F317" s="5" t="str">
        <f t="shared" si="10"/>
        <v/>
      </c>
      <c r="G317" s="5" t="str">
        <f>IF(F317="", "", IF(B317&lt;&gt;"", MATCH(B317, params!$B$2:$R$2, 0), G316))</f>
        <v/>
      </c>
      <c r="H317" s="5" t="str">
        <f t="shared" ca="1" si="11"/>
        <v/>
      </c>
      <c r="I317" s="2"/>
      <c r="J317" s="2"/>
      <c r="K317" s="2"/>
      <c r="L317" s="2"/>
      <c r="M317" s="2"/>
    </row>
    <row r="318" spans="1:13" ht="15.6" x14ac:dyDescent="0.3">
      <c r="A318" s="2"/>
      <c r="B318" s="5" t="str">
        <f>IF(COUNTIF(data_val!$E$3:$E$5, sample_log!$E318), sample_log!$C318 &amp; "_" &amp; sample_log!$D318, "")</f>
        <v/>
      </c>
      <c r="C318" s="5" t="str">
        <f>IF(B318="", IF(F318="", "", C317), IF(sample_log!E318="Triennial SASS", "tri_params", "params"))</f>
        <v/>
      </c>
      <c r="D318" s="5" t="str">
        <f>IF(B318="", "", C318 &amp; "!" &amp; CHAR(65+MATCH(B318, params!$B$2:$R$2, 0)))</f>
        <v/>
      </c>
      <c r="E318" s="5" t="str">
        <f ca="1">IF(B318="", "", COUNTA(INDIRECT(D318 &amp; 3):INDIRECT(D318 &amp; 24)))</f>
        <v/>
      </c>
      <c r="F318" s="5" t="str">
        <f t="shared" si="10"/>
        <v/>
      </c>
      <c r="G318" s="5" t="str">
        <f>IF(F318="", "", IF(B318&lt;&gt;"", MATCH(B318, params!$B$2:$R$2, 0), G317))</f>
        <v/>
      </c>
      <c r="H318" s="5" t="str">
        <f t="shared" ca="1" si="11"/>
        <v/>
      </c>
      <c r="I318" s="2"/>
      <c r="J318" s="2"/>
      <c r="K318" s="2"/>
      <c r="L318" s="2"/>
      <c r="M318" s="2"/>
    </row>
    <row r="319" spans="1:13" ht="15.6" x14ac:dyDescent="0.3">
      <c r="A319" s="2"/>
      <c r="B319" s="5" t="str">
        <f>IF(COUNTIF(data_val!$E$3:$E$5, sample_log!$E319), sample_log!$C319 &amp; "_" &amp; sample_log!$D319, "")</f>
        <v/>
      </c>
      <c r="C319" s="5" t="str">
        <f>IF(B319="", IF(F319="", "", C318), IF(sample_log!E319="Triennial SASS", "tri_params", "params"))</f>
        <v/>
      </c>
      <c r="D319" s="5" t="str">
        <f>IF(B319="", "", C319 &amp; "!" &amp; CHAR(65+MATCH(B319, params!$B$2:$R$2, 0)))</f>
        <v/>
      </c>
      <c r="E319" s="5" t="str">
        <f ca="1">IF(B319="", "", COUNTA(INDIRECT(D319 &amp; 3):INDIRECT(D319 &amp; 24)))</f>
        <v/>
      </c>
      <c r="F319" s="5" t="str">
        <f t="shared" si="10"/>
        <v/>
      </c>
      <c r="G319" s="5" t="str">
        <f>IF(F319="", "", IF(B319&lt;&gt;"", MATCH(B319, params!$B$2:$R$2, 0), G318))</f>
        <v/>
      </c>
      <c r="H319" s="5" t="str">
        <f t="shared" ca="1" si="11"/>
        <v/>
      </c>
      <c r="I319" s="2"/>
      <c r="J319" s="2"/>
      <c r="K319" s="2"/>
      <c r="L319" s="2"/>
      <c r="M319" s="2"/>
    </row>
    <row r="320" spans="1:13" ht="15.6" x14ac:dyDescent="0.3">
      <c r="A320" s="2"/>
      <c r="B320" s="5" t="str">
        <f>IF(COUNTIF(data_val!$E$3:$E$5, sample_log!$E320), sample_log!$C320 &amp; "_" &amp; sample_log!$D320, "")</f>
        <v/>
      </c>
      <c r="C320" s="5" t="str">
        <f>IF(B320="", IF(F320="", "", C319), IF(sample_log!E320="Triennial SASS", "tri_params", "params"))</f>
        <v/>
      </c>
      <c r="D320" s="5" t="str">
        <f>IF(B320="", "", C320 &amp; "!" &amp; CHAR(65+MATCH(B320, params!$B$2:$R$2, 0)))</f>
        <v/>
      </c>
      <c r="E320" s="5" t="str">
        <f ca="1">IF(B320="", "", COUNTA(INDIRECT(D320 &amp; 3):INDIRECT(D320 &amp; 24)))</f>
        <v/>
      </c>
      <c r="F320" s="5" t="str">
        <f t="shared" si="10"/>
        <v/>
      </c>
      <c r="G320" s="5" t="str">
        <f>IF(F320="", "", IF(B320&lt;&gt;"", MATCH(B320, params!$B$2:$R$2, 0), G319))</f>
        <v/>
      </c>
      <c r="H320" s="5" t="str">
        <f t="shared" ca="1" si="11"/>
        <v/>
      </c>
      <c r="I320" s="2"/>
      <c r="J320" s="2"/>
      <c r="K320" s="2"/>
      <c r="L320" s="2"/>
      <c r="M320" s="2"/>
    </row>
    <row r="321" spans="1:13" ht="15.6" x14ac:dyDescent="0.3">
      <c r="A321" s="2"/>
      <c r="B321" s="5" t="str">
        <f>IF(COUNTIF(data_val!$E$3:$E$5, sample_log!$E321), sample_log!$C321 &amp; "_" &amp; sample_log!$D321, "")</f>
        <v/>
      </c>
      <c r="C321" s="5" t="str">
        <f>IF(B321="", IF(F321="", "", C320), IF(sample_log!E321="Triennial SASS", "tri_params", "params"))</f>
        <v/>
      </c>
      <c r="D321" s="5" t="str">
        <f>IF(B321="", "", C321 &amp; "!" &amp; CHAR(65+MATCH(B321, params!$B$2:$R$2, 0)))</f>
        <v/>
      </c>
      <c r="E321" s="5" t="str">
        <f ca="1">IF(B321="", "", COUNTA(INDIRECT(D321 &amp; 3):INDIRECT(D321 &amp; 24)))</f>
        <v/>
      </c>
      <c r="F321" s="5" t="str">
        <f t="shared" si="10"/>
        <v/>
      </c>
      <c r="G321" s="5" t="str">
        <f>IF(F321="", "", IF(B321&lt;&gt;"", MATCH(B321, params!$B$2:$R$2, 0), G320))</f>
        <v/>
      </c>
      <c r="H321" s="5" t="str">
        <f t="shared" ca="1" si="11"/>
        <v/>
      </c>
      <c r="I321" s="2"/>
      <c r="J321" s="2"/>
      <c r="K321" s="2"/>
      <c r="L321" s="2"/>
      <c r="M321" s="2"/>
    </row>
    <row r="322" spans="1:13" ht="15.6" x14ac:dyDescent="0.3">
      <c r="A322" s="2"/>
      <c r="B322" s="5" t="str">
        <f>IF(COUNTIF(data_val!$E$3:$E$5, sample_log!$E322), sample_log!$C322 &amp; "_" &amp; sample_log!$D322, "")</f>
        <v/>
      </c>
      <c r="C322" s="5" t="str">
        <f>IF(B322="", IF(F322="", "", C321), IF(sample_log!E322="Triennial SASS", "tri_params", "params"))</f>
        <v/>
      </c>
      <c r="D322" s="5" t="str">
        <f>IF(B322="", "", C322 &amp; "!" &amp; CHAR(65+MATCH(B322, params!$B$2:$R$2, 0)))</f>
        <v/>
      </c>
      <c r="E322" s="5" t="str">
        <f ca="1">IF(B322="", "", COUNTA(INDIRECT(D322 &amp; 3):INDIRECT(D322 &amp; 24)))</f>
        <v/>
      </c>
      <c r="F322" s="5" t="str">
        <f t="shared" si="10"/>
        <v/>
      </c>
      <c r="G322" s="5" t="str">
        <f>IF(F322="", "", IF(B322&lt;&gt;"", MATCH(B322, params!$B$2:$R$2, 0), G321))</f>
        <v/>
      </c>
      <c r="H322" s="5" t="str">
        <f t="shared" ca="1" si="11"/>
        <v/>
      </c>
      <c r="I322" s="2"/>
      <c r="J322" s="2"/>
      <c r="K322" s="2"/>
      <c r="L322" s="2"/>
      <c r="M322" s="2"/>
    </row>
    <row r="323" spans="1:13" ht="15.6" x14ac:dyDescent="0.3">
      <c r="A323" s="2"/>
      <c r="B323" s="5" t="str">
        <f>IF(COUNTIF(data_val!$E$3:$E$5, sample_log!$E323), sample_log!$C323 &amp; "_" &amp; sample_log!$D323, "")</f>
        <v/>
      </c>
      <c r="C323" s="5" t="str">
        <f>IF(B323="", IF(F323="", "", C322), IF(sample_log!E323="Triennial SASS", "tri_params", "params"))</f>
        <v/>
      </c>
      <c r="D323" s="5" t="str">
        <f>IF(B323="", "", C323 &amp; "!" &amp; CHAR(65+MATCH(B323, params!$B$2:$R$2, 0)))</f>
        <v/>
      </c>
      <c r="E323" s="5" t="str">
        <f ca="1">IF(B323="", "", COUNTA(INDIRECT(D323 &amp; 3):INDIRECT(D323 &amp; 24)))</f>
        <v/>
      </c>
      <c r="F323" s="5" t="str">
        <f t="shared" ref="F323:F386" si="12">IF(B323="", IF(NOT(ISNUMBER(F322)), "", IF(F322-1&gt;0, F322-1, "")), E323)</f>
        <v/>
      </c>
      <c r="G323" s="5" t="str">
        <f>IF(F323="", "", IF(B323&lt;&gt;"", MATCH(B323, params!$B$2:$R$2, 0), G322))</f>
        <v/>
      </c>
      <c r="H323" s="5" t="str">
        <f t="shared" ca="1" si="11"/>
        <v/>
      </c>
      <c r="I323" s="2"/>
      <c r="J323" s="2"/>
      <c r="K323" s="2"/>
      <c r="L323" s="2"/>
      <c r="M323" s="2"/>
    </row>
    <row r="324" spans="1:13" ht="15.6" x14ac:dyDescent="0.3">
      <c r="A324" s="2"/>
      <c r="B324" s="5" t="str">
        <f>IF(COUNTIF(data_val!$E$3:$E$5, sample_log!$E324), sample_log!$C324 &amp; "_" &amp; sample_log!$D324, "")</f>
        <v/>
      </c>
      <c r="C324" s="5" t="str">
        <f>IF(B324="", IF(F324="", "", C323), IF(sample_log!E324="Triennial SASS", "tri_params", "params"))</f>
        <v/>
      </c>
      <c r="D324" s="5" t="str">
        <f>IF(B324="", "", C324 &amp; "!" &amp; CHAR(65+MATCH(B324, params!$B$2:$R$2, 0)))</f>
        <v/>
      </c>
      <c r="E324" s="5" t="str">
        <f ca="1">IF(B324="", "", COUNTA(INDIRECT(D324 &amp; 3):INDIRECT(D324 &amp; 24)))</f>
        <v/>
      </c>
      <c r="F324" s="5" t="str">
        <f t="shared" si="12"/>
        <v/>
      </c>
      <c r="G324" s="5" t="str">
        <f>IF(F324="", "", IF(B324&lt;&gt;"", MATCH(B324, params!$B$2:$R$2, 0), G323))</f>
        <v/>
      </c>
      <c r="H324" s="5" t="str">
        <f t="shared" ca="1" si="11"/>
        <v/>
      </c>
      <c r="I324" s="2"/>
      <c r="J324" s="2"/>
      <c r="K324" s="2"/>
      <c r="L324" s="2"/>
      <c r="M324" s="2"/>
    </row>
    <row r="325" spans="1:13" ht="15.6" x14ac:dyDescent="0.3">
      <c r="A325" s="2"/>
      <c r="B325" s="5" t="str">
        <f>IF(COUNTIF(data_val!$E$3:$E$5, sample_log!$E325), sample_log!$C325 &amp; "_" &amp; sample_log!$D325, "")</f>
        <v/>
      </c>
      <c r="C325" s="5" t="str">
        <f>IF(B325="", IF(F325="", "", C324), IF(sample_log!E325="Triennial SASS", "tri_params", "params"))</f>
        <v/>
      </c>
      <c r="D325" s="5" t="str">
        <f>IF(B325="", "", C325 &amp; "!" &amp; CHAR(65+MATCH(B325, params!$B$2:$R$2, 0)))</f>
        <v/>
      </c>
      <c r="E325" s="5" t="str">
        <f ca="1">IF(B325="", "", COUNTA(INDIRECT(D325 &amp; 3):INDIRECT(D325 &amp; 24)))</f>
        <v/>
      </c>
      <c r="F325" s="5" t="str">
        <f t="shared" si="12"/>
        <v/>
      </c>
      <c r="G325" s="5" t="str">
        <f>IF(F325="", "", IF(B325&lt;&gt;"", MATCH(B325, params!$B$2:$R$2, 0), G324))</f>
        <v/>
      </c>
      <c r="H325" s="5" t="str">
        <f t="shared" ca="1" si="11"/>
        <v/>
      </c>
      <c r="I325" s="2"/>
      <c r="J325" s="2"/>
      <c r="K325" s="2"/>
      <c r="L325" s="2"/>
      <c r="M325" s="2"/>
    </row>
    <row r="326" spans="1:13" ht="15.6" x14ac:dyDescent="0.3">
      <c r="A326" s="2"/>
      <c r="B326" s="5" t="str">
        <f>IF(COUNTIF(data_val!$E$3:$E$5, sample_log!$E326), sample_log!$C326 &amp; "_" &amp; sample_log!$D326, "")</f>
        <v/>
      </c>
      <c r="C326" s="5" t="str">
        <f>IF(B326="", IF(F326="", "", C325), IF(sample_log!E326="Triennial SASS", "tri_params", "params"))</f>
        <v/>
      </c>
      <c r="D326" s="5" t="str">
        <f>IF(B326="", "", C326 &amp; "!" &amp; CHAR(65+MATCH(B326, params!$B$2:$R$2, 0)))</f>
        <v/>
      </c>
      <c r="E326" s="5" t="str">
        <f ca="1">IF(B326="", "", COUNTA(INDIRECT(D326 &amp; 3):INDIRECT(D326 &amp; 24)))</f>
        <v/>
      </c>
      <c r="F326" s="5" t="str">
        <f t="shared" si="12"/>
        <v/>
      </c>
      <c r="G326" s="5" t="str">
        <f>IF(F326="", "", IF(B326&lt;&gt;"", MATCH(B326, params!$B$2:$R$2, 0), G325))</f>
        <v/>
      </c>
      <c r="H326" s="5" t="str">
        <f t="shared" ca="1" si="11"/>
        <v/>
      </c>
      <c r="I326" s="2"/>
      <c r="J326" s="2"/>
      <c r="K326" s="2"/>
      <c r="L326" s="2"/>
      <c r="M326" s="2"/>
    </row>
    <row r="327" spans="1:13" ht="15.6" x14ac:dyDescent="0.3">
      <c r="A327" s="2"/>
      <c r="B327" s="5" t="str">
        <f>IF(COUNTIF(data_val!$E$3:$E$5, sample_log!$E327), sample_log!$C327 &amp; "_" &amp; sample_log!$D327, "")</f>
        <v/>
      </c>
      <c r="C327" s="5" t="str">
        <f>IF(B327="", IF(F327="", "", C326), IF(sample_log!E327="Triennial SASS", "tri_params", "params"))</f>
        <v/>
      </c>
      <c r="D327" s="5" t="str">
        <f>IF(B327="", "", C327 &amp; "!" &amp; CHAR(65+MATCH(B327, params!$B$2:$R$2, 0)))</f>
        <v/>
      </c>
      <c r="E327" s="5" t="str">
        <f ca="1">IF(B327="", "", COUNTA(INDIRECT(D327 &amp; 3):INDIRECT(D327 &amp; 24)))</f>
        <v/>
      </c>
      <c r="F327" s="5" t="str">
        <f t="shared" si="12"/>
        <v/>
      </c>
      <c r="G327" s="5" t="str">
        <f>IF(F327="", "", IF(B327&lt;&gt;"", MATCH(B327, params!$B$2:$R$2, 0), G326))</f>
        <v/>
      </c>
      <c r="H327" s="5" t="str">
        <f t="shared" ca="1" si="11"/>
        <v/>
      </c>
      <c r="I327" s="2"/>
      <c r="J327" s="2"/>
      <c r="K327" s="2"/>
      <c r="L327" s="2"/>
      <c r="M327" s="2"/>
    </row>
    <row r="328" spans="1:13" ht="15.6" x14ac:dyDescent="0.3">
      <c r="A328" s="2"/>
      <c r="B328" s="5" t="str">
        <f>IF(COUNTIF(data_val!$E$3:$E$5, sample_log!$E328), sample_log!$C328 &amp; "_" &amp; sample_log!$D328, "")</f>
        <v/>
      </c>
      <c r="C328" s="5" t="str">
        <f>IF(B328="", IF(F328="", "", C327), IF(sample_log!E328="Triennial SASS", "tri_params", "params"))</f>
        <v/>
      </c>
      <c r="D328" s="5" t="str">
        <f>IF(B328="", "", C328 &amp; "!" &amp; CHAR(65+MATCH(B328, params!$B$2:$R$2, 0)))</f>
        <v/>
      </c>
      <c r="E328" s="5" t="str">
        <f ca="1">IF(B328="", "", COUNTA(INDIRECT(D328 &amp; 3):INDIRECT(D328 &amp; 24)))</f>
        <v/>
      </c>
      <c r="F328" s="5" t="str">
        <f t="shared" si="12"/>
        <v/>
      </c>
      <c r="G328" s="5" t="str">
        <f>IF(F328="", "", IF(B328&lt;&gt;"", MATCH(B328, params!$B$2:$R$2, 0), G327))</f>
        <v/>
      </c>
      <c r="H328" s="5" t="str">
        <f t="shared" ca="1" si="11"/>
        <v/>
      </c>
      <c r="I328" s="2"/>
      <c r="J328" s="2"/>
      <c r="K328" s="2"/>
      <c r="L328" s="2"/>
      <c r="M328" s="2"/>
    </row>
    <row r="329" spans="1:13" ht="15.6" x14ac:dyDescent="0.3">
      <c r="A329" s="2"/>
      <c r="B329" s="5" t="str">
        <f>IF(COUNTIF(data_val!$E$3:$E$5, sample_log!$E329), sample_log!$C329 &amp; "_" &amp; sample_log!$D329, "")</f>
        <v/>
      </c>
      <c r="C329" s="5" t="str">
        <f>IF(B329="", IF(F329="", "", C328), IF(sample_log!E329="Triennial SASS", "tri_params", "params"))</f>
        <v/>
      </c>
      <c r="D329" s="5" t="str">
        <f>IF(B329="", "", C329 &amp; "!" &amp; CHAR(65+MATCH(B329, params!$B$2:$R$2, 0)))</f>
        <v/>
      </c>
      <c r="E329" s="5" t="str">
        <f ca="1">IF(B329="", "", COUNTA(INDIRECT(D329 &amp; 3):INDIRECT(D329 &amp; 24)))</f>
        <v/>
      </c>
      <c r="F329" s="5" t="str">
        <f t="shared" si="12"/>
        <v/>
      </c>
      <c r="G329" s="5" t="str">
        <f>IF(F329="", "", IF(B329&lt;&gt;"", MATCH(B329, params!$B$2:$R$2, 0), G328))</f>
        <v/>
      </c>
      <c r="H329" s="5" t="str">
        <f t="shared" ca="1" si="11"/>
        <v/>
      </c>
      <c r="I329" s="2"/>
      <c r="J329" s="2"/>
      <c r="K329" s="2"/>
      <c r="L329" s="2"/>
      <c r="M329" s="2"/>
    </row>
    <row r="330" spans="1:13" ht="15.6" x14ac:dyDescent="0.3">
      <c r="A330" s="2"/>
      <c r="B330" s="5" t="str">
        <f>IF(COUNTIF(data_val!$E$3:$E$5, sample_log!$E330), sample_log!$C330 &amp; "_" &amp; sample_log!$D330, "")</f>
        <v/>
      </c>
      <c r="C330" s="5" t="str">
        <f>IF(B330="", IF(F330="", "", C329), IF(sample_log!E330="Triennial SASS", "tri_params", "params"))</f>
        <v/>
      </c>
      <c r="D330" s="5" t="str">
        <f>IF(B330="", "", C330 &amp; "!" &amp; CHAR(65+MATCH(B330, params!$B$2:$R$2, 0)))</f>
        <v/>
      </c>
      <c r="E330" s="5" t="str">
        <f ca="1">IF(B330="", "", COUNTA(INDIRECT(D330 &amp; 3):INDIRECT(D330 &amp; 24)))</f>
        <v/>
      </c>
      <c r="F330" s="5" t="str">
        <f t="shared" si="12"/>
        <v/>
      </c>
      <c r="G330" s="5" t="str">
        <f>IF(F330="", "", IF(B330&lt;&gt;"", MATCH(B330, params!$B$2:$R$2, 0), G329))</f>
        <v/>
      </c>
      <c r="H330" s="5" t="str">
        <f t="shared" ca="1" si="11"/>
        <v/>
      </c>
      <c r="I330" s="2"/>
      <c r="J330" s="2"/>
      <c r="K330" s="2"/>
      <c r="L330" s="2"/>
      <c r="M330" s="2"/>
    </row>
    <row r="331" spans="1:13" ht="15.6" x14ac:dyDescent="0.3">
      <c r="A331" s="2"/>
      <c r="B331" s="5" t="str">
        <f>IF(COUNTIF(data_val!$E$3:$E$5, sample_log!$E331), sample_log!$C331 &amp; "_" &amp; sample_log!$D331, "")</f>
        <v/>
      </c>
      <c r="C331" s="5" t="str">
        <f>IF(B331="", IF(F331="", "", C330), IF(sample_log!E331="Triennial SASS", "tri_params", "params"))</f>
        <v/>
      </c>
      <c r="D331" s="5" t="str">
        <f>IF(B331="", "", C331 &amp; "!" &amp; CHAR(65+MATCH(B331, params!$B$2:$R$2, 0)))</f>
        <v/>
      </c>
      <c r="E331" s="5" t="str">
        <f ca="1">IF(B331="", "", COUNTA(INDIRECT(D331 &amp; 3):INDIRECT(D331 &amp; 24)))</f>
        <v/>
      </c>
      <c r="F331" s="5" t="str">
        <f t="shared" si="12"/>
        <v/>
      </c>
      <c r="G331" s="5" t="str">
        <f>IF(F331="", "", IF(B331&lt;&gt;"", MATCH(B331, params!$B$2:$R$2, 0), G330))</f>
        <v/>
      </c>
      <c r="H331" s="5" t="str">
        <f t="shared" ca="1" si="11"/>
        <v/>
      </c>
      <c r="I331" s="2"/>
      <c r="J331" s="2"/>
      <c r="K331" s="2"/>
      <c r="L331" s="2"/>
      <c r="M331" s="2"/>
    </row>
    <row r="332" spans="1:13" ht="15.6" x14ac:dyDescent="0.3">
      <c r="A332" s="2"/>
      <c r="B332" s="5" t="str">
        <f>IF(COUNTIF(data_val!$E$3:$E$5, sample_log!$E332), sample_log!$C332 &amp; "_" &amp; sample_log!$D332, "")</f>
        <v/>
      </c>
      <c r="C332" s="5" t="str">
        <f>IF(B332="", IF(F332="", "", C331), IF(sample_log!E332="Triennial SASS", "tri_params", "params"))</f>
        <v/>
      </c>
      <c r="D332" s="5" t="str">
        <f>IF(B332="", "", C332 &amp; "!" &amp; CHAR(65+MATCH(B332, params!$B$2:$R$2, 0)))</f>
        <v/>
      </c>
      <c r="E332" s="5" t="str">
        <f ca="1">IF(B332="", "", COUNTA(INDIRECT(D332 &amp; 3):INDIRECT(D332 &amp; 24)))</f>
        <v/>
      </c>
      <c r="F332" s="5" t="str">
        <f t="shared" si="12"/>
        <v/>
      </c>
      <c r="G332" s="5" t="str">
        <f>IF(F332="", "", IF(B332&lt;&gt;"", MATCH(B332, params!$B$2:$R$2, 0), G331))</f>
        <v/>
      </c>
      <c r="H332" s="5" t="str">
        <f t="shared" ca="1" si="11"/>
        <v/>
      </c>
      <c r="I332" s="2"/>
      <c r="J332" s="2"/>
      <c r="K332" s="2"/>
      <c r="L332" s="2"/>
      <c r="M332" s="2"/>
    </row>
    <row r="333" spans="1:13" ht="15.6" x14ac:dyDescent="0.3">
      <c r="A333" s="2"/>
      <c r="B333" s="5" t="str">
        <f>IF(COUNTIF(data_val!$E$3:$E$5, sample_log!$E333), sample_log!$C333 &amp; "_" &amp; sample_log!$D333, "")</f>
        <v/>
      </c>
      <c r="C333" s="5" t="str">
        <f>IF(B333="", IF(F333="", "", C332), IF(sample_log!E333="Triennial SASS", "tri_params", "params"))</f>
        <v/>
      </c>
      <c r="D333" s="5" t="str">
        <f>IF(B333="", "", C333 &amp; "!" &amp; CHAR(65+MATCH(B333, params!$B$2:$R$2, 0)))</f>
        <v/>
      </c>
      <c r="E333" s="5" t="str">
        <f ca="1">IF(B333="", "", COUNTA(INDIRECT(D333 &amp; 3):INDIRECT(D333 &amp; 24)))</f>
        <v/>
      </c>
      <c r="F333" s="5" t="str">
        <f t="shared" si="12"/>
        <v/>
      </c>
      <c r="G333" s="5" t="str">
        <f>IF(F333="", "", IF(B333&lt;&gt;"", MATCH(B333, params!$B$2:$R$2, 0), G332))</f>
        <v/>
      </c>
      <c r="H333" s="5" t="str">
        <f t="shared" ca="1" si="11"/>
        <v/>
      </c>
      <c r="I333" s="2"/>
      <c r="J333" s="2"/>
      <c r="K333" s="2"/>
      <c r="L333" s="2"/>
      <c r="M333" s="2"/>
    </row>
    <row r="334" spans="1:13" ht="15.6" x14ac:dyDescent="0.3">
      <c r="A334" s="2"/>
      <c r="B334" s="5" t="str">
        <f>IF(COUNTIF(data_val!$E$3:$E$5, sample_log!$E334), sample_log!$C334 &amp; "_" &amp; sample_log!$D334, "")</f>
        <v/>
      </c>
      <c r="C334" s="5" t="str">
        <f>IF(B334="", IF(F334="", "", C333), IF(sample_log!E334="Triennial SASS", "tri_params", "params"))</f>
        <v/>
      </c>
      <c r="D334" s="5" t="str">
        <f>IF(B334="", "", C334 &amp; "!" &amp; CHAR(65+MATCH(B334, params!$B$2:$R$2, 0)))</f>
        <v/>
      </c>
      <c r="E334" s="5" t="str">
        <f ca="1">IF(B334="", "", COUNTA(INDIRECT(D334 &amp; 3):INDIRECT(D334 &amp; 24)))</f>
        <v/>
      </c>
      <c r="F334" s="5" t="str">
        <f t="shared" si="12"/>
        <v/>
      </c>
      <c r="G334" s="5" t="str">
        <f>IF(F334="", "", IF(B334&lt;&gt;"", MATCH(B334, params!$B$2:$R$2, 0), G333))</f>
        <v/>
      </c>
      <c r="H334" s="5" t="str">
        <f t="shared" ca="1" si="11"/>
        <v/>
      </c>
      <c r="I334" s="2"/>
      <c r="J334" s="2"/>
      <c r="K334" s="2"/>
      <c r="L334" s="2"/>
      <c r="M334" s="2"/>
    </row>
    <row r="335" spans="1:13" ht="15.6" x14ac:dyDescent="0.3">
      <c r="A335" s="2"/>
      <c r="B335" s="5" t="str">
        <f>IF(COUNTIF(data_val!$E$3:$E$5, sample_log!$E335), sample_log!$C335 &amp; "_" &amp; sample_log!$D335, "")</f>
        <v/>
      </c>
      <c r="C335" s="5" t="str">
        <f>IF(B335="", IF(F335="", "", C334), IF(sample_log!E335="Triennial SASS", "tri_params", "params"))</f>
        <v/>
      </c>
      <c r="D335" s="5" t="str">
        <f>IF(B335="", "", C335 &amp; "!" &amp; CHAR(65+MATCH(B335, params!$B$2:$R$2, 0)))</f>
        <v/>
      </c>
      <c r="E335" s="5" t="str">
        <f ca="1">IF(B335="", "", COUNTA(INDIRECT(D335 &amp; 3):INDIRECT(D335 &amp; 24)))</f>
        <v/>
      </c>
      <c r="F335" s="5" t="str">
        <f t="shared" si="12"/>
        <v/>
      </c>
      <c r="G335" s="5" t="str">
        <f>IF(F335="", "", IF(B335&lt;&gt;"", MATCH(B335, params!$B$2:$R$2, 0), G334))</f>
        <v/>
      </c>
      <c r="H335" s="5" t="str">
        <f t="shared" ca="1" si="11"/>
        <v/>
      </c>
      <c r="I335" s="2"/>
      <c r="J335" s="2"/>
      <c r="K335" s="2"/>
      <c r="L335" s="2"/>
      <c r="M335" s="2"/>
    </row>
    <row r="336" spans="1:13" ht="15.6" x14ac:dyDescent="0.3">
      <c r="A336" s="2"/>
      <c r="B336" s="5" t="str">
        <f>IF(COUNTIF(data_val!$E$3:$E$5, sample_log!$E336), sample_log!$C336 &amp; "_" &amp; sample_log!$D336, "")</f>
        <v/>
      </c>
      <c r="C336" s="5" t="str">
        <f>IF(B336="", IF(F336="", "", C335), IF(sample_log!E336="Triennial SASS", "tri_params", "params"))</f>
        <v/>
      </c>
      <c r="D336" s="5" t="str">
        <f>IF(B336="", "", C336 &amp; "!" &amp; CHAR(65+MATCH(B336, params!$B$2:$R$2, 0)))</f>
        <v/>
      </c>
      <c r="E336" s="5" t="str">
        <f ca="1">IF(B336="", "", COUNTA(INDIRECT(D336 &amp; 3):INDIRECT(D336 &amp; 24)))</f>
        <v/>
      </c>
      <c r="F336" s="5" t="str">
        <f t="shared" si="12"/>
        <v/>
      </c>
      <c r="G336" s="5" t="str">
        <f>IF(F336="", "", IF(B336&lt;&gt;"", MATCH(B336, params!$B$2:$R$2, 0), G335))</f>
        <v/>
      </c>
      <c r="H336" s="5" t="str">
        <f t="shared" ca="1" si="11"/>
        <v/>
      </c>
      <c r="I336" s="2"/>
      <c r="J336" s="2"/>
      <c r="K336" s="2"/>
      <c r="L336" s="2"/>
      <c r="M336" s="2"/>
    </row>
    <row r="337" spans="1:13" ht="15.6" x14ac:dyDescent="0.3">
      <c r="A337" s="2"/>
      <c r="B337" s="5" t="str">
        <f>IF(COUNTIF(data_val!$E$3:$E$5, sample_log!$E337), sample_log!$C337 &amp; "_" &amp; sample_log!$D337, "")</f>
        <v/>
      </c>
      <c r="C337" s="5" t="str">
        <f>IF(B337="", IF(F337="", "", C336), IF(sample_log!E337="Triennial SASS", "tri_params", "params"))</f>
        <v/>
      </c>
      <c r="D337" s="5" t="str">
        <f>IF(B337="", "", C337 &amp; "!" &amp; CHAR(65+MATCH(B337, params!$B$2:$R$2, 0)))</f>
        <v/>
      </c>
      <c r="E337" s="5" t="str">
        <f ca="1">IF(B337="", "", COUNTA(INDIRECT(D337 &amp; 3):INDIRECT(D337 &amp; 24)))</f>
        <v/>
      </c>
      <c r="F337" s="5" t="str">
        <f t="shared" si="12"/>
        <v/>
      </c>
      <c r="G337" s="5" t="str">
        <f>IF(F337="", "", IF(B337&lt;&gt;"", MATCH(B337, params!$B$2:$R$2, 0), G336))</f>
        <v/>
      </c>
      <c r="H337" s="5" t="str">
        <f t="shared" ca="1" si="11"/>
        <v/>
      </c>
      <c r="I337" s="2"/>
      <c r="J337" s="2"/>
      <c r="K337" s="2"/>
      <c r="L337" s="2"/>
      <c r="M337" s="2"/>
    </row>
    <row r="338" spans="1:13" ht="15.6" x14ac:dyDescent="0.3">
      <c r="A338" s="2"/>
      <c r="B338" s="5" t="str">
        <f>IF(COUNTIF(data_val!$E$3:$E$5, sample_log!$E338), sample_log!$C338 &amp; "_" &amp; sample_log!$D338, "")</f>
        <v/>
      </c>
      <c r="C338" s="5" t="str">
        <f>IF(B338="", IF(F338="", "", C337), IF(sample_log!E338="Triennial SASS", "tri_params", "params"))</f>
        <v/>
      </c>
      <c r="D338" s="5" t="str">
        <f>IF(B338="", "", C338 &amp; "!" &amp; CHAR(65+MATCH(B338, params!$B$2:$R$2, 0)))</f>
        <v/>
      </c>
      <c r="E338" s="5" t="str">
        <f ca="1">IF(B338="", "", COUNTA(INDIRECT(D338 &amp; 3):INDIRECT(D338 &amp; 24)))</f>
        <v/>
      </c>
      <c r="F338" s="5" t="str">
        <f t="shared" si="12"/>
        <v/>
      </c>
      <c r="G338" s="5" t="str">
        <f>IF(F338="", "", IF(B338&lt;&gt;"", MATCH(B338, params!$B$2:$R$2, 0), G337))</f>
        <v/>
      </c>
      <c r="H338" s="5" t="str">
        <f t="shared" ca="1" si="11"/>
        <v/>
      </c>
      <c r="I338" s="2"/>
      <c r="J338" s="2"/>
      <c r="K338" s="2"/>
      <c r="L338" s="2"/>
      <c r="M338" s="2"/>
    </row>
    <row r="339" spans="1:13" ht="15.6" x14ac:dyDescent="0.3">
      <c r="A339" s="2"/>
      <c r="B339" s="5" t="str">
        <f>IF(COUNTIF(data_val!$E$3:$E$5, sample_log!$E339), sample_log!$C339 &amp; "_" &amp; sample_log!$D339, "")</f>
        <v/>
      </c>
      <c r="C339" s="5" t="str">
        <f>IF(B339="", IF(F339="", "", C338), IF(sample_log!E339="Triennial SASS", "tri_params", "params"))</f>
        <v/>
      </c>
      <c r="D339" s="5" t="str">
        <f>IF(B339="", "", C339 &amp; "!" &amp; CHAR(65+MATCH(B339, params!$B$2:$R$2, 0)))</f>
        <v/>
      </c>
      <c r="E339" s="5" t="str">
        <f ca="1">IF(B339="", "", COUNTA(INDIRECT(D339 &amp; 3):INDIRECT(D339 &amp; 24)))</f>
        <v/>
      </c>
      <c r="F339" s="5" t="str">
        <f t="shared" si="12"/>
        <v/>
      </c>
      <c r="G339" s="5" t="str">
        <f>IF(F339="", "", IF(B339&lt;&gt;"", MATCH(B339, params!$B$2:$R$2, 0), G338))</f>
        <v/>
      </c>
      <c r="H339" s="5" t="str">
        <f t="shared" ca="1" si="11"/>
        <v/>
      </c>
      <c r="I339" s="2"/>
      <c r="J339" s="2"/>
      <c r="K339" s="2"/>
      <c r="L339" s="2"/>
      <c r="M339" s="2"/>
    </row>
    <row r="340" spans="1:13" ht="15.6" x14ac:dyDescent="0.3">
      <c r="A340" s="2"/>
      <c r="B340" s="5" t="str">
        <f>IF(COUNTIF(data_val!$E$3:$E$5, sample_log!$E340), sample_log!$C340 &amp; "_" &amp; sample_log!$D340, "")</f>
        <v/>
      </c>
      <c r="C340" s="5" t="str">
        <f>IF(B340="", IF(F340="", "", C339), IF(sample_log!E340="Triennial SASS", "tri_params", "params"))</f>
        <v/>
      </c>
      <c r="D340" s="5" t="str">
        <f>IF(B340="", "", C340 &amp; "!" &amp; CHAR(65+MATCH(B340, params!$B$2:$R$2, 0)))</f>
        <v/>
      </c>
      <c r="E340" s="5" t="str">
        <f ca="1">IF(B340="", "", COUNTA(INDIRECT(D340 &amp; 3):INDIRECT(D340 &amp; 24)))</f>
        <v/>
      </c>
      <c r="F340" s="5" t="str">
        <f t="shared" si="12"/>
        <v/>
      </c>
      <c r="G340" s="5" t="str">
        <f>IF(F340="", "", IF(B340&lt;&gt;"", MATCH(B340, params!$B$2:$R$2, 0), G339))</f>
        <v/>
      </c>
      <c r="H340" s="5" t="str">
        <f t="shared" ca="1" si="11"/>
        <v/>
      </c>
      <c r="I340" s="2"/>
      <c r="J340" s="2"/>
      <c r="K340" s="2"/>
      <c r="L340" s="2"/>
      <c r="M340" s="2"/>
    </row>
    <row r="341" spans="1:13" ht="15.6" x14ac:dyDescent="0.3">
      <c r="A341" s="2"/>
      <c r="B341" s="5" t="str">
        <f>IF(COUNTIF(data_val!$E$3:$E$5, sample_log!$E341), sample_log!$C341 &amp; "_" &amp; sample_log!$D341, "")</f>
        <v/>
      </c>
      <c r="C341" s="5" t="str">
        <f>IF(B341="", IF(F341="", "", C340), IF(sample_log!E341="Triennial SASS", "tri_params", "params"))</f>
        <v/>
      </c>
      <c r="D341" s="5" t="str">
        <f>IF(B341="", "", C341 &amp; "!" &amp; CHAR(65+MATCH(B341, params!$B$2:$R$2, 0)))</f>
        <v/>
      </c>
      <c r="E341" s="5" t="str">
        <f ca="1">IF(B341="", "", COUNTA(INDIRECT(D341 &amp; 3):INDIRECT(D341 &amp; 24)))</f>
        <v/>
      </c>
      <c r="F341" s="5" t="str">
        <f t="shared" si="12"/>
        <v/>
      </c>
      <c r="G341" s="5" t="str">
        <f>IF(F341="", "", IF(B341&lt;&gt;"", MATCH(B341, params!$B$2:$R$2, 0), G340))</f>
        <v/>
      </c>
      <c r="H341" s="5" t="str">
        <f t="shared" ca="1" si="11"/>
        <v/>
      </c>
      <c r="I341" s="2"/>
      <c r="J341" s="2"/>
      <c r="K341" s="2"/>
      <c r="L341" s="2"/>
      <c r="M341" s="2"/>
    </row>
    <row r="342" spans="1:13" ht="15.6" x14ac:dyDescent="0.3">
      <c r="A342" s="2"/>
      <c r="B342" s="5" t="str">
        <f>IF(COUNTIF(data_val!$E$3:$E$5, sample_log!$E342), sample_log!$C342 &amp; "_" &amp; sample_log!$D342, "")</f>
        <v/>
      </c>
      <c r="C342" s="5" t="str">
        <f>IF(B342="", IF(F342="", "", C341), IF(sample_log!E342="Triennial SASS", "tri_params", "params"))</f>
        <v/>
      </c>
      <c r="D342" s="5" t="str">
        <f>IF(B342="", "", C342 &amp; "!" &amp; CHAR(65+MATCH(B342, params!$B$2:$R$2, 0)))</f>
        <v/>
      </c>
      <c r="E342" s="5" t="str">
        <f ca="1">IF(B342="", "", COUNTA(INDIRECT(D342 &amp; 3):INDIRECT(D342 &amp; 24)))</f>
        <v/>
      </c>
      <c r="F342" s="5" t="str">
        <f t="shared" si="12"/>
        <v/>
      </c>
      <c r="G342" s="5" t="str">
        <f>IF(F342="", "", IF(B342&lt;&gt;"", MATCH(B342, params!$B$2:$R$2, 0), G341))</f>
        <v/>
      </c>
      <c r="H342" s="5" t="str">
        <f t="shared" ca="1" si="11"/>
        <v/>
      </c>
      <c r="I342" s="2"/>
      <c r="J342" s="2"/>
      <c r="K342" s="2"/>
      <c r="L342" s="2"/>
      <c r="M342" s="2"/>
    </row>
    <row r="343" spans="1:13" ht="15.6" x14ac:dyDescent="0.3">
      <c r="A343" s="2"/>
      <c r="B343" s="5" t="str">
        <f>IF(COUNTIF(data_val!$E$3:$E$5, sample_log!$E343), sample_log!$C343 &amp; "_" &amp; sample_log!$D343, "")</f>
        <v/>
      </c>
      <c r="C343" s="5" t="str">
        <f>IF(B343="", IF(F343="", "", C342), IF(sample_log!E343="Triennial SASS", "tri_params", "params"))</f>
        <v/>
      </c>
      <c r="D343" s="5" t="str">
        <f>IF(B343="", "", C343 &amp; "!" &amp; CHAR(65+MATCH(B343, params!$B$2:$R$2, 0)))</f>
        <v/>
      </c>
      <c r="E343" s="5" t="str">
        <f ca="1">IF(B343="", "", COUNTA(INDIRECT(D343 &amp; 3):INDIRECT(D343 &amp; 24)))</f>
        <v/>
      </c>
      <c r="F343" s="5" t="str">
        <f t="shared" si="12"/>
        <v/>
      </c>
      <c r="G343" s="5" t="str">
        <f>IF(F343="", "", IF(B343&lt;&gt;"", MATCH(B343, params!$B$2:$R$2, 0), G342))</f>
        <v/>
      </c>
      <c r="H343" s="5" t="str">
        <f t="shared" ca="1" si="11"/>
        <v/>
      </c>
      <c r="I343" s="2"/>
      <c r="J343" s="2"/>
      <c r="K343" s="2"/>
      <c r="L343" s="2"/>
      <c r="M343" s="2"/>
    </row>
    <row r="344" spans="1:13" ht="15.6" x14ac:dyDescent="0.3">
      <c r="A344" s="2"/>
      <c r="B344" s="5" t="str">
        <f>IF(COUNTIF(data_val!$E$3:$E$5, sample_log!$E344), sample_log!$C344 &amp; "_" &amp; sample_log!$D344, "")</f>
        <v/>
      </c>
      <c r="C344" s="5" t="str">
        <f>IF(B344="", IF(F344="", "", C343), IF(sample_log!E344="Triennial SASS", "tri_params", "params"))</f>
        <v/>
      </c>
      <c r="D344" s="5" t="str">
        <f>IF(B344="", "", C344 &amp; "!" &amp; CHAR(65+MATCH(B344, params!$B$2:$R$2, 0)))</f>
        <v/>
      </c>
      <c r="E344" s="5" t="str">
        <f ca="1">IF(B344="", "", COUNTA(INDIRECT(D344 &amp; 3):INDIRECT(D344 &amp; 24)))</f>
        <v/>
      </c>
      <c r="F344" s="5" t="str">
        <f t="shared" si="12"/>
        <v/>
      </c>
      <c r="G344" s="5" t="str">
        <f>IF(F344="", "", IF(B344&lt;&gt;"", MATCH(B344, params!$B$2:$R$2, 0), G343))</f>
        <v/>
      </c>
      <c r="H344" s="5" t="str">
        <f t="shared" ca="1" si="11"/>
        <v/>
      </c>
      <c r="I344" s="2"/>
      <c r="J344" s="2"/>
      <c r="K344" s="2"/>
      <c r="L344" s="2"/>
      <c r="M344" s="2"/>
    </row>
    <row r="345" spans="1:13" ht="15.6" x14ac:dyDescent="0.3">
      <c r="A345" s="2"/>
      <c r="B345" s="5" t="str">
        <f>IF(COUNTIF(data_val!$E$3:$E$5, sample_log!$E345), sample_log!$C345 &amp; "_" &amp; sample_log!$D345, "")</f>
        <v/>
      </c>
      <c r="C345" s="5" t="str">
        <f>IF(B345="", IF(F345="", "", C344), IF(sample_log!E345="Triennial SASS", "tri_params", "params"))</f>
        <v/>
      </c>
      <c r="D345" s="5" t="str">
        <f>IF(B345="", "", C345 &amp; "!" &amp; CHAR(65+MATCH(B345, params!$B$2:$R$2, 0)))</f>
        <v/>
      </c>
      <c r="E345" s="5" t="str">
        <f ca="1">IF(B345="", "", COUNTA(INDIRECT(D345 &amp; 3):INDIRECT(D345 &amp; 24)))</f>
        <v/>
      </c>
      <c r="F345" s="5" t="str">
        <f t="shared" si="12"/>
        <v/>
      </c>
      <c r="G345" s="5" t="str">
        <f>IF(F345="", "", IF(B345&lt;&gt;"", MATCH(B345, params!$B$2:$R$2, 0), G344))</f>
        <v/>
      </c>
      <c r="H345" s="5" t="str">
        <f t="shared" ref="H345:H408" ca="1" si="13">IF($F345="", "", INDEX(INDIRECT("'" &amp; C345 &amp; "'!$B$3:$R$24"), $F345, $G345))</f>
        <v/>
      </c>
      <c r="I345" s="2"/>
      <c r="J345" s="2"/>
      <c r="K345" s="2"/>
      <c r="L345" s="2"/>
      <c r="M345" s="2"/>
    </row>
    <row r="346" spans="1:13" ht="15.6" x14ac:dyDescent="0.3">
      <c r="A346" s="2"/>
      <c r="B346" s="5" t="str">
        <f>IF(COUNTIF(data_val!$E$3:$E$5, sample_log!$E346), sample_log!$C346 &amp; "_" &amp; sample_log!$D346, "")</f>
        <v/>
      </c>
      <c r="C346" s="5" t="str">
        <f>IF(B346="", IF(F346="", "", C345), IF(sample_log!E346="Triennial SASS", "tri_params", "params"))</f>
        <v/>
      </c>
      <c r="D346" s="5" t="str">
        <f>IF(B346="", "", C346 &amp; "!" &amp; CHAR(65+MATCH(B346, params!$B$2:$R$2, 0)))</f>
        <v/>
      </c>
      <c r="E346" s="5" t="str">
        <f ca="1">IF(B346="", "", COUNTA(INDIRECT(D346 &amp; 3):INDIRECT(D346 &amp; 24)))</f>
        <v/>
      </c>
      <c r="F346" s="5" t="str">
        <f t="shared" si="12"/>
        <v/>
      </c>
      <c r="G346" s="5" t="str">
        <f>IF(F346="", "", IF(B346&lt;&gt;"", MATCH(B346, params!$B$2:$R$2, 0), G345))</f>
        <v/>
      </c>
      <c r="H346" s="5" t="str">
        <f t="shared" ca="1" si="13"/>
        <v/>
      </c>
      <c r="I346" s="2"/>
      <c r="J346" s="2"/>
      <c r="K346" s="2"/>
      <c r="L346" s="2"/>
      <c r="M346" s="2"/>
    </row>
    <row r="347" spans="1:13" ht="15.6" x14ac:dyDescent="0.3">
      <c r="A347" s="2"/>
      <c r="B347" s="5" t="str">
        <f>IF(COUNTIF(data_val!$E$3:$E$5, sample_log!$E347), sample_log!$C347 &amp; "_" &amp; sample_log!$D347, "")</f>
        <v/>
      </c>
      <c r="C347" s="5" t="str">
        <f>IF(B347="", IF(F347="", "", C346), IF(sample_log!E347="Triennial SASS", "tri_params", "params"))</f>
        <v/>
      </c>
      <c r="D347" s="5" t="str">
        <f>IF(B347="", "", C347 &amp; "!" &amp; CHAR(65+MATCH(B347, params!$B$2:$R$2, 0)))</f>
        <v/>
      </c>
      <c r="E347" s="5" t="str">
        <f ca="1">IF(B347="", "", COUNTA(INDIRECT(D347 &amp; 3):INDIRECT(D347 &amp; 24)))</f>
        <v/>
      </c>
      <c r="F347" s="5" t="str">
        <f t="shared" si="12"/>
        <v/>
      </c>
      <c r="G347" s="5" t="str">
        <f>IF(F347="", "", IF(B347&lt;&gt;"", MATCH(B347, params!$B$2:$R$2, 0), G346))</f>
        <v/>
      </c>
      <c r="H347" s="5" t="str">
        <f t="shared" ca="1" si="13"/>
        <v/>
      </c>
      <c r="I347" s="2"/>
      <c r="J347" s="2"/>
      <c r="K347" s="2"/>
      <c r="L347" s="2"/>
      <c r="M347" s="2"/>
    </row>
    <row r="348" spans="1:13" ht="15.6" x14ac:dyDescent="0.3">
      <c r="A348" s="2"/>
      <c r="B348" s="5" t="str">
        <f>IF(COUNTIF(data_val!$E$3:$E$5, sample_log!$E348), sample_log!$C348 &amp; "_" &amp; sample_log!$D348, "")</f>
        <v/>
      </c>
      <c r="C348" s="5" t="str">
        <f>IF(B348="", IF(F348="", "", C347), IF(sample_log!E348="Triennial SASS", "tri_params", "params"))</f>
        <v/>
      </c>
      <c r="D348" s="5" t="str">
        <f>IF(B348="", "", C348 &amp; "!" &amp; CHAR(65+MATCH(B348, params!$B$2:$R$2, 0)))</f>
        <v/>
      </c>
      <c r="E348" s="5" t="str">
        <f ca="1">IF(B348="", "", COUNTA(INDIRECT(D348 &amp; 3):INDIRECT(D348 &amp; 24)))</f>
        <v/>
      </c>
      <c r="F348" s="5" t="str">
        <f t="shared" si="12"/>
        <v/>
      </c>
      <c r="G348" s="5" t="str">
        <f>IF(F348="", "", IF(B348&lt;&gt;"", MATCH(B348, params!$B$2:$R$2, 0), G347))</f>
        <v/>
      </c>
      <c r="H348" s="5" t="str">
        <f t="shared" ca="1" si="13"/>
        <v/>
      </c>
      <c r="I348" s="2"/>
      <c r="J348" s="2"/>
      <c r="K348" s="2"/>
      <c r="L348" s="2"/>
      <c r="M348" s="2"/>
    </row>
    <row r="349" spans="1:13" ht="15.6" x14ac:dyDescent="0.3">
      <c r="A349" s="2"/>
      <c r="B349" s="5" t="str">
        <f>IF(COUNTIF(data_val!$E$3:$E$5, sample_log!$E349), sample_log!$C349 &amp; "_" &amp; sample_log!$D349, "")</f>
        <v/>
      </c>
      <c r="C349" s="5" t="str">
        <f>IF(B349="", IF(F349="", "", C348), IF(sample_log!E349="Triennial SASS", "tri_params", "params"))</f>
        <v/>
      </c>
      <c r="D349" s="5" t="str">
        <f>IF(B349="", "", C349 &amp; "!" &amp; CHAR(65+MATCH(B349, params!$B$2:$R$2, 0)))</f>
        <v/>
      </c>
      <c r="E349" s="5" t="str">
        <f ca="1">IF(B349="", "", COUNTA(INDIRECT(D349 &amp; 3):INDIRECT(D349 &amp; 24)))</f>
        <v/>
      </c>
      <c r="F349" s="5" t="str">
        <f t="shared" si="12"/>
        <v/>
      </c>
      <c r="G349" s="5" t="str">
        <f>IF(F349="", "", IF(B349&lt;&gt;"", MATCH(B349, params!$B$2:$R$2, 0), G348))</f>
        <v/>
      </c>
      <c r="H349" s="5" t="str">
        <f t="shared" ca="1" si="13"/>
        <v/>
      </c>
      <c r="I349" s="2"/>
      <c r="J349" s="2"/>
      <c r="K349" s="2"/>
      <c r="L349" s="2"/>
      <c r="M349" s="2"/>
    </row>
    <row r="350" spans="1:13" ht="15.6" x14ac:dyDescent="0.3">
      <c r="A350" s="2"/>
      <c r="B350" s="5" t="str">
        <f>IF(COUNTIF(data_val!$E$3:$E$5, sample_log!$E350), sample_log!$C350 &amp; "_" &amp; sample_log!$D350, "")</f>
        <v/>
      </c>
      <c r="C350" s="5" t="str">
        <f>IF(B350="", IF(F350="", "", C349), IF(sample_log!E350="Triennial SASS", "tri_params", "params"))</f>
        <v/>
      </c>
      <c r="D350" s="5" t="str">
        <f>IF(B350="", "", C350 &amp; "!" &amp; CHAR(65+MATCH(B350, params!$B$2:$R$2, 0)))</f>
        <v/>
      </c>
      <c r="E350" s="5" t="str">
        <f ca="1">IF(B350="", "", COUNTA(INDIRECT(D350 &amp; 3):INDIRECT(D350 &amp; 24)))</f>
        <v/>
      </c>
      <c r="F350" s="5" t="str">
        <f t="shared" si="12"/>
        <v/>
      </c>
      <c r="G350" s="5" t="str">
        <f>IF(F350="", "", IF(B350&lt;&gt;"", MATCH(B350, params!$B$2:$R$2, 0), G349))</f>
        <v/>
      </c>
      <c r="H350" s="5" t="str">
        <f t="shared" ca="1" si="13"/>
        <v/>
      </c>
      <c r="I350" s="2"/>
      <c r="J350" s="2"/>
      <c r="K350" s="2"/>
      <c r="L350" s="2"/>
      <c r="M350" s="2"/>
    </row>
    <row r="351" spans="1:13" ht="15.6" x14ac:dyDescent="0.3">
      <c r="A351" s="2"/>
      <c r="B351" s="5" t="str">
        <f>IF(COUNTIF(data_val!$E$3:$E$5, sample_log!$E351), sample_log!$C351 &amp; "_" &amp; sample_log!$D351, "")</f>
        <v/>
      </c>
      <c r="C351" s="5" t="str">
        <f>IF(B351="", IF(F351="", "", C350), IF(sample_log!E351="Triennial SASS", "tri_params", "params"))</f>
        <v/>
      </c>
      <c r="D351" s="5" t="str">
        <f>IF(B351="", "", C351 &amp; "!" &amp; CHAR(65+MATCH(B351, params!$B$2:$R$2, 0)))</f>
        <v/>
      </c>
      <c r="E351" s="5" t="str">
        <f ca="1">IF(B351="", "", COUNTA(INDIRECT(D351 &amp; 3):INDIRECT(D351 &amp; 24)))</f>
        <v/>
      </c>
      <c r="F351" s="5" t="str">
        <f t="shared" si="12"/>
        <v/>
      </c>
      <c r="G351" s="5" t="str">
        <f>IF(F351="", "", IF(B351&lt;&gt;"", MATCH(B351, params!$B$2:$R$2, 0), G350))</f>
        <v/>
      </c>
      <c r="H351" s="5" t="str">
        <f t="shared" ca="1" si="13"/>
        <v/>
      </c>
      <c r="I351" s="2"/>
      <c r="J351" s="2"/>
      <c r="K351" s="2"/>
      <c r="L351" s="2"/>
      <c r="M351" s="2"/>
    </row>
    <row r="352" spans="1:13" ht="15.6" x14ac:dyDescent="0.3">
      <c r="A352" s="2"/>
      <c r="B352" s="5" t="str">
        <f>IF(COUNTIF(data_val!$E$3:$E$5, sample_log!$E352), sample_log!$C352 &amp; "_" &amp; sample_log!$D352, "")</f>
        <v/>
      </c>
      <c r="C352" s="5" t="str">
        <f>IF(B352="", IF(F352="", "", C351), IF(sample_log!E352="Triennial SASS", "tri_params", "params"))</f>
        <v/>
      </c>
      <c r="D352" s="5" t="str">
        <f>IF(B352="", "", C352 &amp; "!" &amp; CHAR(65+MATCH(B352, params!$B$2:$R$2, 0)))</f>
        <v/>
      </c>
      <c r="E352" s="5" t="str">
        <f ca="1">IF(B352="", "", COUNTA(INDIRECT(D352 &amp; 3):INDIRECT(D352 &amp; 24)))</f>
        <v/>
      </c>
      <c r="F352" s="5" t="str">
        <f t="shared" si="12"/>
        <v/>
      </c>
      <c r="G352" s="5" t="str">
        <f>IF(F352="", "", IF(B352&lt;&gt;"", MATCH(B352, params!$B$2:$R$2, 0), G351))</f>
        <v/>
      </c>
      <c r="H352" s="5" t="str">
        <f t="shared" ca="1" si="13"/>
        <v/>
      </c>
      <c r="I352" s="2"/>
      <c r="J352" s="2"/>
      <c r="K352" s="2"/>
      <c r="L352" s="2"/>
      <c r="M352" s="2"/>
    </row>
    <row r="353" spans="1:13" ht="15.6" x14ac:dyDescent="0.3">
      <c r="A353" s="2"/>
      <c r="B353" s="5" t="str">
        <f>IF(COUNTIF(data_val!$E$3:$E$5, sample_log!$E353), sample_log!$C353 &amp; "_" &amp; sample_log!$D353, "")</f>
        <v/>
      </c>
      <c r="C353" s="5" t="str">
        <f>IF(B353="", IF(F353="", "", C352), IF(sample_log!E353="Triennial SASS", "tri_params", "params"))</f>
        <v/>
      </c>
      <c r="D353" s="5" t="str">
        <f>IF(B353="", "", C353 &amp; "!" &amp; CHAR(65+MATCH(B353, params!$B$2:$R$2, 0)))</f>
        <v/>
      </c>
      <c r="E353" s="5" t="str">
        <f ca="1">IF(B353="", "", COUNTA(INDIRECT(D353 &amp; 3):INDIRECT(D353 &amp; 24)))</f>
        <v/>
      </c>
      <c r="F353" s="5" t="str">
        <f t="shared" si="12"/>
        <v/>
      </c>
      <c r="G353" s="5" t="str">
        <f>IF(F353="", "", IF(B353&lt;&gt;"", MATCH(B353, params!$B$2:$R$2, 0), G352))</f>
        <v/>
      </c>
      <c r="H353" s="5" t="str">
        <f t="shared" ca="1" si="13"/>
        <v/>
      </c>
      <c r="I353" s="2"/>
      <c r="J353" s="2"/>
      <c r="K353" s="2"/>
      <c r="L353" s="2"/>
      <c r="M353" s="2"/>
    </row>
    <row r="354" spans="1:13" ht="15.6" x14ac:dyDescent="0.3">
      <c r="A354" s="2"/>
      <c r="B354" s="5" t="str">
        <f>IF(COUNTIF(data_val!$E$3:$E$5, sample_log!$E354), sample_log!$C354 &amp; "_" &amp; sample_log!$D354, "")</f>
        <v/>
      </c>
      <c r="C354" s="5" t="str">
        <f>IF(B354="", IF(F354="", "", C353), IF(sample_log!E354="Triennial SASS", "tri_params", "params"))</f>
        <v/>
      </c>
      <c r="D354" s="5" t="str">
        <f>IF(B354="", "", C354 &amp; "!" &amp; CHAR(65+MATCH(B354, params!$B$2:$R$2, 0)))</f>
        <v/>
      </c>
      <c r="E354" s="5" t="str">
        <f ca="1">IF(B354="", "", COUNTA(INDIRECT(D354 &amp; 3):INDIRECT(D354 &amp; 24)))</f>
        <v/>
      </c>
      <c r="F354" s="5" t="str">
        <f t="shared" si="12"/>
        <v/>
      </c>
      <c r="G354" s="5" t="str">
        <f>IF(F354="", "", IF(B354&lt;&gt;"", MATCH(B354, params!$B$2:$R$2, 0), G353))</f>
        <v/>
      </c>
      <c r="H354" s="5" t="str">
        <f t="shared" ca="1" si="13"/>
        <v/>
      </c>
      <c r="I354" s="2"/>
      <c r="J354" s="2"/>
      <c r="K354" s="2"/>
      <c r="L354" s="2"/>
      <c r="M354" s="2"/>
    </row>
    <row r="355" spans="1:13" ht="15.6" x14ac:dyDescent="0.3">
      <c r="A355" s="2"/>
      <c r="B355" s="5" t="str">
        <f>IF(COUNTIF(data_val!$E$3:$E$5, sample_log!$E355), sample_log!$C355 &amp; "_" &amp; sample_log!$D355, "")</f>
        <v/>
      </c>
      <c r="C355" s="5" t="str">
        <f>IF(B355="", IF(F355="", "", C354), IF(sample_log!E355="Triennial SASS", "tri_params", "params"))</f>
        <v/>
      </c>
      <c r="D355" s="5" t="str">
        <f>IF(B355="", "", C355 &amp; "!" &amp; CHAR(65+MATCH(B355, params!$B$2:$R$2, 0)))</f>
        <v/>
      </c>
      <c r="E355" s="5" t="str">
        <f ca="1">IF(B355="", "", COUNTA(INDIRECT(D355 &amp; 3):INDIRECT(D355 &amp; 24)))</f>
        <v/>
      </c>
      <c r="F355" s="5" t="str">
        <f t="shared" si="12"/>
        <v/>
      </c>
      <c r="G355" s="5" t="str">
        <f>IF(F355="", "", IF(B355&lt;&gt;"", MATCH(B355, params!$B$2:$R$2, 0), G354))</f>
        <v/>
      </c>
      <c r="H355" s="5" t="str">
        <f t="shared" ca="1" si="13"/>
        <v/>
      </c>
      <c r="I355" s="2"/>
      <c r="J355" s="2"/>
      <c r="K355" s="2"/>
      <c r="L355" s="2"/>
      <c r="M355" s="2"/>
    </row>
    <row r="356" spans="1:13" ht="15.6" x14ac:dyDescent="0.3">
      <c r="A356" s="2"/>
      <c r="B356" s="5" t="str">
        <f>IF(COUNTIF(data_val!$E$3:$E$5, sample_log!$E356), sample_log!$C356 &amp; "_" &amp; sample_log!$D356, "")</f>
        <v/>
      </c>
      <c r="C356" s="5" t="str">
        <f>IF(B356="", IF(F356="", "", C355), IF(sample_log!E356="Triennial SASS", "tri_params", "params"))</f>
        <v/>
      </c>
      <c r="D356" s="5" t="str">
        <f>IF(B356="", "", C356 &amp; "!" &amp; CHAR(65+MATCH(B356, params!$B$2:$R$2, 0)))</f>
        <v/>
      </c>
      <c r="E356" s="5" t="str">
        <f ca="1">IF(B356="", "", COUNTA(INDIRECT(D356 &amp; 3):INDIRECT(D356 &amp; 24)))</f>
        <v/>
      </c>
      <c r="F356" s="5" t="str">
        <f t="shared" si="12"/>
        <v/>
      </c>
      <c r="G356" s="5" t="str">
        <f>IF(F356="", "", IF(B356&lt;&gt;"", MATCH(B356, params!$B$2:$R$2, 0), G355))</f>
        <v/>
      </c>
      <c r="H356" s="5" t="str">
        <f t="shared" ca="1" si="13"/>
        <v/>
      </c>
      <c r="I356" s="2"/>
      <c r="J356" s="2"/>
      <c r="K356" s="2"/>
      <c r="L356" s="2"/>
      <c r="M356" s="2"/>
    </row>
    <row r="357" spans="1:13" ht="15.6" x14ac:dyDescent="0.3">
      <c r="A357" s="2"/>
      <c r="B357" s="5" t="str">
        <f>IF(COUNTIF(data_val!$E$3:$E$5, sample_log!$E357), sample_log!$C357 &amp; "_" &amp; sample_log!$D357, "")</f>
        <v/>
      </c>
      <c r="C357" s="5" t="str">
        <f>IF(B357="", IF(F357="", "", C356), IF(sample_log!E357="Triennial SASS", "tri_params", "params"))</f>
        <v/>
      </c>
      <c r="D357" s="5" t="str">
        <f>IF(B357="", "", C357 &amp; "!" &amp; CHAR(65+MATCH(B357, params!$B$2:$R$2, 0)))</f>
        <v/>
      </c>
      <c r="E357" s="5" t="str">
        <f ca="1">IF(B357="", "", COUNTA(INDIRECT(D357 &amp; 3):INDIRECT(D357 &amp; 24)))</f>
        <v/>
      </c>
      <c r="F357" s="5" t="str">
        <f t="shared" si="12"/>
        <v/>
      </c>
      <c r="G357" s="5" t="str">
        <f>IF(F357="", "", IF(B357&lt;&gt;"", MATCH(B357, params!$B$2:$R$2, 0), G356))</f>
        <v/>
      </c>
      <c r="H357" s="5" t="str">
        <f t="shared" ca="1" si="13"/>
        <v/>
      </c>
      <c r="I357" s="2"/>
      <c r="J357" s="2"/>
      <c r="K357" s="2"/>
      <c r="L357" s="2"/>
      <c r="M357" s="2"/>
    </row>
    <row r="358" spans="1:13" ht="15.6" x14ac:dyDescent="0.3">
      <c r="A358" s="2"/>
      <c r="B358" s="5" t="str">
        <f>IF(COUNTIF(data_val!$E$3:$E$5, sample_log!$E358), sample_log!$C358 &amp; "_" &amp; sample_log!$D358, "")</f>
        <v/>
      </c>
      <c r="C358" s="5" t="str">
        <f>IF(B358="", IF(F358="", "", C357), IF(sample_log!E358="Triennial SASS", "tri_params", "params"))</f>
        <v/>
      </c>
      <c r="D358" s="5" t="str">
        <f>IF(B358="", "", C358 &amp; "!" &amp; CHAR(65+MATCH(B358, params!$B$2:$R$2, 0)))</f>
        <v/>
      </c>
      <c r="E358" s="5" t="str">
        <f ca="1">IF(B358="", "", COUNTA(INDIRECT(D358 &amp; 3):INDIRECT(D358 &amp; 24)))</f>
        <v/>
      </c>
      <c r="F358" s="5" t="str">
        <f t="shared" si="12"/>
        <v/>
      </c>
      <c r="G358" s="5" t="str">
        <f>IF(F358="", "", IF(B358&lt;&gt;"", MATCH(B358, params!$B$2:$R$2, 0), G357))</f>
        <v/>
      </c>
      <c r="H358" s="5" t="str">
        <f t="shared" ca="1" si="13"/>
        <v/>
      </c>
      <c r="I358" s="2"/>
      <c r="J358" s="2"/>
      <c r="K358" s="2"/>
      <c r="L358" s="2"/>
      <c r="M358" s="2"/>
    </row>
    <row r="359" spans="1:13" ht="15.6" x14ac:dyDescent="0.3">
      <c r="A359" s="2"/>
      <c r="B359" s="5" t="str">
        <f>IF(COUNTIF(data_val!$E$3:$E$5, sample_log!$E359), sample_log!$C359 &amp; "_" &amp; sample_log!$D359, "")</f>
        <v/>
      </c>
      <c r="C359" s="5" t="str">
        <f>IF(B359="", IF(F359="", "", C358), IF(sample_log!E359="Triennial SASS", "tri_params", "params"))</f>
        <v/>
      </c>
      <c r="D359" s="5" t="str">
        <f>IF(B359="", "", C359 &amp; "!" &amp; CHAR(65+MATCH(B359, params!$B$2:$R$2, 0)))</f>
        <v/>
      </c>
      <c r="E359" s="5" t="str">
        <f ca="1">IF(B359="", "", COUNTA(INDIRECT(D359 &amp; 3):INDIRECT(D359 &amp; 24)))</f>
        <v/>
      </c>
      <c r="F359" s="5" t="str">
        <f t="shared" si="12"/>
        <v/>
      </c>
      <c r="G359" s="5" t="str">
        <f>IF(F359="", "", IF(B359&lt;&gt;"", MATCH(B359, params!$B$2:$R$2, 0), G358))</f>
        <v/>
      </c>
      <c r="H359" s="5" t="str">
        <f t="shared" ca="1" si="13"/>
        <v/>
      </c>
      <c r="I359" s="2"/>
      <c r="J359" s="2"/>
      <c r="K359" s="2"/>
      <c r="L359" s="2"/>
      <c r="M359" s="2"/>
    </row>
    <row r="360" spans="1:13" ht="15.6" x14ac:dyDescent="0.3">
      <c r="A360" s="2"/>
      <c r="B360" s="5" t="str">
        <f>IF(COUNTIF(data_val!$E$3:$E$5, sample_log!$E360), sample_log!$C360 &amp; "_" &amp; sample_log!$D360, "")</f>
        <v/>
      </c>
      <c r="C360" s="5" t="str">
        <f>IF(B360="", IF(F360="", "", C359), IF(sample_log!E360="Triennial SASS", "tri_params", "params"))</f>
        <v/>
      </c>
      <c r="D360" s="5" t="str">
        <f>IF(B360="", "", C360 &amp; "!" &amp; CHAR(65+MATCH(B360, params!$B$2:$R$2, 0)))</f>
        <v/>
      </c>
      <c r="E360" s="5" t="str">
        <f ca="1">IF(B360="", "", COUNTA(INDIRECT(D360 &amp; 3):INDIRECT(D360 &amp; 24)))</f>
        <v/>
      </c>
      <c r="F360" s="5" t="str">
        <f t="shared" si="12"/>
        <v/>
      </c>
      <c r="G360" s="5" t="str">
        <f>IF(F360="", "", IF(B360&lt;&gt;"", MATCH(B360, params!$B$2:$R$2, 0), G359))</f>
        <v/>
      </c>
      <c r="H360" s="5" t="str">
        <f t="shared" ca="1" si="13"/>
        <v/>
      </c>
      <c r="I360" s="2"/>
      <c r="J360" s="2"/>
      <c r="K360" s="2"/>
      <c r="L360" s="2"/>
      <c r="M360" s="2"/>
    </row>
    <row r="361" spans="1:13" ht="15.6" x14ac:dyDescent="0.3">
      <c r="A361" s="2"/>
      <c r="B361" s="5" t="str">
        <f>IF(COUNTIF(data_val!$E$3:$E$5, sample_log!$E361), sample_log!$C361 &amp; "_" &amp; sample_log!$D361, "")</f>
        <v/>
      </c>
      <c r="C361" s="5" t="str">
        <f>IF(B361="", IF(F361="", "", C360), IF(sample_log!E361="Triennial SASS", "tri_params", "params"))</f>
        <v/>
      </c>
      <c r="D361" s="5" t="str">
        <f>IF(B361="", "", C361 &amp; "!" &amp; CHAR(65+MATCH(B361, params!$B$2:$R$2, 0)))</f>
        <v/>
      </c>
      <c r="E361" s="5" t="str">
        <f ca="1">IF(B361="", "", COUNTA(INDIRECT(D361 &amp; 3):INDIRECT(D361 &amp; 24)))</f>
        <v/>
      </c>
      <c r="F361" s="5" t="str">
        <f t="shared" si="12"/>
        <v/>
      </c>
      <c r="G361" s="5" t="str">
        <f>IF(F361="", "", IF(B361&lt;&gt;"", MATCH(B361, params!$B$2:$R$2, 0), G360))</f>
        <v/>
      </c>
      <c r="H361" s="5" t="str">
        <f t="shared" ca="1" si="13"/>
        <v/>
      </c>
      <c r="I361" s="2"/>
      <c r="J361" s="2"/>
      <c r="K361" s="2"/>
      <c r="L361" s="2"/>
      <c r="M361" s="2"/>
    </row>
    <row r="362" spans="1:13" ht="15.6" x14ac:dyDescent="0.3">
      <c r="A362" s="2"/>
      <c r="B362" s="5" t="str">
        <f>IF(COUNTIF(data_val!$E$3:$E$5, sample_log!$E362), sample_log!$C362 &amp; "_" &amp; sample_log!$D362, "")</f>
        <v/>
      </c>
      <c r="C362" s="5" t="str">
        <f>IF(B362="", IF(F362="", "", C361), IF(sample_log!E362="Triennial SASS", "tri_params", "params"))</f>
        <v/>
      </c>
      <c r="D362" s="5" t="str">
        <f>IF(B362="", "", C362 &amp; "!" &amp; CHAR(65+MATCH(B362, params!$B$2:$R$2, 0)))</f>
        <v/>
      </c>
      <c r="E362" s="5" t="str">
        <f ca="1">IF(B362="", "", COUNTA(INDIRECT(D362 &amp; 3):INDIRECT(D362 &amp; 24)))</f>
        <v/>
      </c>
      <c r="F362" s="5" t="str">
        <f t="shared" si="12"/>
        <v/>
      </c>
      <c r="G362" s="5" t="str">
        <f>IF(F362="", "", IF(B362&lt;&gt;"", MATCH(B362, params!$B$2:$R$2, 0), G361))</f>
        <v/>
      </c>
      <c r="H362" s="5" t="str">
        <f t="shared" ca="1" si="13"/>
        <v/>
      </c>
      <c r="I362" s="2"/>
      <c r="J362" s="2"/>
      <c r="K362" s="2"/>
      <c r="L362" s="2"/>
      <c r="M362" s="2"/>
    </row>
    <row r="363" spans="1:13" ht="15.6" x14ac:dyDescent="0.3">
      <c r="A363" s="2"/>
      <c r="B363" s="5" t="str">
        <f>IF(COUNTIF(data_val!$E$3:$E$5, sample_log!$E363), sample_log!$C363 &amp; "_" &amp; sample_log!$D363, "")</f>
        <v/>
      </c>
      <c r="C363" s="5" t="str">
        <f>IF(B363="", IF(F363="", "", C362), IF(sample_log!E363="Triennial SASS", "tri_params", "params"))</f>
        <v/>
      </c>
      <c r="D363" s="5" t="str">
        <f>IF(B363="", "", C363 &amp; "!" &amp; CHAR(65+MATCH(B363, params!$B$2:$R$2, 0)))</f>
        <v/>
      </c>
      <c r="E363" s="5" t="str">
        <f ca="1">IF(B363="", "", COUNTA(INDIRECT(D363 &amp; 3):INDIRECT(D363 &amp; 24)))</f>
        <v/>
      </c>
      <c r="F363" s="5" t="str">
        <f t="shared" si="12"/>
        <v/>
      </c>
      <c r="G363" s="5" t="str">
        <f>IF(F363="", "", IF(B363&lt;&gt;"", MATCH(B363, params!$B$2:$R$2, 0), G362))</f>
        <v/>
      </c>
      <c r="H363" s="5" t="str">
        <f t="shared" ca="1" si="13"/>
        <v/>
      </c>
      <c r="I363" s="2"/>
      <c r="J363" s="2"/>
      <c r="K363" s="2"/>
      <c r="L363" s="2"/>
      <c r="M363" s="2"/>
    </row>
    <row r="364" spans="1:13" ht="15.6" x14ac:dyDescent="0.3">
      <c r="A364" s="2"/>
      <c r="B364" s="5" t="str">
        <f>IF(COUNTIF(data_val!$E$3:$E$5, sample_log!$E364), sample_log!$C364 &amp; "_" &amp; sample_log!$D364, "")</f>
        <v/>
      </c>
      <c r="C364" s="5" t="str">
        <f>IF(B364="", IF(F364="", "", C363), IF(sample_log!E364="Triennial SASS", "tri_params", "params"))</f>
        <v/>
      </c>
      <c r="D364" s="5" t="str">
        <f>IF(B364="", "", C364 &amp; "!" &amp; CHAR(65+MATCH(B364, params!$B$2:$R$2, 0)))</f>
        <v/>
      </c>
      <c r="E364" s="5" t="str">
        <f ca="1">IF(B364="", "", COUNTA(INDIRECT(D364 &amp; 3):INDIRECT(D364 &amp; 24)))</f>
        <v/>
      </c>
      <c r="F364" s="5" t="str">
        <f t="shared" si="12"/>
        <v/>
      </c>
      <c r="G364" s="5" t="str">
        <f>IF(F364="", "", IF(B364&lt;&gt;"", MATCH(B364, params!$B$2:$R$2, 0), G363))</f>
        <v/>
      </c>
      <c r="H364" s="5" t="str">
        <f t="shared" ca="1" si="13"/>
        <v/>
      </c>
      <c r="I364" s="2"/>
      <c r="J364" s="2"/>
      <c r="K364" s="2"/>
      <c r="L364" s="2"/>
      <c r="M364" s="2"/>
    </row>
    <row r="365" spans="1:13" ht="15.6" x14ac:dyDescent="0.3">
      <c r="A365" s="2"/>
      <c r="B365" s="5" t="str">
        <f>IF(COUNTIF(data_val!$E$3:$E$5, sample_log!$E365), sample_log!$C365 &amp; "_" &amp; sample_log!$D365, "")</f>
        <v/>
      </c>
      <c r="C365" s="5" t="str">
        <f>IF(B365="", IF(F365="", "", C364), IF(sample_log!E365="Triennial SASS", "tri_params", "params"))</f>
        <v/>
      </c>
      <c r="D365" s="5" t="str">
        <f>IF(B365="", "", C365 &amp; "!" &amp; CHAR(65+MATCH(B365, params!$B$2:$R$2, 0)))</f>
        <v/>
      </c>
      <c r="E365" s="5" t="str">
        <f ca="1">IF(B365="", "", COUNTA(INDIRECT(D365 &amp; 3):INDIRECT(D365 &amp; 24)))</f>
        <v/>
      </c>
      <c r="F365" s="5" t="str">
        <f t="shared" si="12"/>
        <v/>
      </c>
      <c r="G365" s="5" t="str">
        <f>IF(F365="", "", IF(B365&lt;&gt;"", MATCH(B365, params!$B$2:$R$2, 0), G364))</f>
        <v/>
      </c>
      <c r="H365" s="5" t="str">
        <f t="shared" ca="1" si="13"/>
        <v/>
      </c>
      <c r="I365" s="2"/>
      <c r="J365" s="2"/>
      <c r="K365" s="2"/>
      <c r="L365" s="2"/>
      <c r="M365" s="2"/>
    </row>
    <row r="366" spans="1:13" ht="15.6" x14ac:dyDescent="0.3">
      <c r="A366" s="2"/>
      <c r="B366" s="5" t="str">
        <f>IF(COUNTIF(data_val!$E$3:$E$5, sample_log!$E366), sample_log!$C366 &amp; "_" &amp; sample_log!$D366, "")</f>
        <v/>
      </c>
      <c r="C366" s="5" t="str">
        <f>IF(B366="", IF(F366="", "", C365), IF(sample_log!E366="Triennial SASS", "tri_params", "params"))</f>
        <v/>
      </c>
      <c r="D366" s="5" t="str">
        <f>IF(B366="", "", C366 &amp; "!" &amp; CHAR(65+MATCH(B366, params!$B$2:$R$2, 0)))</f>
        <v/>
      </c>
      <c r="E366" s="5" t="str">
        <f ca="1">IF(B366="", "", COUNTA(INDIRECT(D366 &amp; 3):INDIRECT(D366 &amp; 24)))</f>
        <v/>
      </c>
      <c r="F366" s="5" t="str">
        <f t="shared" si="12"/>
        <v/>
      </c>
      <c r="G366" s="5" t="str">
        <f>IF(F366="", "", IF(B366&lt;&gt;"", MATCH(B366, params!$B$2:$R$2, 0), G365))</f>
        <v/>
      </c>
      <c r="H366" s="5" t="str">
        <f t="shared" ca="1" si="13"/>
        <v/>
      </c>
      <c r="I366" s="2"/>
      <c r="J366" s="2"/>
      <c r="K366" s="2"/>
      <c r="L366" s="2"/>
      <c r="M366" s="2"/>
    </row>
    <row r="367" spans="1:13" ht="15.6" x14ac:dyDescent="0.3">
      <c r="A367" s="2"/>
      <c r="B367" s="5" t="str">
        <f>IF(COUNTIF(data_val!$E$3:$E$5, sample_log!$E367), sample_log!$C367 &amp; "_" &amp; sample_log!$D367, "")</f>
        <v/>
      </c>
      <c r="C367" s="5" t="str">
        <f>IF(B367="", IF(F367="", "", C366), IF(sample_log!E367="Triennial SASS", "tri_params", "params"))</f>
        <v/>
      </c>
      <c r="D367" s="5" t="str">
        <f>IF(B367="", "", C367 &amp; "!" &amp; CHAR(65+MATCH(B367, params!$B$2:$R$2, 0)))</f>
        <v/>
      </c>
      <c r="E367" s="5" t="str">
        <f ca="1">IF(B367="", "", COUNTA(INDIRECT(D367 &amp; 3):INDIRECT(D367 &amp; 24)))</f>
        <v/>
      </c>
      <c r="F367" s="5" t="str">
        <f t="shared" si="12"/>
        <v/>
      </c>
      <c r="G367" s="5" t="str">
        <f>IF(F367="", "", IF(B367&lt;&gt;"", MATCH(B367, params!$B$2:$R$2, 0), G366))</f>
        <v/>
      </c>
      <c r="H367" s="5" t="str">
        <f t="shared" ca="1" si="13"/>
        <v/>
      </c>
      <c r="I367" s="2"/>
      <c r="J367" s="2"/>
      <c r="K367" s="2"/>
      <c r="L367" s="2"/>
      <c r="M367" s="2"/>
    </row>
    <row r="368" spans="1:13" ht="15.6" x14ac:dyDescent="0.3">
      <c r="A368" s="2"/>
      <c r="B368" s="5" t="str">
        <f>IF(COUNTIF(data_val!$E$3:$E$5, sample_log!$E368), sample_log!$C368 &amp; "_" &amp; sample_log!$D368, "")</f>
        <v/>
      </c>
      <c r="C368" s="5" t="str">
        <f>IF(B368="", IF(F368="", "", C367), IF(sample_log!E368="Triennial SASS", "tri_params", "params"))</f>
        <v/>
      </c>
      <c r="D368" s="5" t="str">
        <f>IF(B368="", "", C368 &amp; "!" &amp; CHAR(65+MATCH(B368, params!$B$2:$R$2, 0)))</f>
        <v/>
      </c>
      <c r="E368" s="5" t="str">
        <f ca="1">IF(B368="", "", COUNTA(INDIRECT(D368 &amp; 3):INDIRECT(D368 &amp; 24)))</f>
        <v/>
      </c>
      <c r="F368" s="5" t="str">
        <f t="shared" si="12"/>
        <v/>
      </c>
      <c r="G368" s="5" t="str">
        <f>IF(F368="", "", IF(B368&lt;&gt;"", MATCH(B368, params!$B$2:$R$2, 0), G367))</f>
        <v/>
      </c>
      <c r="H368" s="5" t="str">
        <f t="shared" ca="1" si="13"/>
        <v/>
      </c>
      <c r="I368" s="2"/>
      <c r="J368" s="2"/>
      <c r="K368" s="2"/>
      <c r="L368" s="2"/>
      <c r="M368" s="2"/>
    </row>
    <row r="369" spans="1:13" ht="15.6" x14ac:dyDescent="0.3">
      <c r="A369" s="2"/>
      <c r="B369" s="5" t="str">
        <f>IF(COUNTIF(data_val!$E$3:$E$5, sample_log!$E369), sample_log!$C369 &amp; "_" &amp; sample_log!$D369, "")</f>
        <v/>
      </c>
      <c r="C369" s="5" t="str">
        <f>IF(B369="", IF(F369="", "", C368), IF(sample_log!E369="Triennial SASS", "tri_params", "params"))</f>
        <v/>
      </c>
      <c r="D369" s="5" t="str">
        <f>IF(B369="", "", C369 &amp; "!" &amp; CHAR(65+MATCH(B369, params!$B$2:$R$2, 0)))</f>
        <v/>
      </c>
      <c r="E369" s="5" t="str">
        <f ca="1">IF(B369="", "", COUNTA(INDIRECT(D369 &amp; 3):INDIRECT(D369 &amp; 24)))</f>
        <v/>
      </c>
      <c r="F369" s="5" t="str">
        <f t="shared" si="12"/>
        <v/>
      </c>
      <c r="G369" s="5" t="str">
        <f>IF(F369="", "", IF(B369&lt;&gt;"", MATCH(B369, params!$B$2:$R$2, 0), G368))</f>
        <v/>
      </c>
      <c r="H369" s="5" t="str">
        <f t="shared" ca="1" si="13"/>
        <v/>
      </c>
      <c r="I369" s="2"/>
      <c r="J369" s="2"/>
      <c r="K369" s="2"/>
      <c r="L369" s="2"/>
      <c r="M369" s="2"/>
    </row>
    <row r="370" spans="1:13" ht="15.6" x14ac:dyDescent="0.3">
      <c r="A370" s="2"/>
      <c r="B370" s="5" t="str">
        <f>IF(COUNTIF(data_val!$E$3:$E$5, sample_log!$E370), sample_log!$C370 &amp; "_" &amp; sample_log!$D370, "")</f>
        <v/>
      </c>
      <c r="C370" s="5" t="str">
        <f>IF(B370="", IF(F370="", "", C369), IF(sample_log!E370="Triennial SASS", "tri_params", "params"))</f>
        <v/>
      </c>
      <c r="D370" s="5" t="str">
        <f>IF(B370="", "", C370 &amp; "!" &amp; CHAR(65+MATCH(B370, params!$B$2:$R$2, 0)))</f>
        <v/>
      </c>
      <c r="E370" s="5" t="str">
        <f ca="1">IF(B370="", "", COUNTA(INDIRECT(D370 &amp; 3):INDIRECT(D370 &amp; 24)))</f>
        <v/>
      </c>
      <c r="F370" s="5" t="str">
        <f t="shared" si="12"/>
        <v/>
      </c>
      <c r="G370" s="5" t="str">
        <f>IF(F370="", "", IF(B370&lt;&gt;"", MATCH(B370, params!$B$2:$R$2, 0), G369))</f>
        <v/>
      </c>
      <c r="H370" s="5" t="str">
        <f t="shared" ca="1" si="13"/>
        <v/>
      </c>
      <c r="I370" s="2"/>
      <c r="J370" s="2"/>
      <c r="K370" s="2"/>
      <c r="L370" s="2"/>
      <c r="M370" s="2"/>
    </row>
    <row r="371" spans="1:13" ht="15.6" x14ac:dyDescent="0.3">
      <c r="A371" s="2"/>
      <c r="B371" s="5" t="str">
        <f>IF(COUNTIF(data_val!$E$3:$E$5, sample_log!$E371), sample_log!$C371 &amp; "_" &amp; sample_log!$D371, "")</f>
        <v/>
      </c>
      <c r="C371" s="5" t="str">
        <f>IF(B371="", IF(F371="", "", C370), IF(sample_log!E371="Triennial SASS", "tri_params", "params"))</f>
        <v/>
      </c>
      <c r="D371" s="5" t="str">
        <f>IF(B371="", "", C371 &amp; "!" &amp; CHAR(65+MATCH(B371, params!$B$2:$R$2, 0)))</f>
        <v/>
      </c>
      <c r="E371" s="5" t="str">
        <f ca="1">IF(B371="", "", COUNTA(INDIRECT(D371 &amp; 3):INDIRECT(D371 &amp; 24)))</f>
        <v/>
      </c>
      <c r="F371" s="5" t="str">
        <f t="shared" si="12"/>
        <v/>
      </c>
      <c r="G371" s="5" t="str">
        <f>IF(F371="", "", IF(B371&lt;&gt;"", MATCH(B371, params!$B$2:$R$2, 0), G370))</f>
        <v/>
      </c>
      <c r="H371" s="5" t="str">
        <f t="shared" ca="1" si="13"/>
        <v/>
      </c>
      <c r="I371" s="2"/>
      <c r="J371" s="2"/>
      <c r="K371" s="2"/>
      <c r="L371" s="2"/>
      <c r="M371" s="2"/>
    </row>
    <row r="372" spans="1:13" ht="15.6" x14ac:dyDescent="0.3">
      <c r="A372" s="2"/>
      <c r="B372" s="5" t="str">
        <f>IF(COUNTIF(data_val!$E$3:$E$5, sample_log!$E372), sample_log!$C372 &amp; "_" &amp; sample_log!$D372, "")</f>
        <v/>
      </c>
      <c r="C372" s="5" t="str">
        <f>IF(B372="", IF(F372="", "", C371), IF(sample_log!E372="Triennial SASS", "tri_params", "params"))</f>
        <v/>
      </c>
      <c r="D372" s="5" t="str">
        <f>IF(B372="", "", C372 &amp; "!" &amp; CHAR(65+MATCH(B372, params!$B$2:$R$2, 0)))</f>
        <v/>
      </c>
      <c r="E372" s="5" t="str">
        <f ca="1">IF(B372="", "", COUNTA(INDIRECT(D372 &amp; 3):INDIRECT(D372 &amp; 24)))</f>
        <v/>
      </c>
      <c r="F372" s="5" t="str">
        <f t="shared" si="12"/>
        <v/>
      </c>
      <c r="G372" s="5" t="str">
        <f>IF(F372="", "", IF(B372&lt;&gt;"", MATCH(B372, params!$B$2:$R$2, 0), G371))</f>
        <v/>
      </c>
      <c r="H372" s="5" t="str">
        <f t="shared" ca="1" si="13"/>
        <v/>
      </c>
      <c r="I372" s="2"/>
      <c r="J372" s="2"/>
      <c r="K372" s="2"/>
      <c r="L372" s="2"/>
      <c r="M372" s="2"/>
    </row>
    <row r="373" spans="1:13" ht="15.6" x14ac:dyDescent="0.3">
      <c r="A373" s="2"/>
      <c r="B373" s="5" t="str">
        <f>IF(COUNTIF(data_val!$E$3:$E$5, sample_log!$E373), sample_log!$C373 &amp; "_" &amp; sample_log!$D373, "")</f>
        <v/>
      </c>
      <c r="C373" s="5" t="str">
        <f>IF(B373="", IF(F373="", "", C372), IF(sample_log!E373="Triennial SASS", "tri_params", "params"))</f>
        <v/>
      </c>
      <c r="D373" s="5" t="str">
        <f>IF(B373="", "", C373 &amp; "!" &amp; CHAR(65+MATCH(B373, params!$B$2:$R$2, 0)))</f>
        <v/>
      </c>
      <c r="E373" s="5" t="str">
        <f ca="1">IF(B373="", "", COUNTA(INDIRECT(D373 &amp; 3):INDIRECT(D373 &amp; 24)))</f>
        <v/>
      </c>
      <c r="F373" s="5" t="str">
        <f t="shared" si="12"/>
        <v/>
      </c>
      <c r="G373" s="5" t="str">
        <f>IF(F373="", "", IF(B373&lt;&gt;"", MATCH(B373, params!$B$2:$R$2, 0), G372))</f>
        <v/>
      </c>
      <c r="H373" s="5" t="str">
        <f t="shared" ca="1" si="13"/>
        <v/>
      </c>
      <c r="I373" s="2"/>
      <c r="J373" s="2"/>
      <c r="K373" s="2"/>
      <c r="L373" s="2"/>
      <c r="M373" s="2"/>
    </row>
    <row r="374" spans="1:13" ht="15.6" x14ac:dyDescent="0.3">
      <c r="A374" s="2"/>
      <c r="B374" s="5" t="str">
        <f>IF(COUNTIF(data_val!$E$3:$E$5, sample_log!$E374), sample_log!$C374 &amp; "_" &amp; sample_log!$D374, "")</f>
        <v/>
      </c>
      <c r="C374" s="5" t="str">
        <f>IF(B374="", IF(F374="", "", C373), IF(sample_log!E374="Triennial SASS", "tri_params", "params"))</f>
        <v/>
      </c>
      <c r="D374" s="5" t="str">
        <f>IF(B374="", "", C374 &amp; "!" &amp; CHAR(65+MATCH(B374, params!$B$2:$R$2, 0)))</f>
        <v/>
      </c>
      <c r="E374" s="5" t="str">
        <f ca="1">IF(B374="", "", COUNTA(INDIRECT(D374 &amp; 3):INDIRECT(D374 &amp; 24)))</f>
        <v/>
      </c>
      <c r="F374" s="5" t="str">
        <f t="shared" si="12"/>
        <v/>
      </c>
      <c r="G374" s="5" t="str">
        <f>IF(F374="", "", IF(B374&lt;&gt;"", MATCH(B374, params!$B$2:$R$2, 0), G373))</f>
        <v/>
      </c>
      <c r="H374" s="5" t="str">
        <f t="shared" ca="1" si="13"/>
        <v/>
      </c>
      <c r="I374" s="2"/>
      <c r="J374" s="2"/>
      <c r="K374" s="2"/>
      <c r="L374" s="2"/>
      <c r="M374" s="2"/>
    </row>
    <row r="375" spans="1:13" ht="15.6" x14ac:dyDescent="0.3">
      <c r="A375" s="2"/>
      <c r="B375" s="5" t="str">
        <f>IF(COUNTIF(data_val!$E$3:$E$5, sample_log!$E375), sample_log!$C375 &amp; "_" &amp; sample_log!$D375, "")</f>
        <v/>
      </c>
      <c r="C375" s="5" t="str">
        <f>IF(B375="", IF(F375="", "", C374), IF(sample_log!E375="Triennial SASS", "tri_params", "params"))</f>
        <v/>
      </c>
      <c r="D375" s="5" t="str">
        <f>IF(B375="", "", C375 &amp; "!" &amp; CHAR(65+MATCH(B375, params!$B$2:$R$2, 0)))</f>
        <v/>
      </c>
      <c r="E375" s="5" t="str">
        <f ca="1">IF(B375="", "", COUNTA(INDIRECT(D375 &amp; 3):INDIRECT(D375 &amp; 24)))</f>
        <v/>
      </c>
      <c r="F375" s="5" t="str">
        <f t="shared" si="12"/>
        <v/>
      </c>
      <c r="G375" s="5" t="str">
        <f>IF(F375="", "", IF(B375&lt;&gt;"", MATCH(B375, params!$B$2:$R$2, 0), G374))</f>
        <v/>
      </c>
      <c r="H375" s="5" t="str">
        <f t="shared" ca="1" si="13"/>
        <v/>
      </c>
      <c r="I375" s="2"/>
      <c r="J375" s="2"/>
      <c r="K375" s="2"/>
      <c r="L375" s="2"/>
      <c r="M375" s="2"/>
    </row>
    <row r="376" spans="1:13" ht="15.6" x14ac:dyDescent="0.3">
      <c r="A376" s="2"/>
      <c r="B376" s="5" t="str">
        <f>IF(COUNTIF(data_val!$E$3:$E$5, sample_log!$E376), sample_log!$C376 &amp; "_" &amp; sample_log!$D376, "")</f>
        <v/>
      </c>
      <c r="C376" s="5" t="str">
        <f>IF(B376="", IF(F376="", "", C375), IF(sample_log!E376="Triennial SASS", "tri_params", "params"))</f>
        <v/>
      </c>
      <c r="D376" s="5" t="str">
        <f>IF(B376="", "", C376 &amp; "!" &amp; CHAR(65+MATCH(B376, params!$B$2:$R$2, 0)))</f>
        <v/>
      </c>
      <c r="E376" s="5" t="str">
        <f ca="1">IF(B376="", "", COUNTA(INDIRECT(D376 &amp; 3):INDIRECT(D376 &amp; 24)))</f>
        <v/>
      </c>
      <c r="F376" s="5" t="str">
        <f t="shared" si="12"/>
        <v/>
      </c>
      <c r="G376" s="5" t="str">
        <f>IF(F376="", "", IF(B376&lt;&gt;"", MATCH(B376, params!$B$2:$R$2, 0), G375))</f>
        <v/>
      </c>
      <c r="H376" s="5" t="str">
        <f t="shared" ca="1" si="13"/>
        <v/>
      </c>
      <c r="I376" s="2"/>
      <c r="J376" s="2"/>
      <c r="K376" s="2"/>
      <c r="L376" s="2"/>
      <c r="M376" s="2"/>
    </row>
    <row r="377" spans="1:13" ht="15.6" x14ac:dyDescent="0.3">
      <c r="A377" s="2"/>
      <c r="B377" s="5" t="str">
        <f>IF(COUNTIF(data_val!$E$3:$E$5, sample_log!$E377), sample_log!$C377 &amp; "_" &amp; sample_log!$D377, "")</f>
        <v/>
      </c>
      <c r="C377" s="5" t="str">
        <f>IF(B377="", IF(F377="", "", C376), IF(sample_log!E377="Triennial SASS", "tri_params", "params"))</f>
        <v/>
      </c>
      <c r="D377" s="5" t="str">
        <f>IF(B377="", "", C377 &amp; "!" &amp; CHAR(65+MATCH(B377, params!$B$2:$R$2, 0)))</f>
        <v/>
      </c>
      <c r="E377" s="5" t="str">
        <f ca="1">IF(B377="", "", COUNTA(INDIRECT(D377 &amp; 3):INDIRECT(D377 &amp; 24)))</f>
        <v/>
      </c>
      <c r="F377" s="5" t="str">
        <f t="shared" si="12"/>
        <v/>
      </c>
      <c r="G377" s="5" t="str">
        <f>IF(F377="", "", IF(B377&lt;&gt;"", MATCH(B377, params!$B$2:$R$2, 0), G376))</f>
        <v/>
      </c>
      <c r="H377" s="5" t="str">
        <f t="shared" ca="1" si="13"/>
        <v/>
      </c>
      <c r="I377" s="2"/>
      <c r="J377" s="2"/>
      <c r="K377" s="2"/>
      <c r="L377" s="2"/>
      <c r="M377" s="2"/>
    </row>
    <row r="378" spans="1:13" ht="15.6" x14ac:dyDescent="0.3">
      <c r="A378" s="2"/>
      <c r="B378" s="5" t="str">
        <f>IF(COUNTIF(data_val!$E$3:$E$5, sample_log!$E378), sample_log!$C378 &amp; "_" &amp; sample_log!$D378, "")</f>
        <v/>
      </c>
      <c r="C378" s="5" t="str">
        <f>IF(B378="", IF(F378="", "", C377), IF(sample_log!E378="Triennial SASS", "tri_params", "params"))</f>
        <v/>
      </c>
      <c r="D378" s="5" t="str">
        <f>IF(B378="", "", C378 &amp; "!" &amp; CHAR(65+MATCH(B378, params!$B$2:$R$2, 0)))</f>
        <v/>
      </c>
      <c r="E378" s="5" t="str">
        <f ca="1">IF(B378="", "", COUNTA(INDIRECT(D378 &amp; 3):INDIRECT(D378 &amp; 24)))</f>
        <v/>
      </c>
      <c r="F378" s="5" t="str">
        <f t="shared" si="12"/>
        <v/>
      </c>
      <c r="G378" s="5" t="str">
        <f>IF(F378="", "", IF(B378&lt;&gt;"", MATCH(B378, params!$B$2:$R$2, 0), G377))</f>
        <v/>
      </c>
      <c r="H378" s="5" t="str">
        <f t="shared" ca="1" si="13"/>
        <v/>
      </c>
      <c r="I378" s="2"/>
      <c r="J378" s="2"/>
      <c r="K378" s="2"/>
      <c r="L378" s="2"/>
      <c r="M378" s="2"/>
    </row>
    <row r="379" spans="1:13" ht="15.6" x14ac:dyDescent="0.3">
      <c r="A379" s="2"/>
      <c r="B379" s="5" t="str">
        <f>IF(COUNTIF(data_val!$E$3:$E$5, sample_log!$E379), sample_log!$C379 &amp; "_" &amp; sample_log!$D379, "")</f>
        <v/>
      </c>
      <c r="C379" s="5" t="str">
        <f>IF(B379="", IF(F379="", "", C378), IF(sample_log!E379="Triennial SASS", "tri_params", "params"))</f>
        <v/>
      </c>
      <c r="D379" s="5" t="str">
        <f>IF(B379="", "", C379 &amp; "!" &amp; CHAR(65+MATCH(B379, params!$B$2:$R$2, 0)))</f>
        <v/>
      </c>
      <c r="E379" s="5" t="str">
        <f ca="1">IF(B379="", "", COUNTA(INDIRECT(D379 &amp; 3):INDIRECT(D379 &amp; 24)))</f>
        <v/>
      </c>
      <c r="F379" s="5" t="str">
        <f t="shared" si="12"/>
        <v/>
      </c>
      <c r="G379" s="5" t="str">
        <f>IF(F379="", "", IF(B379&lt;&gt;"", MATCH(B379, params!$B$2:$R$2, 0), G378))</f>
        <v/>
      </c>
      <c r="H379" s="5" t="str">
        <f t="shared" ca="1" si="13"/>
        <v/>
      </c>
      <c r="I379" s="2"/>
      <c r="J379" s="2"/>
      <c r="K379" s="2"/>
      <c r="L379" s="2"/>
      <c r="M379" s="2"/>
    </row>
    <row r="380" spans="1:13" ht="15.6" x14ac:dyDescent="0.3">
      <c r="A380" s="2"/>
      <c r="B380" s="5" t="str">
        <f>IF(COUNTIF(data_val!$E$3:$E$5, sample_log!$E380), sample_log!$C380 &amp; "_" &amp; sample_log!$D380, "")</f>
        <v/>
      </c>
      <c r="C380" s="5" t="str">
        <f>IF(B380="", IF(F380="", "", C379), IF(sample_log!E380="Triennial SASS", "tri_params", "params"))</f>
        <v/>
      </c>
      <c r="D380" s="5" t="str">
        <f>IF(B380="", "", C380 &amp; "!" &amp; CHAR(65+MATCH(B380, params!$B$2:$R$2, 0)))</f>
        <v/>
      </c>
      <c r="E380" s="5" t="str">
        <f ca="1">IF(B380="", "", COUNTA(INDIRECT(D380 &amp; 3):INDIRECT(D380 &amp; 24)))</f>
        <v/>
      </c>
      <c r="F380" s="5" t="str">
        <f t="shared" si="12"/>
        <v/>
      </c>
      <c r="G380" s="5" t="str">
        <f>IF(F380="", "", IF(B380&lt;&gt;"", MATCH(B380, params!$B$2:$R$2, 0), G379))</f>
        <v/>
      </c>
      <c r="H380" s="5" t="str">
        <f t="shared" ca="1" si="13"/>
        <v/>
      </c>
      <c r="I380" s="2"/>
      <c r="J380" s="2"/>
      <c r="K380" s="2"/>
      <c r="L380" s="2"/>
      <c r="M380" s="2"/>
    </row>
    <row r="381" spans="1:13" ht="15.6" x14ac:dyDescent="0.3">
      <c r="A381" s="2"/>
      <c r="B381" s="5" t="str">
        <f>IF(COUNTIF(data_val!$E$3:$E$5, sample_log!$E381), sample_log!$C381 &amp; "_" &amp; sample_log!$D381, "")</f>
        <v/>
      </c>
      <c r="C381" s="5" t="str">
        <f>IF(B381="", IF(F381="", "", C380), IF(sample_log!E381="Triennial SASS", "tri_params", "params"))</f>
        <v/>
      </c>
      <c r="D381" s="5" t="str">
        <f>IF(B381="", "", C381 &amp; "!" &amp; CHAR(65+MATCH(B381, params!$B$2:$R$2, 0)))</f>
        <v/>
      </c>
      <c r="E381" s="5" t="str">
        <f ca="1">IF(B381="", "", COUNTA(INDIRECT(D381 &amp; 3):INDIRECT(D381 &amp; 24)))</f>
        <v/>
      </c>
      <c r="F381" s="5" t="str">
        <f t="shared" si="12"/>
        <v/>
      </c>
      <c r="G381" s="5" t="str">
        <f>IF(F381="", "", IF(B381&lt;&gt;"", MATCH(B381, params!$B$2:$R$2, 0), G380))</f>
        <v/>
      </c>
      <c r="H381" s="5" t="str">
        <f t="shared" ca="1" si="13"/>
        <v/>
      </c>
      <c r="I381" s="2"/>
      <c r="J381" s="2"/>
      <c r="K381" s="2"/>
      <c r="L381" s="2"/>
      <c r="M381" s="2"/>
    </row>
    <row r="382" spans="1:13" ht="15.6" x14ac:dyDescent="0.3">
      <c r="A382" s="2"/>
      <c r="B382" s="5" t="str">
        <f>IF(COUNTIF(data_val!$E$3:$E$5, sample_log!$E382), sample_log!$C382 &amp; "_" &amp; sample_log!$D382, "")</f>
        <v/>
      </c>
      <c r="C382" s="5" t="str">
        <f>IF(B382="", IF(F382="", "", C381), IF(sample_log!E382="Triennial SASS", "tri_params", "params"))</f>
        <v/>
      </c>
      <c r="D382" s="5" t="str">
        <f>IF(B382="", "", C382 &amp; "!" &amp; CHAR(65+MATCH(B382, params!$B$2:$R$2, 0)))</f>
        <v/>
      </c>
      <c r="E382" s="5" t="str">
        <f ca="1">IF(B382="", "", COUNTA(INDIRECT(D382 &amp; 3):INDIRECT(D382 &amp; 24)))</f>
        <v/>
      </c>
      <c r="F382" s="5" t="str">
        <f t="shared" si="12"/>
        <v/>
      </c>
      <c r="G382" s="5" t="str">
        <f>IF(F382="", "", IF(B382&lt;&gt;"", MATCH(B382, params!$B$2:$R$2, 0), G381))</f>
        <v/>
      </c>
      <c r="H382" s="5" t="str">
        <f t="shared" ca="1" si="13"/>
        <v/>
      </c>
      <c r="I382" s="2"/>
      <c r="J382" s="2"/>
      <c r="K382" s="2"/>
      <c r="L382" s="2"/>
      <c r="M382" s="2"/>
    </row>
    <row r="383" spans="1:13" ht="15.6" x14ac:dyDescent="0.3">
      <c r="A383" s="2"/>
      <c r="B383" s="5" t="str">
        <f>IF(COUNTIF(data_val!$E$3:$E$5, sample_log!$E383), sample_log!$C383 &amp; "_" &amp; sample_log!$D383, "")</f>
        <v/>
      </c>
      <c r="C383" s="5" t="str">
        <f>IF(B383="", IF(F383="", "", C382), IF(sample_log!E383="Triennial SASS", "tri_params", "params"))</f>
        <v/>
      </c>
      <c r="D383" s="5" t="str">
        <f>IF(B383="", "", C383 &amp; "!" &amp; CHAR(65+MATCH(B383, params!$B$2:$R$2, 0)))</f>
        <v/>
      </c>
      <c r="E383" s="5" t="str">
        <f ca="1">IF(B383="", "", COUNTA(INDIRECT(D383 &amp; 3):INDIRECT(D383 &amp; 24)))</f>
        <v/>
      </c>
      <c r="F383" s="5" t="str">
        <f t="shared" si="12"/>
        <v/>
      </c>
      <c r="G383" s="5" t="str">
        <f>IF(F383="", "", IF(B383&lt;&gt;"", MATCH(B383, params!$B$2:$R$2, 0), G382))</f>
        <v/>
      </c>
      <c r="H383" s="5" t="str">
        <f t="shared" ca="1" si="13"/>
        <v/>
      </c>
      <c r="I383" s="2"/>
      <c r="J383" s="2"/>
      <c r="K383" s="2"/>
      <c r="L383" s="2"/>
      <c r="M383" s="2"/>
    </row>
    <row r="384" spans="1:13" ht="15.6" x14ac:dyDescent="0.3">
      <c r="A384" s="2"/>
      <c r="B384" s="5" t="str">
        <f>IF(COUNTIF(data_val!$E$3:$E$5, sample_log!$E384), sample_log!$C384 &amp; "_" &amp; sample_log!$D384, "")</f>
        <v/>
      </c>
      <c r="C384" s="5" t="str">
        <f>IF(B384="", IF(F384="", "", C383), IF(sample_log!E384="Triennial SASS", "tri_params", "params"))</f>
        <v/>
      </c>
      <c r="D384" s="5" t="str">
        <f>IF(B384="", "", C384 &amp; "!" &amp; CHAR(65+MATCH(B384, params!$B$2:$R$2, 0)))</f>
        <v/>
      </c>
      <c r="E384" s="5" t="str">
        <f ca="1">IF(B384="", "", COUNTA(INDIRECT(D384 &amp; 3):INDIRECT(D384 &amp; 24)))</f>
        <v/>
      </c>
      <c r="F384" s="5" t="str">
        <f t="shared" si="12"/>
        <v/>
      </c>
      <c r="G384" s="5" t="str">
        <f>IF(F384="", "", IF(B384&lt;&gt;"", MATCH(B384, params!$B$2:$R$2, 0), G383))</f>
        <v/>
      </c>
      <c r="H384" s="5" t="str">
        <f t="shared" ca="1" si="13"/>
        <v/>
      </c>
      <c r="I384" s="2"/>
      <c r="J384" s="2"/>
      <c r="K384" s="2"/>
      <c r="L384" s="2"/>
      <c r="M384" s="2"/>
    </row>
    <row r="385" spans="1:13" ht="15.6" x14ac:dyDescent="0.3">
      <c r="A385" s="2"/>
      <c r="B385" s="5" t="str">
        <f>IF(COUNTIF(data_val!$E$3:$E$5, sample_log!$E385), sample_log!$C385 &amp; "_" &amp; sample_log!$D385, "")</f>
        <v/>
      </c>
      <c r="C385" s="5" t="str">
        <f>IF(B385="", IF(F385="", "", C384), IF(sample_log!E385="Triennial SASS", "tri_params", "params"))</f>
        <v/>
      </c>
      <c r="D385" s="5" t="str">
        <f>IF(B385="", "", C385 &amp; "!" &amp; CHAR(65+MATCH(B385, params!$B$2:$R$2, 0)))</f>
        <v/>
      </c>
      <c r="E385" s="5" t="str">
        <f ca="1">IF(B385="", "", COUNTA(INDIRECT(D385 &amp; 3):INDIRECT(D385 &amp; 24)))</f>
        <v/>
      </c>
      <c r="F385" s="5" t="str">
        <f t="shared" si="12"/>
        <v/>
      </c>
      <c r="G385" s="5" t="str">
        <f>IF(F385="", "", IF(B385&lt;&gt;"", MATCH(B385, params!$B$2:$R$2, 0), G384))</f>
        <v/>
      </c>
      <c r="H385" s="5" t="str">
        <f t="shared" ca="1" si="13"/>
        <v/>
      </c>
      <c r="I385" s="2"/>
      <c r="J385" s="2"/>
      <c r="K385" s="2"/>
      <c r="L385" s="2"/>
      <c r="M385" s="2"/>
    </row>
    <row r="386" spans="1:13" ht="15.6" x14ac:dyDescent="0.3">
      <c r="A386" s="2"/>
      <c r="B386" s="5" t="str">
        <f>IF(COUNTIF(data_val!$E$3:$E$5, sample_log!$E386), sample_log!$C386 &amp; "_" &amp; sample_log!$D386, "")</f>
        <v/>
      </c>
      <c r="C386" s="5" t="str">
        <f>IF(B386="", IF(F386="", "", C385), IF(sample_log!E386="Triennial SASS", "tri_params", "params"))</f>
        <v/>
      </c>
      <c r="D386" s="5" t="str">
        <f>IF(B386="", "", C386 &amp; "!" &amp; CHAR(65+MATCH(B386, params!$B$2:$R$2, 0)))</f>
        <v/>
      </c>
      <c r="E386" s="5" t="str">
        <f ca="1">IF(B386="", "", COUNTA(INDIRECT(D386 &amp; 3):INDIRECT(D386 &amp; 24)))</f>
        <v/>
      </c>
      <c r="F386" s="5" t="str">
        <f t="shared" si="12"/>
        <v/>
      </c>
      <c r="G386" s="5" t="str">
        <f>IF(F386="", "", IF(B386&lt;&gt;"", MATCH(B386, params!$B$2:$R$2, 0), G385))</f>
        <v/>
      </c>
      <c r="H386" s="5" t="str">
        <f t="shared" ca="1" si="13"/>
        <v/>
      </c>
      <c r="I386" s="2"/>
      <c r="J386" s="2"/>
      <c r="K386" s="2"/>
      <c r="L386" s="2"/>
      <c r="M386" s="2"/>
    </row>
    <row r="387" spans="1:13" ht="15.6" x14ac:dyDescent="0.3">
      <c r="A387" s="2"/>
      <c r="B387" s="5" t="str">
        <f>IF(COUNTIF(data_val!$E$3:$E$5, sample_log!$E387), sample_log!$C387 &amp; "_" &amp; sample_log!$D387, "")</f>
        <v/>
      </c>
      <c r="C387" s="5" t="str">
        <f>IF(B387="", IF(F387="", "", C386), IF(sample_log!E387="Triennial SASS", "tri_params", "params"))</f>
        <v/>
      </c>
      <c r="D387" s="5" t="str">
        <f>IF(B387="", "", C387 &amp; "!" &amp; CHAR(65+MATCH(B387, params!$B$2:$R$2, 0)))</f>
        <v/>
      </c>
      <c r="E387" s="5" t="str">
        <f ca="1">IF(B387="", "", COUNTA(INDIRECT(D387 &amp; 3):INDIRECT(D387 &amp; 24)))</f>
        <v/>
      </c>
      <c r="F387" s="5" t="str">
        <f t="shared" ref="F387:F450" si="14">IF(B387="", IF(NOT(ISNUMBER(F386)), "", IF(F386-1&gt;0, F386-1, "")), E387)</f>
        <v/>
      </c>
      <c r="G387" s="5" t="str">
        <f>IF(F387="", "", IF(B387&lt;&gt;"", MATCH(B387, params!$B$2:$R$2, 0), G386))</f>
        <v/>
      </c>
      <c r="H387" s="5" t="str">
        <f t="shared" ca="1" si="13"/>
        <v/>
      </c>
      <c r="I387" s="2"/>
      <c r="J387" s="2"/>
      <c r="K387" s="2"/>
      <c r="L387" s="2"/>
      <c r="M387" s="2"/>
    </row>
    <row r="388" spans="1:13" ht="15.6" x14ac:dyDescent="0.3">
      <c r="A388" s="2"/>
      <c r="B388" s="5" t="str">
        <f>IF(COUNTIF(data_val!$E$3:$E$5, sample_log!$E388), sample_log!$C388 &amp; "_" &amp; sample_log!$D388, "")</f>
        <v/>
      </c>
      <c r="C388" s="5" t="str">
        <f>IF(B388="", IF(F388="", "", C387), IF(sample_log!E388="Triennial SASS", "tri_params", "params"))</f>
        <v/>
      </c>
      <c r="D388" s="5" t="str">
        <f>IF(B388="", "", C388 &amp; "!" &amp; CHAR(65+MATCH(B388, params!$B$2:$R$2, 0)))</f>
        <v/>
      </c>
      <c r="E388" s="5" t="str">
        <f ca="1">IF(B388="", "", COUNTA(INDIRECT(D388 &amp; 3):INDIRECT(D388 &amp; 24)))</f>
        <v/>
      </c>
      <c r="F388" s="5" t="str">
        <f t="shared" si="14"/>
        <v/>
      </c>
      <c r="G388" s="5" t="str">
        <f>IF(F388="", "", IF(B388&lt;&gt;"", MATCH(B388, params!$B$2:$R$2, 0), G387))</f>
        <v/>
      </c>
      <c r="H388" s="5" t="str">
        <f t="shared" ca="1" si="13"/>
        <v/>
      </c>
      <c r="I388" s="2"/>
      <c r="J388" s="2"/>
      <c r="K388" s="2"/>
      <c r="L388" s="2"/>
      <c r="M388" s="2"/>
    </row>
    <row r="389" spans="1:13" ht="15.6" x14ac:dyDescent="0.3">
      <c r="A389" s="2"/>
      <c r="B389" s="5" t="str">
        <f>IF(COUNTIF(data_val!$E$3:$E$5, sample_log!$E389), sample_log!$C389 &amp; "_" &amp; sample_log!$D389, "")</f>
        <v/>
      </c>
      <c r="C389" s="5" t="str">
        <f>IF(B389="", IF(F389="", "", C388), IF(sample_log!E389="Triennial SASS", "tri_params", "params"))</f>
        <v/>
      </c>
      <c r="D389" s="5" t="str">
        <f>IF(B389="", "", C389 &amp; "!" &amp; CHAR(65+MATCH(B389, params!$B$2:$R$2, 0)))</f>
        <v/>
      </c>
      <c r="E389" s="5" t="str">
        <f ca="1">IF(B389="", "", COUNTA(INDIRECT(D389 &amp; 3):INDIRECT(D389 &amp; 24)))</f>
        <v/>
      </c>
      <c r="F389" s="5" t="str">
        <f t="shared" si="14"/>
        <v/>
      </c>
      <c r="G389" s="5" t="str">
        <f>IF(F389="", "", IF(B389&lt;&gt;"", MATCH(B389, params!$B$2:$R$2, 0), G388))</f>
        <v/>
      </c>
      <c r="H389" s="5" t="str">
        <f t="shared" ca="1" si="13"/>
        <v/>
      </c>
      <c r="I389" s="2"/>
      <c r="J389" s="2"/>
      <c r="K389" s="2"/>
      <c r="L389" s="2"/>
      <c r="M389" s="2"/>
    </row>
    <row r="390" spans="1:13" ht="15.6" x14ac:dyDescent="0.3">
      <c r="A390" s="2"/>
      <c r="B390" s="5" t="str">
        <f>IF(COUNTIF(data_val!$E$3:$E$5, sample_log!$E390), sample_log!$C390 &amp; "_" &amp; sample_log!$D390, "")</f>
        <v/>
      </c>
      <c r="C390" s="5" t="str">
        <f>IF(B390="", IF(F390="", "", C389), IF(sample_log!E390="Triennial SASS", "tri_params", "params"))</f>
        <v/>
      </c>
      <c r="D390" s="5" t="str">
        <f>IF(B390="", "", C390 &amp; "!" &amp; CHAR(65+MATCH(B390, params!$B$2:$R$2, 0)))</f>
        <v/>
      </c>
      <c r="E390" s="5" t="str">
        <f ca="1">IF(B390="", "", COUNTA(INDIRECT(D390 &amp; 3):INDIRECT(D390 &amp; 24)))</f>
        <v/>
      </c>
      <c r="F390" s="5" t="str">
        <f t="shared" si="14"/>
        <v/>
      </c>
      <c r="G390" s="5" t="str">
        <f>IF(F390="", "", IF(B390&lt;&gt;"", MATCH(B390, params!$B$2:$R$2, 0), G389))</f>
        <v/>
      </c>
      <c r="H390" s="5" t="str">
        <f t="shared" ca="1" si="13"/>
        <v/>
      </c>
      <c r="I390" s="2"/>
      <c r="J390" s="2"/>
      <c r="K390" s="2"/>
      <c r="L390" s="2"/>
      <c r="M390" s="2"/>
    </row>
    <row r="391" spans="1:13" ht="15.6" x14ac:dyDescent="0.3">
      <c r="A391" s="2"/>
      <c r="B391" s="5" t="str">
        <f>IF(COUNTIF(data_val!$E$3:$E$5, sample_log!$E391), sample_log!$C391 &amp; "_" &amp; sample_log!$D391, "")</f>
        <v/>
      </c>
      <c r="C391" s="5" t="str">
        <f>IF(B391="", IF(F391="", "", C390), IF(sample_log!E391="Triennial SASS", "tri_params", "params"))</f>
        <v/>
      </c>
      <c r="D391" s="5" t="str">
        <f>IF(B391="", "", C391 &amp; "!" &amp; CHAR(65+MATCH(B391, params!$B$2:$R$2, 0)))</f>
        <v/>
      </c>
      <c r="E391" s="5" t="str">
        <f ca="1">IF(B391="", "", COUNTA(INDIRECT(D391 &amp; 3):INDIRECT(D391 &amp; 24)))</f>
        <v/>
      </c>
      <c r="F391" s="5" t="str">
        <f t="shared" si="14"/>
        <v/>
      </c>
      <c r="G391" s="5" t="str">
        <f>IF(F391="", "", IF(B391&lt;&gt;"", MATCH(B391, params!$B$2:$R$2, 0), G390))</f>
        <v/>
      </c>
      <c r="H391" s="5" t="str">
        <f t="shared" ca="1" si="13"/>
        <v/>
      </c>
      <c r="I391" s="2"/>
      <c r="J391" s="2"/>
      <c r="K391" s="2"/>
      <c r="L391" s="2"/>
      <c r="M391" s="2"/>
    </row>
    <row r="392" spans="1:13" ht="15.6" x14ac:dyDescent="0.3">
      <c r="A392" s="2"/>
      <c r="B392" s="5" t="str">
        <f>IF(COUNTIF(data_val!$E$3:$E$5, sample_log!$E392), sample_log!$C392 &amp; "_" &amp; sample_log!$D392, "")</f>
        <v/>
      </c>
      <c r="C392" s="5" t="str">
        <f>IF(B392="", IF(F392="", "", C391), IF(sample_log!E392="Triennial SASS", "tri_params", "params"))</f>
        <v/>
      </c>
      <c r="D392" s="5" t="str">
        <f>IF(B392="", "", C392 &amp; "!" &amp; CHAR(65+MATCH(B392, params!$B$2:$R$2, 0)))</f>
        <v/>
      </c>
      <c r="E392" s="5" t="str">
        <f ca="1">IF(B392="", "", COUNTA(INDIRECT(D392 &amp; 3):INDIRECT(D392 &amp; 24)))</f>
        <v/>
      </c>
      <c r="F392" s="5" t="str">
        <f t="shared" si="14"/>
        <v/>
      </c>
      <c r="G392" s="5" t="str">
        <f>IF(F392="", "", IF(B392&lt;&gt;"", MATCH(B392, params!$B$2:$R$2, 0), G391))</f>
        <v/>
      </c>
      <c r="H392" s="5" t="str">
        <f t="shared" ca="1" si="13"/>
        <v/>
      </c>
      <c r="I392" s="2"/>
      <c r="J392" s="2"/>
      <c r="K392" s="2"/>
      <c r="L392" s="2"/>
      <c r="M392" s="2"/>
    </row>
    <row r="393" spans="1:13" ht="15.6" x14ac:dyDescent="0.3">
      <c r="A393" s="2"/>
      <c r="B393" s="5" t="str">
        <f>IF(COUNTIF(data_val!$E$3:$E$5, sample_log!$E393), sample_log!$C393 &amp; "_" &amp; sample_log!$D393, "")</f>
        <v/>
      </c>
      <c r="C393" s="5" t="str">
        <f>IF(B393="", IF(F393="", "", C392), IF(sample_log!E393="Triennial SASS", "tri_params", "params"))</f>
        <v/>
      </c>
      <c r="D393" s="5" t="str">
        <f>IF(B393="", "", C393 &amp; "!" &amp; CHAR(65+MATCH(B393, params!$B$2:$R$2, 0)))</f>
        <v/>
      </c>
      <c r="E393" s="5" t="str">
        <f ca="1">IF(B393="", "", COUNTA(INDIRECT(D393 &amp; 3):INDIRECT(D393 &amp; 24)))</f>
        <v/>
      </c>
      <c r="F393" s="5" t="str">
        <f t="shared" si="14"/>
        <v/>
      </c>
      <c r="G393" s="5" t="str">
        <f>IF(F393="", "", IF(B393&lt;&gt;"", MATCH(B393, params!$B$2:$R$2, 0), G392))</f>
        <v/>
      </c>
      <c r="H393" s="5" t="str">
        <f t="shared" ca="1" si="13"/>
        <v/>
      </c>
      <c r="I393" s="2"/>
      <c r="J393" s="2"/>
      <c r="K393" s="2"/>
      <c r="L393" s="2"/>
      <c r="M393" s="2"/>
    </row>
    <row r="394" spans="1:13" ht="15.6" x14ac:dyDescent="0.3">
      <c r="A394" s="2"/>
      <c r="B394" s="5" t="str">
        <f>IF(COUNTIF(data_val!$E$3:$E$5, sample_log!$E394), sample_log!$C394 &amp; "_" &amp; sample_log!$D394, "")</f>
        <v/>
      </c>
      <c r="C394" s="5" t="str">
        <f>IF(B394="", IF(F394="", "", C393), IF(sample_log!E394="Triennial SASS", "tri_params", "params"))</f>
        <v/>
      </c>
      <c r="D394" s="5" t="str">
        <f>IF(B394="", "", C394 &amp; "!" &amp; CHAR(65+MATCH(B394, params!$B$2:$R$2, 0)))</f>
        <v/>
      </c>
      <c r="E394" s="5" t="str">
        <f ca="1">IF(B394="", "", COUNTA(INDIRECT(D394 &amp; 3):INDIRECT(D394 &amp; 24)))</f>
        <v/>
      </c>
      <c r="F394" s="5" t="str">
        <f t="shared" si="14"/>
        <v/>
      </c>
      <c r="G394" s="5" t="str">
        <f>IF(F394="", "", IF(B394&lt;&gt;"", MATCH(B394, params!$B$2:$R$2, 0), G393))</f>
        <v/>
      </c>
      <c r="H394" s="5" t="str">
        <f t="shared" ca="1" si="13"/>
        <v/>
      </c>
      <c r="I394" s="2"/>
      <c r="J394" s="2"/>
      <c r="K394" s="2"/>
      <c r="L394" s="2"/>
      <c r="M394" s="2"/>
    </row>
    <row r="395" spans="1:13" ht="15.6" x14ac:dyDescent="0.3">
      <c r="A395" s="2"/>
      <c r="B395" s="5" t="str">
        <f>IF(COUNTIF(data_val!$E$3:$E$5, sample_log!$E395), sample_log!$C395 &amp; "_" &amp; sample_log!$D395, "")</f>
        <v/>
      </c>
      <c r="C395" s="5" t="str">
        <f>IF(B395="", IF(F395="", "", C394), IF(sample_log!E395="Triennial SASS", "tri_params", "params"))</f>
        <v/>
      </c>
      <c r="D395" s="5" t="str">
        <f>IF(B395="", "", C395 &amp; "!" &amp; CHAR(65+MATCH(B395, params!$B$2:$R$2, 0)))</f>
        <v/>
      </c>
      <c r="E395" s="5" t="str">
        <f ca="1">IF(B395="", "", COUNTA(INDIRECT(D395 &amp; 3):INDIRECT(D395 &amp; 24)))</f>
        <v/>
      </c>
      <c r="F395" s="5" t="str">
        <f t="shared" si="14"/>
        <v/>
      </c>
      <c r="G395" s="5" t="str">
        <f>IF(F395="", "", IF(B395&lt;&gt;"", MATCH(B395, params!$B$2:$R$2, 0), G394))</f>
        <v/>
      </c>
      <c r="H395" s="5" t="str">
        <f t="shared" ca="1" si="13"/>
        <v/>
      </c>
      <c r="I395" s="2"/>
      <c r="J395" s="2"/>
      <c r="K395" s="2"/>
      <c r="L395" s="2"/>
      <c r="M395" s="2"/>
    </row>
    <row r="396" spans="1:13" ht="15.6" x14ac:dyDescent="0.3">
      <c r="A396" s="2"/>
      <c r="B396" s="5" t="str">
        <f>IF(COUNTIF(data_val!$E$3:$E$5, sample_log!$E396), sample_log!$C396 &amp; "_" &amp; sample_log!$D396, "")</f>
        <v/>
      </c>
      <c r="C396" s="5" t="str">
        <f>IF(B396="", IF(F396="", "", C395), IF(sample_log!E396="Triennial SASS", "tri_params", "params"))</f>
        <v/>
      </c>
      <c r="D396" s="5" t="str">
        <f>IF(B396="", "", C396 &amp; "!" &amp; CHAR(65+MATCH(B396, params!$B$2:$R$2, 0)))</f>
        <v/>
      </c>
      <c r="E396" s="5" t="str">
        <f ca="1">IF(B396="", "", COUNTA(INDIRECT(D396 &amp; 3):INDIRECT(D396 &amp; 24)))</f>
        <v/>
      </c>
      <c r="F396" s="5" t="str">
        <f t="shared" si="14"/>
        <v/>
      </c>
      <c r="G396" s="5" t="str">
        <f>IF(F396="", "", IF(B396&lt;&gt;"", MATCH(B396, params!$B$2:$R$2, 0), G395))</f>
        <v/>
      </c>
      <c r="H396" s="5" t="str">
        <f t="shared" ca="1" si="13"/>
        <v/>
      </c>
      <c r="I396" s="2"/>
      <c r="J396" s="2"/>
      <c r="K396" s="2"/>
      <c r="L396" s="2"/>
      <c r="M396" s="2"/>
    </row>
    <row r="397" spans="1:13" ht="15.6" x14ac:dyDescent="0.3">
      <c r="A397" s="2"/>
      <c r="B397" s="5" t="str">
        <f>IF(COUNTIF(data_val!$E$3:$E$5, sample_log!$E397), sample_log!$C397 &amp; "_" &amp; sample_log!$D397, "")</f>
        <v/>
      </c>
      <c r="C397" s="5" t="str">
        <f>IF(B397="", IF(F397="", "", C396), IF(sample_log!E397="Triennial SASS", "tri_params", "params"))</f>
        <v/>
      </c>
      <c r="D397" s="5" t="str">
        <f>IF(B397="", "", C397 &amp; "!" &amp; CHAR(65+MATCH(B397, params!$B$2:$R$2, 0)))</f>
        <v/>
      </c>
      <c r="E397" s="5" t="str">
        <f ca="1">IF(B397="", "", COUNTA(INDIRECT(D397 &amp; 3):INDIRECT(D397 &amp; 24)))</f>
        <v/>
      </c>
      <c r="F397" s="5" t="str">
        <f t="shared" si="14"/>
        <v/>
      </c>
      <c r="G397" s="5" t="str">
        <f>IF(F397="", "", IF(B397&lt;&gt;"", MATCH(B397, params!$B$2:$R$2, 0), G396))</f>
        <v/>
      </c>
      <c r="H397" s="5" t="str">
        <f t="shared" ca="1" si="13"/>
        <v/>
      </c>
      <c r="I397" s="2"/>
      <c r="J397" s="2"/>
      <c r="K397" s="2"/>
      <c r="L397" s="2"/>
      <c r="M397" s="2"/>
    </row>
    <row r="398" spans="1:13" ht="15.6" x14ac:dyDescent="0.3">
      <c r="A398" s="2"/>
      <c r="B398" s="5" t="str">
        <f>IF(COUNTIF(data_val!$E$3:$E$5, sample_log!$E398), sample_log!$C398 &amp; "_" &amp; sample_log!$D398, "")</f>
        <v/>
      </c>
      <c r="C398" s="5" t="str">
        <f>IF(B398="", IF(F398="", "", C397), IF(sample_log!E398="Triennial SASS", "tri_params", "params"))</f>
        <v/>
      </c>
      <c r="D398" s="5" t="str">
        <f>IF(B398="", "", C398 &amp; "!" &amp; CHAR(65+MATCH(B398, params!$B$2:$R$2, 0)))</f>
        <v/>
      </c>
      <c r="E398" s="5" t="str">
        <f ca="1">IF(B398="", "", COUNTA(INDIRECT(D398 &amp; 3):INDIRECT(D398 &amp; 24)))</f>
        <v/>
      </c>
      <c r="F398" s="5" t="str">
        <f t="shared" si="14"/>
        <v/>
      </c>
      <c r="G398" s="5" t="str">
        <f>IF(F398="", "", IF(B398&lt;&gt;"", MATCH(B398, params!$B$2:$R$2, 0), G397))</f>
        <v/>
      </c>
      <c r="H398" s="5" t="str">
        <f t="shared" ca="1" si="13"/>
        <v/>
      </c>
      <c r="I398" s="2"/>
      <c r="J398" s="2"/>
      <c r="K398" s="2"/>
      <c r="L398" s="2"/>
      <c r="M398" s="2"/>
    </row>
    <row r="399" spans="1:13" ht="15.6" x14ac:dyDescent="0.3">
      <c r="A399" s="2"/>
      <c r="B399" s="5" t="str">
        <f>IF(COUNTIF(data_val!$E$3:$E$5, sample_log!$E399), sample_log!$C399 &amp; "_" &amp; sample_log!$D399, "")</f>
        <v/>
      </c>
      <c r="C399" s="5" t="str">
        <f>IF(B399="", IF(F399="", "", C398), IF(sample_log!E399="Triennial SASS", "tri_params", "params"))</f>
        <v/>
      </c>
      <c r="D399" s="5" t="str">
        <f>IF(B399="", "", C399 &amp; "!" &amp; CHAR(65+MATCH(B399, params!$B$2:$R$2, 0)))</f>
        <v/>
      </c>
      <c r="E399" s="5" t="str">
        <f ca="1">IF(B399="", "", COUNTA(INDIRECT(D399 &amp; 3):INDIRECT(D399 &amp; 24)))</f>
        <v/>
      </c>
      <c r="F399" s="5" t="str">
        <f t="shared" si="14"/>
        <v/>
      </c>
      <c r="G399" s="5" t="str">
        <f>IF(F399="", "", IF(B399&lt;&gt;"", MATCH(B399, params!$B$2:$R$2, 0), G398))</f>
        <v/>
      </c>
      <c r="H399" s="5" t="str">
        <f t="shared" ca="1" si="13"/>
        <v/>
      </c>
      <c r="I399" s="2"/>
      <c r="J399" s="2"/>
      <c r="K399" s="2"/>
      <c r="L399" s="2"/>
      <c r="M399" s="2"/>
    </row>
    <row r="400" spans="1:13" ht="15.6" x14ac:dyDescent="0.3">
      <c r="A400" s="2"/>
      <c r="B400" s="5" t="str">
        <f>IF(COUNTIF(data_val!$E$3:$E$5, sample_log!$E400), sample_log!$C400 &amp; "_" &amp; sample_log!$D400, "")</f>
        <v/>
      </c>
      <c r="C400" s="5" t="str">
        <f>IF(B400="", IF(F400="", "", C399), IF(sample_log!E400="Triennial SASS", "tri_params", "params"))</f>
        <v/>
      </c>
      <c r="D400" s="5" t="str">
        <f>IF(B400="", "", C400 &amp; "!" &amp; CHAR(65+MATCH(B400, params!$B$2:$R$2, 0)))</f>
        <v/>
      </c>
      <c r="E400" s="5" t="str">
        <f ca="1">IF(B400="", "", COUNTA(INDIRECT(D400 &amp; 3):INDIRECT(D400 &amp; 24)))</f>
        <v/>
      </c>
      <c r="F400" s="5" t="str">
        <f t="shared" si="14"/>
        <v/>
      </c>
      <c r="G400" s="5" t="str">
        <f>IF(F400="", "", IF(B400&lt;&gt;"", MATCH(B400, params!$B$2:$R$2, 0), G399))</f>
        <v/>
      </c>
      <c r="H400" s="5" t="str">
        <f t="shared" ca="1" si="13"/>
        <v/>
      </c>
      <c r="I400" s="2"/>
      <c r="J400" s="2"/>
      <c r="K400" s="2"/>
      <c r="L400" s="2"/>
      <c r="M400" s="2"/>
    </row>
    <row r="401" spans="1:13" ht="15.6" x14ac:dyDescent="0.3">
      <c r="A401" s="2"/>
      <c r="B401" s="5" t="str">
        <f>IF(COUNTIF(data_val!$E$3:$E$5, sample_log!$E401), sample_log!$C401 &amp; "_" &amp; sample_log!$D401, "")</f>
        <v/>
      </c>
      <c r="C401" s="5" t="str">
        <f>IF(B401="", IF(F401="", "", C400), IF(sample_log!E401="Triennial SASS", "tri_params", "params"))</f>
        <v/>
      </c>
      <c r="D401" s="5" t="str">
        <f>IF(B401="", "", C401 &amp; "!" &amp; CHAR(65+MATCH(B401, params!$B$2:$R$2, 0)))</f>
        <v/>
      </c>
      <c r="E401" s="5" t="str">
        <f ca="1">IF(B401="", "", COUNTA(INDIRECT(D401 &amp; 3):INDIRECT(D401 &amp; 24)))</f>
        <v/>
      </c>
      <c r="F401" s="5" t="str">
        <f t="shared" si="14"/>
        <v/>
      </c>
      <c r="G401" s="5" t="str">
        <f>IF(F401="", "", IF(B401&lt;&gt;"", MATCH(B401, params!$B$2:$R$2, 0), G400))</f>
        <v/>
      </c>
      <c r="H401" s="5" t="str">
        <f t="shared" ca="1" si="13"/>
        <v/>
      </c>
      <c r="I401" s="2"/>
      <c r="J401" s="2"/>
      <c r="K401" s="2"/>
      <c r="L401" s="2"/>
      <c r="M401" s="2"/>
    </row>
    <row r="402" spans="1:13" ht="15.6" x14ac:dyDescent="0.3">
      <c r="A402" s="2"/>
      <c r="B402" s="5" t="str">
        <f>IF(COUNTIF(data_val!$E$3:$E$5, sample_log!$E402), sample_log!$C402 &amp; "_" &amp; sample_log!$D402, "")</f>
        <v/>
      </c>
      <c r="C402" s="5" t="str">
        <f>IF(B402="", IF(F402="", "", C401), IF(sample_log!E402="Triennial SASS", "tri_params", "params"))</f>
        <v/>
      </c>
      <c r="D402" s="5" t="str">
        <f>IF(B402="", "", C402 &amp; "!" &amp; CHAR(65+MATCH(B402, params!$B$2:$R$2, 0)))</f>
        <v/>
      </c>
      <c r="E402" s="5" t="str">
        <f ca="1">IF(B402="", "", COUNTA(INDIRECT(D402 &amp; 3):INDIRECT(D402 &amp; 24)))</f>
        <v/>
      </c>
      <c r="F402" s="5" t="str">
        <f t="shared" si="14"/>
        <v/>
      </c>
      <c r="G402" s="5" t="str">
        <f>IF(F402="", "", IF(B402&lt;&gt;"", MATCH(B402, params!$B$2:$R$2, 0), G401))</f>
        <v/>
      </c>
      <c r="H402" s="5" t="str">
        <f t="shared" ca="1" si="13"/>
        <v/>
      </c>
      <c r="I402" s="2"/>
      <c r="J402" s="2"/>
      <c r="K402" s="2"/>
      <c r="L402" s="2"/>
      <c r="M402" s="2"/>
    </row>
    <row r="403" spans="1:13" ht="15.6" x14ac:dyDescent="0.3">
      <c r="A403" s="2"/>
      <c r="B403" s="5" t="str">
        <f>IF(COUNTIF(data_val!$E$3:$E$5, sample_log!$E403), sample_log!$C403 &amp; "_" &amp; sample_log!$D403, "")</f>
        <v/>
      </c>
      <c r="C403" s="5" t="str">
        <f>IF(B403="", IF(F403="", "", C402), IF(sample_log!E403="Triennial SASS", "tri_params", "params"))</f>
        <v/>
      </c>
      <c r="D403" s="5" t="str">
        <f>IF(B403="", "", C403 &amp; "!" &amp; CHAR(65+MATCH(B403, params!$B$2:$R$2, 0)))</f>
        <v/>
      </c>
      <c r="E403" s="5" t="str">
        <f ca="1">IF(B403="", "", COUNTA(INDIRECT(D403 &amp; 3):INDIRECT(D403 &amp; 24)))</f>
        <v/>
      </c>
      <c r="F403" s="5" t="str">
        <f t="shared" si="14"/>
        <v/>
      </c>
      <c r="G403" s="5" t="str">
        <f>IF(F403="", "", IF(B403&lt;&gt;"", MATCH(B403, params!$B$2:$R$2, 0), G402))</f>
        <v/>
      </c>
      <c r="H403" s="5" t="str">
        <f t="shared" ca="1" si="13"/>
        <v/>
      </c>
      <c r="I403" s="2"/>
      <c r="J403" s="2"/>
      <c r="K403" s="2"/>
      <c r="L403" s="2"/>
      <c r="M403" s="2"/>
    </row>
    <row r="404" spans="1:13" ht="15.6" x14ac:dyDescent="0.3">
      <c r="A404" s="2"/>
      <c r="B404" s="5" t="str">
        <f>IF(COUNTIF(data_val!$E$3:$E$5, sample_log!$E404), sample_log!$C404 &amp; "_" &amp; sample_log!$D404, "")</f>
        <v/>
      </c>
      <c r="C404" s="5" t="str">
        <f>IF(B404="", IF(F404="", "", C403), IF(sample_log!E404="Triennial SASS", "tri_params", "params"))</f>
        <v/>
      </c>
      <c r="D404" s="5" t="str">
        <f>IF(B404="", "", C404 &amp; "!" &amp; CHAR(65+MATCH(B404, params!$B$2:$R$2, 0)))</f>
        <v/>
      </c>
      <c r="E404" s="5" t="str">
        <f ca="1">IF(B404="", "", COUNTA(INDIRECT(D404 &amp; 3):INDIRECT(D404 &amp; 24)))</f>
        <v/>
      </c>
      <c r="F404" s="5" t="str">
        <f t="shared" si="14"/>
        <v/>
      </c>
      <c r="G404" s="5" t="str">
        <f>IF(F404="", "", IF(B404&lt;&gt;"", MATCH(B404, params!$B$2:$R$2, 0), G403))</f>
        <v/>
      </c>
      <c r="H404" s="5" t="str">
        <f t="shared" ca="1" si="13"/>
        <v/>
      </c>
      <c r="I404" s="2"/>
      <c r="J404" s="2"/>
      <c r="K404" s="2"/>
      <c r="L404" s="2"/>
      <c r="M404" s="2"/>
    </row>
    <row r="405" spans="1:13" ht="15.6" x14ac:dyDescent="0.3">
      <c r="A405" s="2"/>
      <c r="B405" s="5" t="str">
        <f>IF(COUNTIF(data_val!$E$3:$E$5, sample_log!$E405), sample_log!$C405 &amp; "_" &amp; sample_log!$D405, "")</f>
        <v/>
      </c>
      <c r="C405" s="5" t="str">
        <f>IF(B405="", IF(F405="", "", C404), IF(sample_log!E405="Triennial SASS", "tri_params", "params"))</f>
        <v/>
      </c>
      <c r="D405" s="5" t="str">
        <f>IF(B405="", "", C405 &amp; "!" &amp; CHAR(65+MATCH(B405, params!$B$2:$R$2, 0)))</f>
        <v/>
      </c>
      <c r="E405" s="5" t="str">
        <f ca="1">IF(B405="", "", COUNTA(INDIRECT(D405 &amp; 3):INDIRECT(D405 &amp; 24)))</f>
        <v/>
      </c>
      <c r="F405" s="5" t="str">
        <f t="shared" si="14"/>
        <v/>
      </c>
      <c r="G405" s="5" t="str">
        <f>IF(F405="", "", IF(B405&lt;&gt;"", MATCH(B405, params!$B$2:$R$2, 0), G404))</f>
        <v/>
      </c>
      <c r="H405" s="5" t="str">
        <f t="shared" ca="1" si="13"/>
        <v/>
      </c>
      <c r="I405" s="2"/>
      <c r="J405" s="2"/>
      <c r="K405" s="2"/>
      <c r="L405" s="2"/>
      <c r="M405" s="2"/>
    </row>
    <row r="406" spans="1:13" ht="15.6" x14ac:dyDescent="0.3">
      <c r="A406" s="2"/>
      <c r="B406" s="5" t="str">
        <f>IF(COUNTIF(data_val!$E$3:$E$5, sample_log!$E406), sample_log!$C406 &amp; "_" &amp; sample_log!$D406, "")</f>
        <v/>
      </c>
      <c r="C406" s="5" t="str">
        <f>IF(B406="", IF(F406="", "", C405), IF(sample_log!E406="Triennial SASS", "tri_params", "params"))</f>
        <v/>
      </c>
      <c r="D406" s="5" t="str">
        <f>IF(B406="", "", C406 &amp; "!" &amp; CHAR(65+MATCH(B406, params!$B$2:$R$2, 0)))</f>
        <v/>
      </c>
      <c r="E406" s="5" t="str">
        <f ca="1">IF(B406="", "", COUNTA(INDIRECT(D406 &amp; 3):INDIRECT(D406 &amp; 24)))</f>
        <v/>
      </c>
      <c r="F406" s="5" t="str">
        <f t="shared" si="14"/>
        <v/>
      </c>
      <c r="G406" s="5" t="str">
        <f>IF(F406="", "", IF(B406&lt;&gt;"", MATCH(B406, params!$B$2:$R$2, 0), G405))</f>
        <v/>
      </c>
      <c r="H406" s="5" t="str">
        <f t="shared" ca="1" si="13"/>
        <v/>
      </c>
      <c r="I406" s="2"/>
      <c r="J406" s="2"/>
      <c r="K406" s="2"/>
      <c r="L406" s="2"/>
      <c r="M406" s="2"/>
    </row>
    <row r="407" spans="1:13" ht="15.6" x14ac:dyDescent="0.3">
      <c r="A407" s="2"/>
      <c r="B407" s="5" t="str">
        <f>IF(COUNTIF(data_val!$E$3:$E$5, sample_log!$E407), sample_log!$C407 &amp; "_" &amp; sample_log!$D407, "")</f>
        <v/>
      </c>
      <c r="C407" s="5" t="str">
        <f>IF(B407="", IF(F407="", "", C406), IF(sample_log!E407="Triennial SASS", "tri_params", "params"))</f>
        <v/>
      </c>
      <c r="D407" s="5" t="str">
        <f>IF(B407="", "", C407 &amp; "!" &amp; CHAR(65+MATCH(B407, params!$B$2:$R$2, 0)))</f>
        <v/>
      </c>
      <c r="E407" s="5" t="str">
        <f ca="1">IF(B407="", "", COUNTA(INDIRECT(D407 &amp; 3):INDIRECT(D407 &amp; 24)))</f>
        <v/>
      </c>
      <c r="F407" s="5" t="str">
        <f t="shared" si="14"/>
        <v/>
      </c>
      <c r="G407" s="5" t="str">
        <f>IF(F407="", "", IF(B407&lt;&gt;"", MATCH(B407, params!$B$2:$R$2, 0), G406))</f>
        <v/>
      </c>
      <c r="H407" s="5" t="str">
        <f t="shared" ca="1" si="13"/>
        <v/>
      </c>
      <c r="I407" s="2"/>
      <c r="J407" s="2"/>
      <c r="K407" s="2"/>
      <c r="L407" s="2"/>
      <c r="M407" s="2"/>
    </row>
    <row r="408" spans="1:13" ht="15.6" x14ac:dyDescent="0.3">
      <c r="A408" s="2"/>
      <c r="B408" s="5" t="str">
        <f>IF(COUNTIF(data_val!$E$3:$E$5, sample_log!$E408), sample_log!$C408 &amp; "_" &amp; sample_log!$D408, "")</f>
        <v/>
      </c>
      <c r="C408" s="5" t="str">
        <f>IF(B408="", IF(F408="", "", C407), IF(sample_log!E408="Triennial SASS", "tri_params", "params"))</f>
        <v/>
      </c>
      <c r="D408" s="5" t="str">
        <f>IF(B408="", "", C408 &amp; "!" &amp; CHAR(65+MATCH(B408, params!$B$2:$R$2, 0)))</f>
        <v/>
      </c>
      <c r="E408" s="5" t="str">
        <f ca="1">IF(B408="", "", COUNTA(INDIRECT(D408 &amp; 3):INDIRECT(D408 &amp; 24)))</f>
        <v/>
      </c>
      <c r="F408" s="5" t="str">
        <f t="shared" si="14"/>
        <v/>
      </c>
      <c r="G408" s="5" t="str">
        <f>IF(F408="", "", IF(B408&lt;&gt;"", MATCH(B408, params!$B$2:$R$2, 0), G407))</f>
        <v/>
      </c>
      <c r="H408" s="5" t="str">
        <f t="shared" ca="1" si="13"/>
        <v/>
      </c>
      <c r="I408" s="2"/>
      <c r="J408" s="2"/>
      <c r="K408" s="2"/>
      <c r="L408" s="2"/>
      <c r="M408" s="2"/>
    </row>
    <row r="409" spans="1:13" ht="15.6" x14ac:dyDescent="0.3">
      <c r="A409" s="2"/>
      <c r="B409" s="5" t="str">
        <f>IF(COUNTIF(data_val!$E$3:$E$5, sample_log!$E409), sample_log!$C409 &amp; "_" &amp; sample_log!$D409, "")</f>
        <v/>
      </c>
      <c r="C409" s="5" t="str">
        <f>IF(B409="", IF(F409="", "", C408), IF(sample_log!E409="Triennial SASS", "tri_params", "params"))</f>
        <v/>
      </c>
      <c r="D409" s="5" t="str">
        <f>IF(B409="", "", C409 &amp; "!" &amp; CHAR(65+MATCH(B409, params!$B$2:$R$2, 0)))</f>
        <v/>
      </c>
      <c r="E409" s="5" t="str">
        <f ca="1">IF(B409="", "", COUNTA(INDIRECT(D409 &amp; 3):INDIRECT(D409 &amp; 24)))</f>
        <v/>
      </c>
      <c r="F409" s="5" t="str">
        <f t="shared" si="14"/>
        <v/>
      </c>
      <c r="G409" s="5" t="str">
        <f>IF(F409="", "", IF(B409&lt;&gt;"", MATCH(B409, params!$B$2:$R$2, 0), G408))</f>
        <v/>
      </c>
      <c r="H409" s="5" t="str">
        <f t="shared" ref="H409:H472" ca="1" si="15">IF($F409="", "", INDEX(INDIRECT("'" &amp; C409 &amp; "'!$B$3:$R$24"), $F409, $G409))</f>
        <v/>
      </c>
      <c r="I409" s="2"/>
      <c r="J409" s="2"/>
      <c r="K409" s="2"/>
      <c r="L409" s="2"/>
      <c r="M409" s="2"/>
    </row>
    <row r="410" spans="1:13" ht="15.6" x14ac:dyDescent="0.3">
      <c r="A410" s="2"/>
      <c r="B410" s="5" t="str">
        <f>IF(COUNTIF(data_val!$E$3:$E$5, sample_log!$E410), sample_log!$C410 &amp; "_" &amp; sample_log!$D410, "")</f>
        <v/>
      </c>
      <c r="C410" s="5" t="str">
        <f>IF(B410="", IF(F410="", "", C409), IF(sample_log!E410="Triennial SASS", "tri_params", "params"))</f>
        <v/>
      </c>
      <c r="D410" s="5" t="str">
        <f>IF(B410="", "", C410 &amp; "!" &amp; CHAR(65+MATCH(B410, params!$B$2:$R$2, 0)))</f>
        <v/>
      </c>
      <c r="E410" s="5" t="str">
        <f ca="1">IF(B410="", "", COUNTA(INDIRECT(D410 &amp; 3):INDIRECT(D410 &amp; 24)))</f>
        <v/>
      </c>
      <c r="F410" s="5" t="str">
        <f t="shared" si="14"/>
        <v/>
      </c>
      <c r="G410" s="5" t="str">
        <f>IF(F410="", "", IF(B410&lt;&gt;"", MATCH(B410, params!$B$2:$R$2, 0), G409))</f>
        <v/>
      </c>
      <c r="H410" s="5" t="str">
        <f t="shared" ca="1" si="15"/>
        <v/>
      </c>
      <c r="I410" s="2"/>
      <c r="J410" s="2"/>
      <c r="K410" s="2"/>
      <c r="L410" s="2"/>
      <c r="M410" s="2"/>
    </row>
    <row r="411" spans="1:13" ht="15.6" x14ac:dyDescent="0.3">
      <c r="A411" s="2"/>
      <c r="B411" s="5" t="str">
        <f>IF(COUNTIF(data_val!$E$3:$E$5, sample_log!$E411), sample_log!$C411 &amp; "_" &amp; sample_log!$D411, "")</f>
        <v/>
      </c>
      <c r="C411" s="5" t="str">
        <f>IF(B411="", IF(F411="", "", C410), IF(sample_log!E411="Triennial SASS", "tri_params", "params"))</f>
        <v/>
      </c>
      <c r="D411" s="5" t="str">
        <f>IF(B411="", "", C411 &amp; "!" &amp; CHAR(65+MATCH(B411, params!$B$2:$R$2, 0)))</f>
        <v/>
      </c>
      <c r="E411" s="5" t="str">
        <f ca="1">IF(B411="", "", COUNTA(INDIRECT(D411 &amp; 3):INDIRECT(D411 &amp; 24)))</f>
        <v/>
      </c>
      <c r="F411" s="5" t="str">
        <f t="shared" si="14"/>
        <v/>
      </c>
      <c r="G411" s="5" t="str">
        <f>IF(F411="", "", IF(B411&lt;&gt;"", MATCH(B411, params!$B$2:$R$2, 0), G410))</f>
        <v/>
      </c>
      <c r="H411" s="5" t="str">
        <f t="shared" ca="1" si="15"/>
        <v/>
      </c>
      <c r="I411" s="2"/>
      <c r="J411" s="2"/>
      <c r="K411" s="2"/>
      <c r="L411" s="2"/>
      <c r="M411" s="2"/>
    </row>
    <row r="412" spans="1:13" ht="15.6" x14ac:dyDescent="0.3">
      <c r="A412" s="2"/>
      <c r="B412" s="5" t="str">
        <f>IF(COUNTIF(data_val!$E$3:$E$5, sample_log!$E412), sample_log!$C412 &amp; "_" &amp; sample_log!$D412, "")</f>
        <v/>
      </c>
      <c r="C412" s="5" t="str">
        <f>IF(B412="", IF(F412="", "", C411), IF(sample_log!E412="Triennial SASS", "tri_params", "params"))</f>
        <v/>
      </c>
      <c r="D412" s="5" t="str">
        <f>IF(B412="", "", C412 &amp; "!" &amp; CHAR(65+MATCH(B412, params!$B$2:$R$2, 0)))</f>
        <v/>
      </c>
      <c r="E412" s="5" t="str">
        <f ca="1">IF(B412="", "", COUNTA(INDIRECT(D412 &amp; 3):INDIRECT(D412 &amp; 24)))</f>
        <v/>
      </c>
      <c r="F412" s="5" t="str">
        <f t="shared" si="14"/>
        <v/>
      </c>
      <c r="G412" s="5" t="str">
        <f>IF(F412="", "", IF(B412&lt;&gt;"", MATCH(B412, params!$B$2:$R$2, 0), G411))</f>
        <v/>
      </c>
      <c r="H412" s="5" t="str">
        <f t="shared" ca="1" si="15"/>
        <v/>
      </c>
      <c r="I412" s="2"/>
      <c r="J412" s="2"/>
      <c r="K412" s="2"/>
      <c r="L412" s="2"/>
      <c r="M412" s="2"/>
    </row>
    <row r="413" spans="1:13" ht="15.6" x14ac:dyDescent="0.3">
      <c r="A413" s="2"/>
      <c r="B413" s="5" t="str">
        <f>IF(COUNTIF(data_val!$E$3:$E$5, sample_log!$E413), sample_log!$C413 &amp; "_" &amp; sample_log!$D413, "")</f>
        <v/>
      </c>
      <c r="C413" s="5" t="str">
        <f>IF(B413="", IF(F413="", "", C412), IF(sample_log!E413="Triennial SASS", "tri_params", "params"))</f>
        <v/>
      </c>
      <c r="D413" s="5" t="str">
        <f>IF(B413="", "", C413 &amp; "!" &amp; CHAR(65+MATCH(B413, params!$B$2:$R$2, 0)))</f>
        <v/>
      </c>
      <c r="E413" s="5" t="str">
        <f ca="1">IF(B413="", "", COUNTA(INDIRECT(D413 &amp; 3):INDIRECT(D413 &amp; 24)))</f>
        <v/>
      </c>
      <c r="F413" s="5" t="str">
        <f t="shared" si="14"/>
        <v/>
      </c>
      <c r="G413" s="5" t="str">
        <f>IF(F413="", "", IF(B413&lt;&gt;"", MATCH(B413, params!$B$2:$R$2, 0), G412))</f>
        <v/>
      </c>
      <c r="H413" s="5" t="str">
        <f t="shared" ca="1" si="15"/>
        <v/>
      </c>
      <c r="I413" s="2"/>
      <c r="J413" s="2"/>
      <c r="K413" s="2"/>
      <c r="L413" s="2"/>
      <c r="M413" s="2"/>
    </row>
    <row r="414" spans="1:13" ht="15.6" x14ac:dyDescent="0.3">
      <c r="A414" s="2"/>
      <c r="B414" s="5" t="str">
        <f>IF(COUNTIF(data_val!$E$3:$E$5, sample_log!$E414), sample_log!$C414 &amp; "_" &amp; sample_log!$D414, "")</f>
        <v/>
      </c>
      <c r="C414" s="5" t="str">
        <f>IF(B414="", IF(F414="", "", C413), IF(sample_log!E414="Triennial SASS", "tri_params", "params"))</f>
        <v/>
      </c>
      <c r="D414" s="5" t="str">
        <f>IF(B414="", "", C414 &amp; "!" &amp; CHAR(65+MATCH(B414, params!$B$2:$R$2, 0)))</f>
        <v/>
      </c>
      <c r="E414" s="5" t="str">
        <f ca="1">IF(B414="", "", COUNTA(INDIRECT(D414 &amp; 3):INDIRECT(D414 &amp; 24)))</f>
        <v/>
      </c>
      <c r="F414" s="5" t="str">
        <f t="shared" si="14"/>
        <v/>
      </c>
      <c r="G414" s="5" t="str">
        <f>IF(F414="", "", IF(B414&lt;&gt;"", MATCH(B414, params!$B$2:$R$2, 0), G413))</f>
        <v/>
      </c>
      <c r="H414" s="5" t="str">
        <f t="shared" ca="1" si="15"/>
        <v/>
      </c>
      <c r="I414" s="2"/>
      <c r="J414" s="2"/>
      <c r="K414" s="2"/>
      <c r="L414" s="2"/>
      <c r="M414" s="2"/>
    </row>
    <row r="415" spans="1:13" ht="15.6" x14ac:dyDescent="0.3">
      <c r="A415" s="2"/>
      <c r="B415" s="5" t="str">
        <f>IF(COUNTIF(data_val!$E$3:$E$5, sample_log!$E415), sample_log!$C415 &amp; "_" &amp; sample_log!$D415, "")</f>
        <v/>
      </c>
      <c r="C415" s="5" t="str">
        <f>IF(B415="", IF(F415="", "", C414), IF(sample_log!E415="Triennial SASS", "tri_params", "params"))</f>
        <v/>
      </c>
      <c r="D415" s="5" t="str">
        <f>IF(B415="", "", C415 &amp; "!" &amp; CHAR(65+MATCH(B415, params!$B$2:$R$2, 0)))</f>
        <v/>
      </c>
      <c r="E415" s="5" t="str">
        <f ca="1">IF(B415="", "", COUNTA(INDIRECT(D415 &amp; 3):INDIRECT(D415 &amp; 24)))</f>
        <v/>
      </c>
      <c r="F415" s="5" t="str">
        <f t="shared" si="14"/>
        <v/>
      </c>
      <c r="G415" s="5" t="str">
        <f>IF(F415="", "", IF(B415&lt;&gt;"", MATCH(B415, params!$B$2:$R$2, 0), G414))</f>
        <v/>
      </c>
      <c r="H415" s="5" t="str">
        <f t="shared" ca="1" si="15"/>
        <v/>
      </c>
      <c r="I415" s="2"/>
      <c r="J415" s="2"/>
      <c r="K415" s="2"/>
      <c r="L415" s="2"/>
      <c r="M415" s="2"/>
    </row>
    <row r="416" spans="1:13" ht="15.6" x14ac:dyDescent="0.3">
      <c r="A416" s="2"/>
      <c r="B416" s="5" t="str">
        <f>IF(COUNTIF(data_val!$E$3:$E$5, sample_log!$E416), sample_log!$C416 &amp; "_" &amp; sample_log!$D416, "")</f>
        <v/>
      </c>
      <c r="C416" s="5" t="str">
        <f>IF(B416="", IF(F416="", "", C415), IF(sample_log!E416="Triennial SASS", "tri_params", "params"))</f>
        <v/>
      </c>
      <c r="D416" s="5" t="str">
        <f>IF(B416="", "", C416 &amp; "!" &amp; CHAR(65+MATCH(B416, params!$B$2:$R$2, 0)))</f>
        <v/>
      </c>
      <c r="E416" s="5" t="str">
        <f ca="1">IF(B416="", "", COUNTA(INDIRECT(D416 &amp; 3):INDIRECT(D416 &amp; 24)))</f>
        <v/>
      </c>
      <c r="F416" s="5" t="str">
        <f t="shared" si="14"/>
        <v/>
      </c>
      <c r="G416" s="5" t="str">
        <f>IF(F416="", "", IF(B416&lt;&gt;"", MATCH(B416, params!$B$2:$R$2, 0), G415))</f>
        <v/>
      </c>
      <c r="H416" s="5" t="str">
        <f t="shared" ca="1" si="15"/>
        <v/>
      </c>
      <c r="I416" s="2"/>
      <c r="J416" s="2"/>
      <c r="K416" s="2"/>
      <c r="L416" s="2"/>
      <c r="M416" s="2"/>
    </row>
    <row r="417" spans="1:13" ht="15.6" x14ac:dyDescent="0.3">
      <c r="A417" s="2"/>
      <c r="B417" s="5" t="str">
        <f>IF(COUNTIF(data_val!$E$3:$E$5, sample_log!$E417), sample_log!$C417 &amp; "_" &amp; sample_log!$D417, "")</f>
        <v/>
      </c>
      <c r="C417" s="5" t="str">
        <f>IF(B417="", IF(F417="", "", C416), IF(sample_log!E417="Triennial SASS", "tri_params", "params"))</f>
        <v/>
      </c>
      <c r="D417" s="5" t="str">
        <f>IF(B417="", "", C417 &amp; "!" &amp; CHAR(65+MATCH(B417, params!$B$2:$R$2, 0)))</f>
        <v/>
      </c>
      <c r="E417" s="5" t="str">
        <f ca="1">IF(B417="", "", COUNTA(INDIRECT(D417 &amp; 3):INDIRECT(D417 &amp; 24)))</f>
        <v/>
      </c>
      <c r="F417" s="5" t="str">
        <f t="shared" si="14"/>
        <v/>
      </c>
      <c r="G417" s="5" t="str">
        <f>IF(F417="", "", IF(B417&lt;&gt;"", MATCH(B417, params!$B$2:$R$2, 0), G416))</f>
        <v/>
      </c>
      <c r="H417" s="5" t="str">
        <f t="shared" ca="1" si="15"/>
        <v/>
      </c>
      <c r="I417" s="2"/>
      <c r="J417" s="2"/>
      <c r="K417" s="2"/>
      <c r="L417" s="2"/>
      <c r="M417" s="2"/>
    </row>
    <row r="418" spans="1:13" ht="15.6" x14ac:dyDescent="0.3">
      <c r="A418" s="2"/>
      <c r="B418" s="5" t="str">
        <f>IF(COUNTIF(data_val!$E$3:$E$5, sample_log!$E418), sample_log!$C418 &amp; "_" &amp; sample_log!$D418, "")</f>
        <v/>
      </c>
      <c r="C418" s="5" t="str">
        <f>IF(B418="", IF(F418="", "", C417), IF(sample_log!E418="Triennial SASS", "tri_params", "params"))</f>
        <v/>
      </c>
      <c r="D418" s="5" t="str">
        <f>IF(B418="", "", C418 &amp; "!" &amp; CHAR(65+MATCH(B418, params!$B$2:$R$2, 0)))</f>
        <v/>
      </c>
      <c r="E418" s="5" t="str">
        <f ca="1">IF(B418="", "", COUNTA(INDIRECT(D418 &amp; 3):INDIRECT(D418 &amp; 24)))</f>
        <v/>
      </c>
      <c r="F418" s="5" t="str">
        <f t="shared" si="14"/>
        <v/>
      </c>
      <c r="G418" s="5" t="str">
        <f>IF(F418="", "", IF(B418&lt;&gt;"", MATCH(B418, params!$B$2:$R$2, 0), G417))</f>
        <v/>
      </c>
      <c r="H418" s="5" t="str">
        <f t="shared" ca="1" si="15"/>
        <v/>
      </c>
      <c r="I418" s="2"/>
      <c r="J418" s="2"/>
      <c r="K418" s="2"/>
      <c r="L418" s="2"/>
      <c r="M418" s="2"/>
    </row>
    <row r="419" spans="1:13" ht="15.6" x14ac:dyDescent="0.3">
      <c r="A419" s="2"/>
      <c r="B419" s="5" t="str">
        <f>IF(COUNTIF(data_val!$E$3:$E$5, sample_log!$E419), sample_log!$C419 &amp; "_" &amp; sample_log!$D419, "")</f>
        <v/>
      </c>
      <c r="C419" s="5" t="str">
        <f>IF(B419="", IF(F419="", "", C418), IF(sample_log!E419="Triennial SASS", "tri_params", "params"))</f>
        <v/>
      </c>
      <c r="D419" s="5" t="str">
        <f>IF(B419="", "", C419 &amp; "!" &amp; CHAR(65+MATCH(B419, params!$B$2:$R$2, 0)))</f>
        <v/>
      </c>
      <c r="E419" s="5" t="str">
        <f ca="1">IF(B419="", "", COUNTA(INDIRECT(D419 &amp; 3):INDIRECT(D419 &amp; 24)))</f>
        <v/>
      </c>
      <c r="F419" s="5" t="str">
        <f t="shared" si="14"/>
        <v/>
      </c>
      <c r="G419" s="5" t="str">
        <f>IF(F419="", "", IF(B419&lt;&gt;"", MATCH(B419, params!$B$2:$R$2, 0), G418))</f>
        <v/>
      </c>
      <c r="H419" s="5" t="str">
        <f t="shared" ca="1" si="15"/>
        <v/>
      </c>
      <c r="I419" s="2"/>
      <c r="J419" s="2"/>
      <c r="K419" s="2"/>
      <c r="L419" s="2"/>
      <c r="M419" s="2"/>
    </row>
    <row r="420" spans="1:13" ht="15.6" x14ac:dyDescent="0.3">
      <c r="A420" s="2"/>
      <c r="B420" s="5" t="str">
        <f>IF(COUNTIF(data_val!$E$3:$E$5, sample_log!$E420), sample_log!$C420 &amp; "_" &amp; sample_log!$D420, "")</f>
        <v/>
      </c>
      <c r="C420" s="5" t="str">
        <f>IF(B420="", IF(F420="", "", C419), IF(sample_log!E420="Triennial SASS", "tri_params", "params"))</f>
        <v/>
      </c>
      <c r="D420" s="5" t="str">
        <f>IF(B420="", "", C420 &amp; "!" &amp; CHAR(65+MATCH(B420, params!$B$2:$R$2, 0)))</f>
        <v/>
      </c>
      <c r="E420" s="5" t="str">
        <f ca="1">IF(B420="", "", COUNTA(INDIRECT(D420 &amp; 3):INDIRECT(D420 &amp; 24)))</f>
        <v/>
      </c>
      <c r="F420" s="5" t="str">
        <f t="shared" si="14"/>
        <v/>
      </c>
      <c r="G420" s="5" t="str">
        <f>IF(F420="", "", IF(B420&lt;&gt;"", MATCH(B420, params!$B$2:$R$2, 0), G419))</f>
        <v/>
      </c>
      <c r="H420" s="5" t="str">
        <f t="shared" ca="1" si="15"/>
        <v/>
      </c>
      <c r="I420" s="2"/>
      <c r="J420" s="2"/>
      <c r="K420" s="2"/>
      <c r="L420" s="2"/>
      <c r="M420" s="2"/>
    </row>
    <row r="421" spans="1:13" ht="15.6" x14ac:dyDescent="0.3">
      <c r="A421" s="2"/>
      <c r="B421" s="5" t="str">
        <f>IF(COUNTIF(data_val!$E$3:$E$5, sample_log!$E421), sample_log!$C421 &amp; "_" &amp; sample_log!$D421, "")</f>
        <v/>
      </c>
      <c r="C421" s="5" t="str">
        <f>IF(B421="", IF(F421="", "", C420), IF(sample_log!E421="Triennial SASS", "tri_params", "params"))</f>
        <v/>
      </c>
      <c r="D421" s="5" t="str">
        <f>IF(B421="", "", C421 &amp; "!" &amp; CHAR(65+MATCH(B421, params!$B$2:$R$2, 0)))</f>
        <v/>
      </c>
      <c r="E421" s="5" t="str">
        <f ca="1">IF(B421="", "", COUNTA(INDIRECT(D421 &amp; 3):INDIRECT(D421 &amp; 24)))</f>
        <v/>
      </c>
      <c r="F421" s="5" t="str">
        <f t="shared" si="14"/>
        <v/>
      </c>
      <c r="G421" s="5" t="str">
        <f>IF(F421="", "", IF(B421&lt;&gt;"", MATCH(B421, params!$B$2:$R$2, 0), G420))</f>
        <v/>
      </c>
      <c r="H421" s="5" t="str">
        <f t="shared" ca="1" si="15"/>
        <v/>
      </c>
      <c r="I421" s="2"/>
      <c r="J421" s="2"/>
      <c r="K421" s="2"/>
      <c r="L421" s="2"/>
      <c r="M421" s="2"/>
    </row>
    <row r="422" spans="1:13" ht="15.6" x14ac:dyDescent="0.3">
      <c r="A422" s="2"/>
      <c r="B422" s="5" t="str">
        <f>IF(COUNTIF(data_val!$E$3:$E$5, sample_log!$E422), sample_log!$C422 &amp; "_" &amp; sample_log!$D422, "")</f>
        <v/>
      </c>
      <c r="C422" s="5" t="str">
        <f>IF(B422="", IF(F422="", "", C421), IF(sample_log!E422="Triennial SASS", "tri_params", "params"))</f>
        <v/>
      </c>
      <c r="D422" s="5" t="str">
        <f>IF(B422="", "", C422 &amp; "!" &amp; CHAR(65+MATCH(B422, params!$B$2:$R$2, 0)))</f>
        <v/>
      </c>
      <c r="E422" s="5" t="str">
        <f ca="1">IF(B422="", "", COUNTA(INDIRECT(D422 &amp; 3):INDIRECT(D422 &amp; 24)))</f>
        <v/>
      </c>
      <c r="F422" s="5" t="str">
        <f t="shared" si="14"/>
        <v/>
      </c>
      <c r="G422" s="5" t="str">
        <f>IF(F422="", "", IF(B422&lt;&gt;"", MATCH(B422, params!$B$2:$R$2, 0), G421))</f>
        <v/>
      </c>
      <c r="H422" s="5" t="str">
        <f t="shared" ca="1" si="15"/>
        <v/>
      </c>
      <c r="I422" s="2"/>
      <c r="J422" s="2"/>
      <c r="K422" s="2"/>
      <c r="L422" s="2"/>
      <c r="M422" s="2"/>
    </row>
    <row r="423" spans="1:13" ht="15.6" x14ac:dyDescent="0.3">
      <c r="A423" s="2"/>
      <c r="B423" s="5" t="str">
        <f>IF(COUNTIF(data_val!$E$3:$E$5, sample_log!$E423), sample_log!$C423 &amp; "_" &amp; sample_log!$D423, "")</f>
        <v/>
      </c>
      <c r="C423" s="5" t="str">
        <f>IF(B423="", IF(F423="", "", C422), IF(sample_log!E423="Triennial SASS", "tri_params", "params"))</f>
        <v/>
      </c>
      <c r="D423" s="5" t="str">
        <f>IF(B423="", "", C423 &amp; "!" &amp; CHAR(65+MATCH(B423, params!$B$2:$R$2, 0)))</f>
        <v/>
      </c>
      <c r="E423" s="5" t="str">
        <f ca="1">IF(B423="", "", COUNTA(INDIRECT(D423 &amp; 3):INDIRECT(D423 &amp; 24)))</f>
        <v/>
      </c>
      <c r="F423" s="5" t="str">
        <f t="shared" si="14"/>
        <v/>
      </c>
      <c r="G423" s="5" t="str">
        <f>IF(F423="", "", IF(B423&lt;&gt;"", MATCH(B423, params!$B$2:$R$2, 0), G422))</f>
        <v/>
      </c>
      <c r="H423" s="5" t="str">
        <f t="shared" ca="1" si="15"/>
        <v/>
      </c>
      <c r="I423" s="2"/>
      <c r="J423" s="2"/>
      <c r="K423" s="2"/>
      <c r="L423" s="2"/>
      <c r="M423" s="2"/>
    </row>
    <row r="424" spans="1:13" ht="15.6" x14ac:dyDescent="0.3">
      <c r="A424" s="2"/>
      <c r="B424" s="5" t="str">
        <f>IF(COUNTIF(data_val!$E$3:$E$5, sample_log!$E424), sample_log!$C424 &amp; "_" &amp; sample_log!$D424, "")</f>
        <v/>
      </c>
      <c r="C424" s="5" t="str">
        <f>IF(B424="", IF(F424="", "", C423), IF(sample_log!E424="Triennial SASS", "tri_params", "params"))</f>
        <v/>
      </c>
      <c r="D424" s="5" t="str">
        <f>IF(B424="", "", C424 &amp; "!" &amp; CHAR(65+MATCH(B424, params!$B$2:$R$2, 0)))</f>
        <v/>
      </c>
      <c r="E424" s="5" t="str">
        <f ca="1">IF(B424="", "", COUNTA(INDIRECT(D424 &amp; 3):INDIRECT(D424 &amp; 24)))</f>
        <v/>
      </c>
      <c r="F424" s="5" t="str">
        <f t="shared" si="14"/>
        <v/>
      </c>
      <c r="G424" s="5" t="str">
        <f>IF(F424="", "", IF(B424&lt;&gt;"", MATCH(B424, params!$B$2:$R$2, 0), G423))</f>
        <v/>
      </c>
      <c r="H424" s="5" t="str">
        <f t="shared" ca="1" si="15"/>
        <v/>
      </c>
      <c r="I424" s="2"/>
      <c r="J424" s="2"/>
      <c r="K424" s="2"/>
      <c r="L424" s="2"/>
      <c r="M424" s="2"/>
    </row>
    <row r="425" spans="1:13" ht="15.6" x14ac:dyDescent="0.3">
      <c r="A425" s="2"/>
      <c r="B425" s="5" t="str">
        <f>IF(COUNTIF(data_val!$E$3:$E$5, sample_log!$E425), sample_log!$C425 &amp; "_" &amp; sample_log!$D425, "")</f>
        <v/>
      </c>
      <c r="C425" s="5" t="str">
        <f>IF(B425="", IF(F425="", "", C424), IF(sample_log!E425="Triennial SASS", "tri_params", "params"))</f>
        <v/>
      </c>
      <c r="D425" s="5" t="str">
        <f>IF(B425="", "", C425 &amp; "!" &amp; CHAR(65+MATCH(B425, params!$B$2:$R$2, 0)))</f>
        <v/>
      </c>
      <c r="E425" s="5" t="str">
        <f ca="1">IF(B425="", "", COUNTA(INDIRECT(D425 &amp; 3):INDIRECT(D425 &amp; 24)))</f>
        <v/>
      </c>
      <c r="F425" s="5" t="str">
        <f t="shared" si="14"/>
        <v/>
      </c>
      <c r="G425" s="5" t="str">
        <f>IF(F425="", "", IF(B425&lt;&gt;"", MATCH(B425, params!$B$2:$R$2, 0), G424))</f>
        <v/>
      </c>
      <c r="H425" s="5" t="str">
        <f t="shared" ca="1" si="15"/>
        <v/>
      </c>
      <c r="I425" s="2"/>
      <c r="J425" s="2"/>
      <c r="K425" s="2"/>
      <c r="L425" s="2"/>
      <c r="M425" s="2"/>
    </row>
    <row r="426" spans="1:13" ht="15.6" x14ac:dyDescent="0.3">
      <c r="A426" s="2"/>
      <c r="B426" s="5" t="str">
        <f>IF(COUNTIF(data_val!$E$3:$E$5, sample_log!$E426), sample_log!$C426 &amp; "_" &amp; sample_log!$D426, "")</f>
        <v/>
      </c>
      <c r="C426" s="5" t="str">
        <f>IF(B426="", IF(F426="", "", C425), IF(sample_log!E426="Triennial SASS", "tri_params", "params"))</f>
        <v/>
      </c>
      <c r="D426" s="5" t="str">
        <f>IF(B426="", "", C426 &amp; "!" &amp; CHAR(65+MATCH(B426, params!$B$2:$R$2, 0)))</f>
        <v/>
      </c>
      <c r="E426" s="5" t="str">
        <f ca="1">IF(B426="", "", COUNTA(INDIRECT(D426 &amp; 3):INDIRECT(D426 &amp; 24)))</f>
        <v/>
      </c>
      <c r="F426" s="5" t="str">
        <f t="shared" si="14"/>
        <v/>
      </c>
      <c r="G426" s="5" t="str">
        <f>IF(F426="", "", IF(B426&lt;&gt;"", MATCH(B426, params!$B$2:$R$2, 0), G425))</f>
        <v/>
      </c>
      <c r="H426" s="5" t="str">
        <f t="shared" ca="1" si="15"/>
        <v/>
      </c>
      <c r="I426" s="2"/>
      <c r="J426" s="2"/>
      <c r="K426" s="2"/>
      <c r="L426" s="2"/>
      <c r="M426" s="2"/>
    </row>
    <row r="427" spans="1:13" ht="15.6" x14ac:dyDescent="0.3">
      <c r="A427" s="2"/>
      <c r="B427" s="5" t="str">
        <f>IF(COUNTIF(data_val!$E$3:$E$5, sample_log!$E427), sample_log!$C427 &amp; "_" &amp; sample_log!$D427, "")</f>
        <v/>
      </c>
      <c r="C427" s="5" t="str">
        <f>IF(B427="", IF(F427="", "", C426), IF(sample_log!E427="Triennial SASS", "tri_params", "params"))</f>
        <v/>
      </c>
      <c r="D427" s="5" t="str">
        <f>IF(B427="", "", C427 &amp; "!" &amp; CHAR(65+MATCH(B427, params!$B$2:$R$2, 0)))</f>
        <v/>
      </c>
      <c r="E427" s="5" t="str">
        <f ca="1">IF(B427="", "", COUNTA(INDIRECT(D427 &amp; 3):INDIRECT(D427 &amp; 24)))</f>
        <v/>
      </c>
      <c r="F427" s="5" t="str">
        <f t="shared" si="14"/>
        <v/>
      </c>
      <c r="G427" s="5" t="str">
        <f>IF(F427="", "", IF(B427&lt;&gt;"", MATCH(B427, params!$B$2:$R$2, 0), G426))</f>
        <v/>
      </c>
      <c r="H427" s="5" t="str">
        <f t="shared" ca="1" si="15"/>
        <v/>
      </c>
      <c r="I427" s="2"/>
      <c r="J427" s="2"/>
      <c r="K427" s="2"/>
      <c r="L427" s="2"/>
      <c r="M427" s="2"/>
    </row>
    <row r="428" spans="1:13" ht="15.6" x14ac:dyDescent="0.3">
      <c r="A428" s="2"/>
      <c r="B428" s="5" t="str">
        <f>IF(COUNTIF(data_val!$E$3:$E$5, sample_log!$E428), sample_log!$C428 &amp; "_" &amp; sample_log!$D428, "")</f>
        <v/>
      </c>
      <c r="C428" s="5" t="str">
        <f>IF(B428="", IF(F428="", "", C427), IF(sample_log!E428="Triennial SASS", "tri_params", "params"))</f>
        <v/>
      </c>
      <c r="D428" s="5" t="str">
        <f>IF(B428="", "", C428 &amp; "!" &amp; CHAR(65+MATCH(B428, params!$B$2:$R$2, 0)))</f>
        <v/>
      </c>
      <c r="E428" s="5" t="str">
        <f ca="1">IF(B428="", "", COUNTA(INDIRECT(D428 &amp; 3):INDIRECT(D428 &amp; 24)))</f>
        <v/>
      </c>
      <c r="F428" s="5" t="str">
        <f t="shared" si="14"/>
        <v/>
      </c>
      <c r="G428" s="5" t="str">
        <f>IF(F428="", "", IF(B428&lt;&gt;"", MATCH(B428, params!$B$2:$R$2, 0), G427))</f>
        <v/>
      </c>
      <c r="H428" s="5" t="str">
        <f t="shared" ca="1" si="15"/>
        <v/>
      </c>
      <c r="I428" s="2"/>
      <c r="J428" s="2"/>
      <c r="K428" s="2"/>
      <c r="L428" s="2"/>
      <c r="M428" s="2"/>
    </row>
    <row r="429" spans="1:13" ht="15.6" x14ac:dyDescent="0.3">
      <c r="A429" s="2"/>
      <c r="B429" s="5" t="str">
        <f>IF(COUNTIF(data_val!$E$3:$E$5, sample_log!$E429), sample_log!$C429 &amp; "_" &amp; sample_log!$D429, "")</f>
        <v/>
      </c>
      <c r="C429" s="5" t="str">
        <f>IF(B429="", IF(F429="", "", C428), IF(sample_log!E429="Triennial SASS", "tri_params", "params"))</f>
        <v/>
      </c>
      <c r="D429" s="5" t="str">
        <f>IF(B429="", "", C429 &amp; "!" &amp; CHAR(65+MATCH(B429, params!$B$2:$R$2, 0)))</f>
        <v/>
      </c>
      <c r="E429" s="5" t="str">
        <f ca="1">IF(B429="", "", COUNTA(INDIRECT(D429 &amp; 3):INDIRECT(D429 &amp; 24)))</f>
        <v/>
      </c>
      <c r="F429" s="5" t="str">
        <f t="shared" si="14"/>
        <v/>
      </c>
      <c r="G429" s="5" t="str">
        <f>IF(F429="", "", IF(B429&lt;&gt;"", MATCH(B429, params!$B$2:$R$2, 0), G428))</f>
        <v/>
      </c>
      <c r="H429" s="5" t="str">
        <f t="shared" ca="1" si="15"/>
        <v/>
      </c>
      <c r="I429" s="2"/>
      <c r="J429" s="2"/>
      <c r="K429" s="2"/>
      <c r="L429" s="2"/>
      <c r="M429" s="2"/>
    </row>
    <row r="430" spans="1:13" ht="15.6" x14ac:dyDescent="0.3">
      <c r="A430" s="2"/>
      <c r="B430" s="5" t="str">
        <f>IF(COUNTIF(data_val!$E$3:$E$5, sample_log!$E430), sample_log!$C430 &amp; "_" &amp; sample_log!$D430, "")</f>
        <v/>
      </c>
      <c r="C430" s="5" t="str">
        <f>IF(B430="", IF(F430="", "", C429), IF(sample_log!E430="Triennial SASS", "tri_params", "params"))</f>
        <v/>
      </c>
      <c r="D430" s="5" t="str">
        <f>IF(B430="", "", C430 &amp; "!" &amp; CHAR(65+MATCH(B430, params!$B$2:$R$2, 0)))</f>
        <v/>
      </c>
      <c r="E430" s="5" t="str">
        <f ca="1">IF(B430="", "", COUNTA(INDIRECT(D430 &amp; 3):INDIRECT(D430 &amp; 24)))</f>
        <v/>
      </c>
      <c r="F430" s="5" t="str">
        <f t="shared" si="14"/>
        <v/>
      </c>
      <c r="G430" s="5" t="str">
        <f>IF(F430="", "", IF(B430&lt;&gt;"", MATCH(B430, params!$B$2:$R$2, 0), G429))</f>
        <v/>
      </c>
      <c r="H430" s="5" t="str">
        <f t="shared" ca="1" si="15"/>
        <v/>
      </c>
      <c r="I430" s="2"/>
      <c r="J430" s="2"/>
      <c r="K430" s="2"/>
      <c r="L430" s="2"/>
      <c r="M430" s="2"/>
    </row>
    <row r="431" spans="1:13" ht="15.6" x14ac:dyDescent="0.3">
      <c r="A431" s="2"/>
      <c r="B431" s="5" t="str">
        <f>IF(COUNTIF(data_val!$E$3:$E$5, sample_log!$E431), sample_log!$C431 &amp; "_" &amp; sample_log!$D431, "")</f>
        <v/>
      </c>
      <c r="C431" s="5" t="str">
        <f>IF(B431="", IF(F431="", "", C430), IF(sample_log!E431="Triennial SASS", "tri_params", "params"))</f>
        <v/>
      </c>
      <c r="D431" s="5" t="str">
        <f>IF(B431="", "", C431 &amp; "!" &amp; CHAR(65+MATCH(B431, params!$B$2:$R$2, 0)))</f>
        <v/>
      </c>
      <c r="E431" s="5" t="str">
        <f ca="1">IF(B431="", "", COUNTA(INDIRECT(D431 &amp; 3):INDIRECT(D431 &amp; 24)))</f>
        <v/>
      </c>
      <c r="F431" s="5" t="str">
        <f t="shared" si="14"/>
        <v/>
      </c>
      <c r="G431" s="5" t="str">
        <f>IF(F431="", "", IF(B431&lt;&gt;"", MATCH(B431, params!$B$2:$R$2, 0), G430))</f>
        <v/>
      </c>
      <c r="H431" s="5" t="str">
        <f t="shared" ca="1" si="15"/>
        <v/>
      </c>
      <c r="I431" s="2"/>
      <c r="J431" s="2"/>
      <c r="K431" s="2"/>
      <c r="L431" s="2"/>
      <c r="M431" s="2"/>
    </row>
    <row r="432" spans="1:13" ht="15.6" x14ac:dyDescent="0.3">
      <c r="A432" s="2"/>
      <c r="B432" s="5" t="str">
        <f>IF(COUNTIF(data_val!$E$3:$E$5, sample_log!$E432), sample_log!$C432 &amp; "_" &amp; sample_log!$D432, "")</f>
        <v/>
      </c>
      <c r="C432" s="5" t="str">
        <f>IF(B432="", IF(F432="", "", C431), IF(sample_log!E432="Triennial SASS", "tri_params", "params"))</f>
        <v/>
      </c>
      <c r="D432" s="5" t="str">
        <f>IF(B432="", "", C432 &amp; "!" &amp; CHAR(65+MATCH(B432, params!$B$2:$R$2, 0)))</f>
        <v/>
      </c>
      <c r="E432" s="5" t="str">
        <f ca="1">IF(B432="", "", COUNTA(INDIRECT(D432 &amp; 3):INDIRECT(D432 &amp; 24)))</f>
        <v/>
      </c>
      <c r="F432" s="5" t="str">
        <f t="shared" si="14"/>
        <v/>
      </c>
      <c r="G432" s="5" t="str">
        <f>IF(F432="", "", IF(B432&lt;&gt;"", MATCH(B432, params!$B$2:$R$2, 0), G431))</f>
        <v/>
      </c>
      <c r="H432" s="5" t="str">
        <f t="shared" ca="1" si="15"/>
        <v/>
      </c>
      <c r="I432" s="2"/>
      <c r="J432" s="2"/>
      <c r="K432" s="2"/>
      <c r="L432" s="2"/>
      <c r="M432" s="2"/>
    </row>
    <row r="433" spans="1:13" ht="15.6" x14ac:dyDescent="0.3">
      <c r="A433" s="2"/>
      <c r="B433" s="5" t="str">
        <f>IF(COUNTIF(data_val!$E$3:$E$5, sample_log!$E433), sample_log!$C433 &amp; "_" &amp; sample_log!$D433, "")</f>
        <v/>
      </c>
      <c r="C433" s="5" t="str">
        <f>IF(B433="", IF(F433="", "", C432), IF(sample_log!E433="Triennial SASS", "tri_params", "params"))</f>
        <v/>
      </c>
      <c r="D433" s="5" t="str">
        <f>IF(B433="", "", C433 &amp; "!" &amp; CHAR(65+MATCH(B433, params!$B$2:$R$2, 0)))</f>
        <v/>
      </c>
      <c r="E433" s="5" t="str">
        <f ca="1">IF(B433="", "", COUNTA(INDIRECT(D433 &amp; 3):INDIRECT(D433 &amp; 24)))</f>
        <v/>
      </c>
      <c r="F433" s="5" t="str">
        <f t="shared" si="14"/>
        <v/>
      </c>
      <c r="G433" s="5" t="str">
        <f>IF(F433="", "", IF(B433&lt;&gt;"", MATCH(B433, params!$B$2:$R$2, 0), G432))</f>
        <v/>
      </c>
      <c r="H433" s="5" t="str">
        <f t="shared" ca="1" si="15"/>
        <v/>
      </c>
      <c r="I433" s="2"/>
      <c r="J433" s="2"/>
      <c r="K433" s="2"/>
      <c r="L433" s="2"/>
      <c r="M433" s="2"/>
    </row>
    <row r="434" spans="1:13" ht="15.6" x14ac:dyDescent="0.3">
      <c r="A434" s="2"/>
      <c r="B434" s="5" t="str">
        <f>IF(COUNTIF(data_val!$E$3:$E$5, sample_log!$E434), sample_log!$C434 &amp; "_" &amp; sample_log!$D434, "")</f>
        <v/>
      </c>
      <c r="C434" s="5" t="str">
        <f>IF(B434="", IF(F434="", "", C433), IF(sample_log!E434="Triennial SASS", "tri_params", "params"))</f>
        <v/>
      </c>
      <c r="D434" s="5" t="str">
        <f>IF(B434="", "", C434 &amp; "!" &amp; CHAR(65+MATCH(B434, params!$B$2:$R$2, 0)))</f>
        <v/>
      </c>
      <c r="E434" s="5" t="str">
        <f ca="1">IF(B434="", "", COUNTA(INDIRECT(D434 &amp; 3):INDIRECT(D434 &amp; 24)))</f>
        <v/>
      </c>
      <c r="F434" s="5" t="str">
        <f t="shared" si="14"/>
        <v/>
      </c>
      <c r="G434" s="5" t="str">
        <f>IF(F434="", "", IF(B434&lt;&gt;"", MATCH(B434, params!$B$2:$R$2, 0), G433))</f>
        <v/>
      </c>
      <c r="H434" s="5" t="str">
        <f t="shared" ca="1" si="15"/>
        <v/>
      </c>
      <c r="I434" s="2"/>
      <c r="J434" s="2"/>
      <c r="K434" s="2"/>
      <c r="L434" s="2"/>
      <c r="M434" s="2"/>
    </row>
    <row r="435" spans="1:13" ht="15.6" x14ac:dyDescent="0.3">
      <c r="A435" s="2"/>
      <c r="B435" s="5" t="str">
        <f>IF(COUNTIF(data_val!$E$3:$E$5, sample_log!$E435), sample_log!$C435 &amp; "_" &amp; sample_log!$D435, "")</f>
        <v/>
      </c>
      <c r="C435" s="5" t="str">
        <f>IF(B435="", IF(F435="", "", C434), IF(sample_log!E435="Triennial SASS", "tri_params", "params"))</f>
        <v/>
      </c>
      <c r="D435" s="5" t="str">
        <f>IF(B435="", "", C435 &amp; "!" &amp; CHAR(65+MATCH(B435, params!$B$2:$R$2, 0)))</f>
        <v/>
      </c>
      <c r="E435" s="5" t="str">
        <f ca="1">IF(B435="", "", COUNTA(INDIRECT(D435 &amp; 3):INDIRECT(D435 &amp; 24)))</f>
        <v/>
      </c>
      <c r="F435" s="5" t="str">
        <f t="shared" si="14"/>
        <v/>
      </c>
      <c r="G435" s="5" t="str">
        <f>IF(F435="", "", IF(B435&lt;&gt;"", MATCH(B435, params!$B$2:$R$2, 0), G434))</f>
        <v/>
      </c>
      <c r="H435" s="5" t="str">
        <f t="shared" ca="1" si="15"/>
        <v/>
      </c>
      <c r="I435" s="2"/>
      <c r="J435" s="2"/>
      <c r="K435" s="2"/>
      <c r="L435" s="2"/>
      <c r="M435" s="2"/>
    </row>
    <row r="436" spans="1:13" ht="15.6" x14ac:dyDescent="0.3">
      <c r="A436" s="2"/>
      <c r="B436" s="5" t="str">
        <f>IF(COUNTIF(data_val!$E$3:$E$5, sample_log!$E436), sample_log!$C436 &amp; "_" &amp; sample_log!$D436, "")</f>
        <v/>
      </c>
      <c r="C436" s="5" t="str">
        <f>IF(B436="", IF(F436="", "", C435), IF(sample_log!E436="Triennial SASS", "tri_params", "params"))</f>
        <v/>
      </c>
      <c r="D436" s="5" t="str">
        <f>IF(B436="", "", C436 &amp; "!" &amp; CHAR(65+MATCH(B436, params!$B$2:$R$2, 0)))</f>
        <v/>
      </c>
      <c r="E436" s="5" t="str">
        <f ca="1">IF(B436="", "", COUNTA(INDIRECT(D436 &amp; 3):INDIRECT(D436 &amp; 24)))</f>
        <v/>
      </c>
      <c r="F436" s="5" t="str">
        <f t="shared" si="14"/>
        <v/>
      </c>
      <c r="G436" s="5" t="str">
        <f>IF(F436="", "", IF(B436&lt;&gt;"", MATCH(B436, params!$B$2:$R$2, 0), G435))</f>
        <v/>
      </c>
      <c r="H436" s="5" t="str">
        <f t="shared" ca="1" si="15"/>
        <v/>
      </c>
      <c r="I436" s="2"/>
      <c r="J436" s="2"/>
      <c r="K436" s="2"/>
      <c r="L436" s="2"/>
      <c r="M436" s="2"/>
    </row>
    <row r="437" spans="1:13" ht="15.6" x14ac:dyDescent="0.3">
      <c r="A437" s="2"/>
      <c r="B437" s="5" t="str">
        <f>IF(COUNTIF(data_val!$E$3:$E$5, sample_log!$E437), sample_log!$C437 &amp; "_" &amp; sample_log!$D437, "")</f>
        <v/>
      </c>
      <c r="C437" s="5" t="str">
        <f>IF(B437="", IF(F437="", "", C436), IF(sample_log!E437="Triennial SASS", "tri_params", "params"))</f>
        <v/>
      </c>
      <c r="D437" s="5" t="str">
        <f>IF(B437="", "", C437 &amp; "!" &amp; CHAR(65+MATCH(B437, params!$B$2:$R$2, 0)))</f>
        <v/>
      </c>
      <c r="E437" s="5" t="str">
        <f ca="1">IF(B437="", "", COUNTA(INDIRECT(D437 &amp; 3):INDIRECT(D437 &amp; 24)))</f>
        <v/>
      </c>
      <c r="F437" s="5" t="str">
        <f t="shared" si="14"/>
        <v/>
      </c>
      <c r="G437" s="5" t="str">
        <f>IF(F437="", "", IF(B437&lt;&gt;"", MATCH(B437, params!$B$2:$R$2, 0), G436))</f>
        <v/>
      </c>
      <c r="H437" s="5" t="str">
        <f t="shared" ca="1" si="15"/>
        <v/>
      </c>
      <c r="I437" s="2"/>
      <c r="J437" s="2"/>
      <c r="K437" s="2"/>
      <c r="L437" s="2"/>
      <c r="M437" s="2"/>
    </row>
    <row r="438" spans="1:13" ht="15.6" x14ac:dyDescent="0.3">
      <c r="A438" s="2"/>
      <c r="B438" s="5" t="str">
        <f>IF(COUNTIF(data_val!$E$3:$E$5, sample_log!$E438), sample_log!$C438 &amp; "_" &amp; sample_log!$D438, "")</f>
        <v/>
      </c>
      <c r="C438" s="5" t="str">
        <f>IF(B438="", IF(F438="", "", C437), IF(sample_log!E438="Triennial SASS", "tri_params", "params"))</f>
        <v/>
      </c>
      <c r="D438" s="5" t="str">
        <f>IF(B438="", "", C438 &amp; "!" &amp; CHAR(65+MATCH(B438, params!$B$2:$R$2, 0)))</f>
        <v/>
      </c>
      <c r="E438" s="5" t="str">
        <f ca="1">IF(B438="", "", COUNTA(INDIRECT(D438 &amp; 3):INDIRECT(D438 &amp; 24)))</f>
        <v/>
      </c>
      <c r="F438" s="5" t="str">
        <f t="shared" si="14"/>
        <v/>
      </c>
      <c r="G438" s="5" t="str">
        <f>IF(F438="", "", IF(B438&lt;&gt;"", MATCH(B438, params!$B$2:$R$2, 0), G437))</f>
        <v/>
      </c>
      <c r="H438" s="5" t="str">
        <f t="shared" ca="1" si="15"/>
        <v/>
      </c>
      <c r="I438" s="2"/>
      <c r="J438" s="2"/>
      <c r="K438" s="2"/>
      <c r="L438" s="2"/>
      <c r="M438" s="2"/>
    </row>
    <row r="439" spans="1:13" ht="15.6" x14ac:dyDescent="0.3">
      <c r="A439" s="2"/>
      <c r="B439" s="5" t="str">
        <f>IF(COUNTIF(data_val!$E$3:$E$5, sample_log!$E439), sample_log!$C439 &amp; "_" &amp; sample_log!$D439, "")</f>
        <v/>
      </c>
      <c r="C439" s="5" t="str">
        <f>IF(B439="", IF(F439="", "", C438), IF(sample_log!E439="Triennial SASS", "tri_params", "params"))</f>
        <v/>
      </c>
      <c r="D439" s="5" t="str">
        <f>IF(B439="", "", C439 &amp; "!" &amp; CHAR(65+MATCH(B439, params!$B$2:$R$2, 0)))</f>
        <v/>
      </c>
      <c r="E439" s="5" t="str">
        <f ca="1">IF(B439="", "", COUNTA(INDIRECT(D439 &amp; 3):INDIRECT(D439 &amp; 24)))</f>
        <v/>
      </c>
      <c r="F439" s="5" t="str">
        <f t="shared" si="14"/>
        <v/>
      </c>
      <c r="G439" s="5" t="str">
        <f>IF(F439="", "", IF(B439&lt;&gt;"", MATCH(B439, params!$B$2:$R$2, 0), G438))</f>
        <v/>
      </c>
      <c r="H439" s="5" t="str">
        <f t="shared" ca="1" si="15"/>
        <v/>
      </c>
      <c r="I439" s="2"/>
      <c r="J439" s="2"/>
      <c r="K439" s="2"/>
      <c r="L439" s="2"/>
      <c r="M439" s="2"/>
    </row>
    <row r="440" spans="1:13" ht="15.6" x14ac:dyDescent="0.3">
      <c r="A440" s="2"/>
      <c r="B440" s="5" t="str">
        <f>IF(COUNTIF(data_val!$E$3:$E$5, sample_log!$E440), sample_log!$C440 &amp; "_" &amp; sample_log!$D440, "")</f>
        <v/>
      </c>
      <c r="C440" s="5" t="str">
        <f>IF(B440="", IF(F440="", "", C439), IF(sample_log!E440="Triennial SASS", "tri_params", "params"))</f>
        <v/>
      </c>
      <c r="D440" s="5" t="str">
        <f>IF(B440="", "", C440 &amp; "!" &amp; CHAR(65+MATCH(B440, params!$B$2:$R$2, 0)))</f>
        <v/>
      </c>
      <c r="E440" s="5" t="str">
        <f ca="1">IF(B440="", "", COUNTA(INDIRECT(D440 &amp; 3):INDIRECT(D440 &amp; 24)))</f>
        <v/>
      </c>
      <c r="F440" s="5" t="str">
        <f t="shared" si="14"/>
        <v/>
      </c>
      <c r="G440" s="5" t="str">
        <f>IF(F440="", "", IF(B440&lt;&gt;"", MATCH(B440, params!$B$2:$R$2, 0), G439))</f>
        <v/>
      </c>
      <c r="H440" s="5" t="str">
        <f t="shared" ca="1" si="15"/>
        <v/>
      </c>
      <c r="I440" s="2"/>
      <c r="J440" s="2"/>
      <c r="K440" s="2"/>
      <c r="L440" s="2"/>
      <c r="M440" s="2"/>
    </row>
    <row r="441" spans="1:13" ht="15.6" x14ac:dyDescent="0.3">
      <c r="A441" s="2"/>
      <c r="B441" s="5" t="str">
        <f>IF(COUNTIF(data_val!$E$3:$E$5, sample_log!$E441), sample_log!$C441 &amp; "_" &amp; sample_log!$D441, "")</f>
        <v/>
      </c>
      <c r="C441" s="5" t="str">
        <f>IF(B441="", IF(F441="", "", C440), IF(sample_log!E441="Triennial SASS", "tri_params", "params"))</f>
        <v/>
      </c>
      <c r="D441" s="5" t="str">
        <f>IF(B441="", "", C441 &amp; "!" &amp; CHAR(65+MATCH(B441, params!$B$2:$R$2, 0)))</f>
        <v/>
      </c>
      <c r="E441" s="5" t="str">
        <f ca="1">IF(B441="", "", COUNTA(INDIRECT(D441 &amp; 3):INDIRECT(D441 &amp; 24)))</f>
        <v/>
      </c>
      <c r="F441" s="5" t="str">
        <f t="shared" si="14"/>
        <v/>
      </c>
      <c r="G441" s="5" t="str">
        <f>IF(F441="", "", IF(B441&lt;&gt;"", MATCH(B441, params!$B$2:$R$2, 0), G440))</f>
        <v/>
      </c>
      <c r="H441" s="5" t="str">
        <f t="shared" ca="1" si="15"/>
        <v/>
      </c>
      <c r="I441" s="2"/>
      <c r="J441" s="2"/>
      <c r="K441" s="2"/>
      <c r="L441" s="2"/>
      <c r="M441" s="2"/>
    </row>
    <row r="442" spans="1:13" ht="15.6" x14ac:dyDescent="0.3">
      <c r="A442" s="2"/>
      <c r="B442" s="5" t="str">
        <f>IF(COUNTIF(data_val!$E$3:$E$5, sample_log!$E442), sample_log!$C442 &amp; "_" &amp; sample_log!$D442, "")</f>
        <v/>
      </c>
      <c r="C442" s="5" t="str">
        <f>IF(B442="", IF(F442="", "", C441), IF(sample_log!E442="Triennial SASS", "tri_params", "params"))</f>
        <v/>
      </c>
      <c r="D442" s="5" t="str">
        <f>IF(B442="", "", C442 &amp; "!" &amp; CHAR(65+MATCH(B442, params!$B$2:$R$2, 0)))</f>
        <v/>
      </c>
      <c r="E442" s="5" t="str">
        <f ca="1">IF(B442="", "", COUNTA(INDIRECT(D442 &amp; 3):INDIRECT(D442 &amp; 24)))</f>
        <v/>
      </c>
      <c r="F442" s="5" t="str">
        <f t="shared" si="14"/>
        <v/>
      </c>
      <c r="G442" s="5" t="str">
        <f>IF(F442="", "", IF(B442&lt;&gt;"", MATCH(B442, params!$B$2:$R$2, 0), G441))</f>
        <v/>
      </c>
      <c r="H442" s="5" t="str">
        <f t="shared" ca="1" si="15"/>
        <v/>
      </c>
      <c r="I442" s="2"/>
      <c r="J442" s="2"/>
      <c r="K442" s="2"/>
      <c r="L442" s="2"/>
      <c r="M442" s="2"/>
    </row>
    <row r="443" spans="1:13" ht="15.6" x14ac:dyDescent="0.3">
      <c r="A443" s="2"/>
      <c r="B443" s="5" t="str">
        <f>IF(COUNTIF(data_val!$E$3:$E$5, sample_log!$E443), sample_log!$C443 &amp; "_" &amp; sample_log!$D443, "")</f>
        <v/>
      </c>
      <c r="C443" s="5" t="str">
        <f>IF(B443="", IF(F443="", "", C442), IF(sample_log!E443="Triennial SASS", "tri_params", "params"))</f>
        <v/>
      </c>
      <c r="D443" s="5" t="str">
        <f>IF(B443="", "", C443 &amp; "!" &amp; CHAR(65+MATCH(B443, params!$B$2:$R$2, 0)))</f>
        <v/>
      </c>
      <c r="E443" s="5" t="str">
        <f ca="1">IF(B443="", "", COUNTA(INDIRECT(D443 &amp; 3):INDIRECT(D443 &amp; 24)))</f>
        <v/>
      </c>
      <c r="F443" s="5" t="str">
        <f t="shared" si="14"/>
        <v/>
      </c>
      <c r="G443" s="5" t="str">
        <f>IF(F443="", "", IF(B443&lt;&gt;"", MATCH(B443, params!$B$2:$R$2, 0), G442))</f>
        <v/>
      </c>
      <c r="H443" s="5" t="str">
        <f t="shared" ca="1" si="15"/>
        <v/>
      </c>
      <c r="I443" s="2"/>
      <c r="J443" s="2"/>
      <c r="K443" s="2"/>
      <c r="L443" s="2"/>
      <c r="M443" s="2"/>
    </row>
    <row r="444" spans="1:13" ht="15.6" x14ac:dyDescent="0.3">
      <c r="A444" s="2"/>
      <c r="B444" s="5" t="str">
        <f>IF(COUNTIF(data_val!$E$3:$E$5, sample_log!$E444), sample_log!$C444 &amp; "_" &amp; sample_log!$D444, "")</f>
        <v/>
      </c>
      <c r="C444" s="5" t="str">
        <f>IF(B444="", IF(F444="", "", C443), IF(sample_log!E444="Triennial SASS", "tri_params", "params"))</f>
        <v/>
      </c>
      <c r="D444" s="5" t="str">
        <f>IF(B444="", "", C444 &amp; "!" &amp; CHAR(65+MATCH(B444, params!$B$2:$R$2, 0)))</f>
        <v/>
      </c>
      <c r="E444" s="5" t="str">
        <f ca="1">IF(B444="", "", COUNTA(INDIRECT(D444 &amp; 3):INDIRECT(D444 &amp; 24)))</f>
        <v/>
      </c>
      <c r="F444" s="5" t="str">
        <f t="shared" si="14"/>
        <v/>
      </c>
      <c r="G444" s="5" t="str">
        <f>IF(F444="", "", IF(B444&lt;&gt;"", MATCH(B444, params!$B$2:$R$2, 0), G443))</f>
        <v/>
      </c>
      <c r="H444" s="5" t="str">
        <f t="shared" ca="1" si="15"/>
        <v/>
      </c>
      <c r="I444" s="2"/>
      <c r="J444" s="2"/>
      <c r="K444" s="2"/>
      <c r="L444" s="2"/>
      <c r="M444" s="2"/>
    </row>
    <row r="445" spans="1:13" ht="15.6" x14ac:dyDescent="0.3">
      <c r="A445" s="2"/>
      <c r="B445" s="5" t="str">
        <f>IF(COUNTIF(data_val!$E$3:$E$5, sample_log!$E445), sample_log!$C445 &amp; "_" &amp; sample_log!$D445, "")</f>
        <v/>
      </c>
      <c r="C445" s="5" t="str">
        <f>IF(B445="", IF(F445="", "", C444), IF(sample_log!E445="Triennial SASS", "tri_params", "params"))</f>
        <v/>
      </c>
      <c r="D445" s="5" t="str">
        <f>IF(B445="", "", C445 &amp; "!" &amp; CHAR(65+MATCH(B445, params!$B$2:$R$2, 0)))</f>
        <v/>
      </c>
      <c r="E445" s="5" t="str">
        <f ca="1">IF(B445="", "", COUNTA(INDIRECT(D445 &amp; 3):INDIRECT(D445 &amp; 24)))</f>
        <v/>
      </c>
      <c r="F445" s="5" t="str">
        <f t="shared" si="14"/>
        <v/>
      </c>
      <c r="G445" s="5" t="str">
        <f>IF(F445="", "", IF(B445&lt;&gt;"", MATCH(B445, params!$B$2:$R$2, 0), G444))</f>
        <v/>
      </c>
      <c r="H445" s="5" t="str">
        <f t="shared" ca="1" si="15"/>
        <v/>
      </c>
      <c r="I445" s="2"/>
      <c r="J445" s="2"/>
      <c r="K445" s="2"/>
      <c r="L445" s="2"/>
      <c r="M445" s="2"/>
    </row>
    <row r="446" spans="1:13" ht="15.6" x14ac:dyDescent="0.3">
      <c r="A446" s="2"/>
      <c r="B446" s="5" t="str">
        <f>IF(COUNTIF(data_val!$E$3:$E$5, sample_log!$E446), sample_log!$C446 &amp; "_" &amp; sample_log!$D446, "")</f>
        <v/>
      </c>
      <c r="C446" s="5" t="str">
        <f>IF(B446="", IF(F446="", "", C445), IF(sample_log!E446="Triennial SASS", "tri_params", "params"))</f>
        <v/>
      </c>
      <c r="D446" s="5" t="str">
        <f>IF(B446="", "", C446 &amp; "!" &amp; CHAR(65+MATCH(B446, params!$B$2:$R$2, 0)))</f>
        <v/>
      </c>
      <c r="E446" s="5" t="str">
        <f ca="1">IF(B446="", "", COUNTA(INDIRECT(D446 &amp; 3):INDIRECT(D446 &amp; 24)))</f>
        <v/>
      </c>
      <c r="F446" s="5" t="str">
        <f t="shared" si="14"/>
        <v/>
      </c>
      <c r="G446" s="5" t="str">
        <f>IF(F446="", "", IF(B446&lt;&gt;"", MATCH(B446, params!$B$2:$R$2, 0), G445))</f>
        <v/>
      </c>
      <c r="H446" s="5" t="str">
        <f t="shared" ca="1" si="15"/>
        <v/>
      </c>
      <c r="I446" s="2"/>
      <c r="J446" s="2"/>
      <c r="K446" s="2"/>
      <c r="L446" s="2"/>
      <c r="M446" s="2"/>
    </row>
    <row r="447" spans="1:13" ht="15.6" x14ac:dyDescent="0.3">
      <c r="A447" s="2"/>
      <c r="B447" s="5" t="str">
        <f>IF(COUNTIF(data_val!$E$3:$E$5, sample_log!$E447), sample_log!$C447 &amp; "_" &amp; sample_log!$D447, "")</f>
        <v/>
      </c>
      <c r="C447" s="5" t="str">
        <f>IF(B447="", IF(F447="", "", C446), IF(sample_log!E447="Triennial SASS", "tri_params", "params"))</f>
        <v/>
      </c>
      <c r="D447" s="5" t="str">
        <f>IF(B447="", "", C447 &amp; "!" &amp; CHAR(65+MATCH(B447, params!$B$2:$R$2, 0)))</f>
        <v/>
      </c>
      <c r="E447" s="5" t="str">
        <f ca="1">IF(B447="", "", COUNTA(INDIRECT(D447 &amp; 3):INDIRECT(D447 &amp; 24)))</f>
        <v/>
      </c>
      <c r="F447" s="5" t="str">
        <f t="shared" si="14"/>
        <v/>
      </c>
      <c r="G447" s="5" t="str">
        <f>IF(F447="", "", IF(B447&lt;&gt;"", MATCH(B447, params!$B$2:$R$2, 0), G446))</f>
        <v/>
      </c>
      <c r="H447" s="5" t="str">
        <f t="shared" ca="1" si="15"/>
        <v/>
      </c>
      <c r="I447" s="2"/>
      <c r="J447" s="2"/>
      <c r="K447" s="2"/>
      <c r="L447" s="2"/>
      <c r="M447" s="2"/>
    </row>
    <row r="448" spans="1:13" ht="15.6" x14ac:dyDescent="0.3">
      <c r="A448" s="2"/>
      <c r="B448" s="5" t="str">
        <f>IF(COUNTIF(data_val!$E$3:$E$5, sample_log!$E448), sample_log!$C448 &amp; "_" &amp; sample_log!$D448, "")</f>
        <v/>
      </c>
      <c r="C448" s="5" t="str">
        <f>IF(B448="", IF(F448="", "", C447), IF(sample_log!E448="Triennial SASS", "tri_params", "params"))</f>
        <v/>
      </c>
      <c r="D448" s="5" t="str">
        <f>IF(B448="", "", C448 &amp; "!" &amp; CHAR(65+MATCH(B448, params!$B$2:$R$2, 0)))</f>
        <v/>
      </c>
      <c r="E448" s="5" t="str">
        <f ca="1">IF(B448="", "", COUNTA(INDIRECT(D448 &amp; 3):INDIRECT(D448 &amp; 24)))</f>
        <v/>
      </c>
      <c r="F448" s="5" t="str">
        <f t="shared" si="14"/>
        <v/>
      </c>
      <c r="G448" s="5" t="str">
        <f>IF(F448="", "", IF(B448&lt;&gt;"", MATCH(B448, params!$B$2:$R$2, 0), G447))</f>
        <v/>
      </c>
      <c r="H448" s="5" t="str">
        <f t="shared" ca="1" si="15"/>
        <v/>
      </c>
      <c r="I448" s="2"/>
      <c r="J448" s="2"/>
      <c r="K448" s="2"/>
      <c r="L448" s="2"/>
      <c r="M448" s="2"/>
    </row>
    <row r="449" spans="1:13" ht="15.6" x14ac:dyDescent="0.3">
      <c r="A449" s="2"/>
      <c r="B449" s="5" t="str">
        <f>IF(COUNTIF(data_val!$E$3:$E$5, sample_log!$E449), sample_log!$C449 &amp; "_" &amp; sample_log!$D449, "")</f>
        <v/>
      </c>
      <c r="C449" s="5" t="str">
        <f>IF(B449="", IF(F449="", "", C448), IF(sample_log!E449="Triennial SASS", "tri_params", "params"))</f>
        <v/>
      </c>
      <c r="D449" s="5" t="str">
        <f>IF(B449="", "", C449 &amp; "!" &amp; CHAR(65+MATCH(B449, params!$B$2:$R$2, 0)))</f>
        <v/>
      </c>
      <c r="E449" s="5" t="str">
        <f ca="1">IF(B449="", "", COUNTA(INDIRECT(D449 &amp; 3):INDIRECT(D449 &amp; 24)))</f>
        <v/>
      </c>
      <c r="F449" s="5" t="str">
        <f t="shared" si="14"/>
        <v/>
      </c>
      <c r="G449" s="5" t="str">
        <f>IF(F449="", "", IF(B449&lt;&gt;"", MATCH(B449, params!$B$2:$R$2, 0), G448))</f>
        <v/>
      </c>
      <c r="H449" s="5" t="str">
        <f t="shared" ca="1" si="15"/>
        <v/>
      </c>
      <c r="I449" s="2"/>
      <c r="J449" s="2"/>
      <c r="K449" s="2"/>
      <c r="L449" s="2"/>
      <c r="M449" s="2"/>
    </row>
    <row r="450" spans="1:13" ht="15.6" x14ac:dyDescent="0.3">
      <c r="A450" s="2"/>
      <c r="B450" s="5" t="str">
        <f>IF(COUNTIF(data_val!$E$3:$E$5, sample_log!$E450), sample_log!$C450 &amp; "_" &amp; sample_log!$D450, "")</f>
        <v/>
      </c>
      <c r="C450" s="5" t="str">
        <f>IF(B450="", IF(F450="", "", C449), IF(sample_log!E450="Triennial SASS", "tri_params", "params"))</f>
        <v/>
      </c>
      <c r="D450" s="5" t="str">
        <f>IF(B450="", "", C450 &amp; "!" &amp; CHAR(65+MATCH(B450, params!$B$2:$R$2, 0)))</f>
        <v/>
      </c>
      <c r="E450" s="5" t="str">
        <f ca="1">IF(B450="", "", COUNTA(INDIRECT(D450 &amp; 3):INDIRECT(D450 &amp; 24)))</f>
        <v/>
      </c>
      <c r="F450" s="5" t="str">
        <f t="shared" si="14"/>
        <v/>
      </c>
      <c r="G450" s="5" t="str">
        <f>IF(F450="", "", IF(B450&lt;&gt;"", MATCH(B450, params!$B$2:$R$2, 0), G449))</f>
        <v/>
      </c>
      <c r="H450" s="5" t="str">
        <f t="shared" ca="1" si="15"/>
        <v/>
      </c>
      <c r="I450" s="2"/>
      <c r="J450" s="2"/>
      <c r="K450" s="2"/>
      <c r="L450" s="2"/>
      <c r="M450" s="2"/>
    </row>
    <row r="451" spans="1:13" ht="15.6" x14ac:dyDescent="0.3">
      <c r="A451" s="2"/>
      <c r="B451" s="5" t="str">
        <f>IF(COUNTIF(data_val!$E$3:$E$5, sample_log!$E451), sample_log!$C451 &amp; "_" &amp; sample_log!$D451, "")</f>
        <v/>
      </c>
      <c r="C451" s="5" t="str">
        <f>IF(B451="", IF(F451="", "", C450), IF(sample_log!E451="Triennial SASS", "tri_params", "params"))</f>
        <v/>
      </c>
      <c r="D451" s="5" t="str">
        <f>IF(B451="", "", C451 &amp; "!" &amp; CHAR(65+MATCH(B451, params!$B$2:$R$2, 0)))</f>
        <v/>
      </c>
      <c r="E451" s="5" t="str">
        <f ca="1">IF(B451="", "", COUNTA(INDIRECT(D451 &amp; 3):INDIRECT(D451 &amp; 24)))</f>
        <v/>
      </c>
      <c r="F451" s="5" t="str">
        <f t="shared" ref="F451:F514" si="16">IF(B451="", IF(NOT(ISNUMBER(F450)), "", IF(F450-1&gt;0, F450-1, "")), E451)</f>
        <v/>
      </c>
      <c r="G451" s="5" t="str">
        <f>IF(F451="", "", IF(B451&lt;&gt;"", MATCH(B451, params!$B$2:$R$2, 0), G450))</f>
        <v/>
      </c>
      <c r="H451" s="5" t="str">
        <f t="shared" ca="1" si="15"/>
        <v/>
      </c>
      <c r="I451" s="2"/>
      <c r="J451" s="2"/>
      <c r="K451" s="2"/>
      <c r="L451" s="2"/>
      <c r="M451" s="2"/>
    </row>
    <row r="452" spans="1:13" ht="15.6" x14ac:dyDescent="0.3">
      <c r="A452" s="2"/>
      <c r="B452" s="5" t="str">
        <f>IF(COUNTIF(data_val!$E$3:$E$5, sample_log!$E452), sample_log!$C452 &amp; "_" &amp; sample_log!$D452, "")</f>
        <v/>
      </c>
      <c r="C452" s="5" t="str">
        <f>IF(B452="", IF(F452="", "", C451), IF(sample_log!E452="Triennial SASS", "tri_params", "params"))</f>
        <v/>
      </c>
      <c r="D452" s="5" t="str">
        <f>IF(B452="", "", C452 &amp; "!" &amp; CHAR(65+MATCH(B452, params!$B$2:$R$2, 0)))</f>
        <v/>
      </c>
      <c r="E452" s="5" t="str">
        <f ca="1">IF(B452="", "", COUNTA(INDIRECT(D452 &amp; 3):INDIRECT(D452 &amp; 24)))</f>
        <v/>
      </c>
      <c r="F452" s="5" t="str">
        <f t="shared" si="16"/>
        <v/>
      </c>
      <c r="G452" s="5" t="str">
        <f>IF(F452="", "", IF(B452&lt;&gt;"", MATCH(B452, params!$B$2:$R$2, 0), G451))</f>
        <v/>
      </c>
      <c r="H452" s="5" t="str">
        <f t="shared" ca="1" si="15"/>
        <v/>
      </c>
      <c r="I452" s="2"/>
      <c r="J452" s="2"/>
      <c r="K452" s="2"/>
      <c r="L452" s="2"/>
      <c r="M452" s="2"/>
    </row>
    <row r="453" spans="1:13" ht="15.6" x14ac:dyDescent="0.3">
      <c r="A453" s="2"/>
      <c r="B453" s="5" t="str">
        <f>IF(COUNTIF(data_val!$E$3:$E$5, sample_log!$E453), sample_log!$C453 &amp; "_" &amp; sample_log!$D453, "")</f>
        <v/>
      </c>
      <c r="C453" s="5" t="str">
        <f>IF(B453="", IF(F453="", "", C452), IF(sample_log!E453="Triennial SASS", "tri_params", "params"))</f>
        <v/>
      </c>
      <c r="D453" s="5" t="str">
        <f>IF(B453="", "", C453 &amp; "!" &amp; CHAR(65+MATCH(B453, params!$B$2:$R$2, 0)))</f>
        <v/>
      </c>
      <c r="E453" s="5" t="str">
        <f ca="1">IF(B453="", "", COUNTA(INDIRECT(D453 &amp; 3):INDIRECT(D453 &amp; 24)))</f>
        <v/>
      </c>
      <c r="F453" s="5" t="str">
        <f t="shared" si="16"/>
        <v/>
      </c>
      <c r="G453" s="5" t="str">
        <f>IF(F453="", "", IF(B453&lt;&gt;"", MATCH(B453, params!$B$2:$R$2, 0), G452))</f>
        <v/>
      </c>
      <c r="H453" s="5" t="str">
        <f t="shared" ca="1" si="15"/>
        <v/>
      </c>
      <c r="I453" s="2"/>
      <c r="J453" s="2"/>
      <c r="K453" s="2"/>
      <c r="L453" s="2"/>
      <c r="M453" s="2"/>
    </row>
    <row r="454" spans="1:13" ht="15.6" x14ac:dyDescent="0.3">
      <c r="A454" s="2"/>
      <c r="B454" s="5" t="str">
        <f>IF(COUNTIF(data_val!$E$3:$E$5, sample_log!$E454), sample_log!$C454 &amp; "_" &amp; sample_log!$D454, "")</f>
        <v/>
      </c>
      <c r="C454" s="5" t="str">
        <f>IF(B454="", IF(F454="", "", C453), IF(sample_log!E454="Triennial SASS", "tri_params", "params"))</f>
        <v/>
      </c>
      <c r="D454" s="5" t="str">
        <f>IF(B454="", "", C454 &amp; "!" &amp; CHAR(65+MATCH(B454, params!$B$2:$R$2, 0)))</f>
        <v/>
      </c>
      <c r="E454" s="5" t="str">
        <f ca="1">IF(B454="", "", COUNTA(INDIRECT(D454 &amp; 3):INDIRECT(D454 &amp; 24)))</f>
        <v/>
      </c>
      <c r="F454" s="5" t="str">
        <f t="shared" si="16"/>
        <v/>
      </c>
      <c r="G454" s="5" t="str">
        <f>IF(F454="", "", IF(B454&lt;&gt;"", MATCH(B454, params!$B$2:$R$2, 0), G453))</f>
        <v/>
      </c>
      <c r="H454" s="5" t="str">
        <f t="shared" ca="1" si="15"/>
        <v/>
      </c>
      <c r="I454" s="2"/>
      <c r="J454" s="2"/>
      <c r="K454" s="2"/>
      <c r="L454" s="2"/>
      <c r="M454" s="2"/>
    </row>
    <row r="455" spans="1:13" ht="15.6" x14ac:dyDescent="0.3">
      <c r="A455" s="2"/>
      <c r="B455" s="5" t="str">
        <f>IF(COUNTIF(data_val!$E$3:$E$5, sample_log!$E455), sample_log!$C455 &amp; "_" &amp; sample_log!$D455, "")</f>
        <v/>
      </c>
      <c r="C455" s="5" t="str">
        <f>IF(B455="", IF(F455="", "", C454), IF(sample_log!E455="Triennial SASS", "tri_params", "params"))</f>
        <v/>
      </c>
      <c r="D455" s="5" t="str">
        <f>IF(B455="", "", C455 &amp; "!" &amp; CHAR(65+MATCH(B455, params!$B$2:$R$2, 0)))</f>
        <v/>
      </c>
      <c r="E455" s="5" t="str">
        <f ca="1">IF(B455="", "", COUNTA(INDIRECT(D455 &amp; 3):INDIRECT(D455 &amp; 24)))</f>
        <v/>
      </c>
      <c r="F455" s="5" t="str">
        <f t="shared" si="16"/>
        <v/>
      </c>
      <c r="G455" s="5" t="str">
        <f>IF(F455="", "", IF(B455&lt;&gt;"", MATCH(B455, params!$B$2:$R$2, 0), G454))</f>
        <v/>
      </c>
      <c r="H455" s="5" t="str">
        <f t="shared" ca="1" si="15"/>
        <v/>
      </c>
      <c r="I455" s="2"/>
      <c r="J455" s="2"/>
      <c r="K455" s="2"/>
      <c r="L455" s="2"/>
      <c r="M455" s="2"/>
    </row>
    <row r="456" spans="1:13" ht="15.6" x14ac:dyDescent="0.3">
      <c r="A456" s="2"/>
      <c r="B456" s="5" t="str">
        <f>IF(COUNTIF(data_val!$E$3:$E$5, sample_log!$E456), sample_log!$C456 &amp; "_" &amp; sample_log!$D456, "")</f>
        <v/>
      </c>
      <c r="C456" s="5" t="str">
        <f>IF(B456="", IF(F456="", "", C455), IF(sample_log!E456="Triennial SASS", "tri_params", "params"))</f>
        <v/>
      </c>
      <c r="D456" s="5" t="str">
        <f>IF(B456="", "", C456 &amp; "!" &amp; CHAR(65+MATCH(B456, params!$B$2:$R$2, 0)))</f>
        <v/>
      </c>
      <c r="E456" s="5" t="str">
        <f ca="1">IF(B456="", "", COUNTA(INDIRECT(D456 &amp; 3):INDIRECT(D456 &amp; 24)))</f>
        <v/>
      </c>
      <c r="F456" s="5" t="str">
        <f t="shared" si="16"/>
        <v/>
      </c>
      <c r="G456" s="5" t="str">
        <f>IF(F456="", "", IF(B456&lt;&gt;"", MATCH(B456, params!$B$2:$R$2, 0), G455))</f>
        <v/>
      </c>
      <c r="H456" s="5" t="str">
        <f t="shared" ca="1" si="15"/>
        <v/>
      </c>
      <c r="I456" s="2"/>
      <c r="J456" s="2"/>
      <c r="K456" s="2"/>
      <c r="L456" s="2"/>
      <c r="M456" s="2"/>
    </row>
    <row r="457" spans="1:13" ht="15.6" x14ac:dyDescent="0.3">
      <c r="A457" s="2"/>
      <c r="B457" s="5" t="str">
        <f>IF(COUNTIF(data_val!$E$3:$E$5, sample_log!$E457), sample_log!$C457 &amp; "_" &amp; sample_log!$D457, "")</f>
        <v/>
      </c>
      <c r="C457" s="5" t="str">
        <f>IF(B457="", IF(F457="", "", C456), IF(sample_log!E457="Triennial SASS", "tri_params", "params"))</f>
        <v/>
      </c>
      <c r="D457" s="5" t="str">
        <f>IF(B457="", "", C457 &amp; "!" &amp; CHAR(65+MATCH(B457, params!$B$2:$R$2, 0)))</f>
        <v/>
      </c>
      <c r="E457" s="5" t="str">
        <f ca="1">IF(B457="", "", COUNTA(INDIRECT(D457 &amp; 3):INDIRECT(D457 &amp; 24)))</f>
        <v/>
      </c>
      <c r="F457" s="5" t="str">
        <f t="shared" si="16"/>
        <v/>
      </c>
      <c r="G457" s="5" t="str">
        <f>IF(F457="", "", IF(B457&lt;&gt;"", MATCH(B457, params!$B$2:$R$2, 0), G456))</f>
        <v/>
      </c>
      <c r="H457" s="5" t="str">
        <f t="shared" ca="1" si="15"/>
        <v/>
      </c>
      <c r="I457" s="2"/>
      <c r="J457" s="2"/>
      <c r="K457" s="2"/>
      <c r="L457" s="2"/>
      <c r="M457" s="2"/>
    </row>
    <row r="458" spans="1:13" ht="15.6" x14ac:dyDescent="0.3">
      <c r="A458" s="2"/>
      <c r="B458" s="5" t="str">
        <f>IF(COUNTIF(data_val!$E$3:$E$5, sample_log!$E458), sample_log!$C458 &amp; "_" &amp; sample_log!$D458, "")</f>
        <v/>
      </c>
      <c r="C458" s="5" t="str">
        <f>IF(B458="", IF(F458="", "", C457), IF(sample_log!E458="Triennial SASS", "tri_params", "params"))</f>
        <v/>
      </c>
      <c r="D458" s="5" t="str">
        <f>IF(B458="", "", C458 &amp; "!" &amp; CHAR(65+MATCH(B458, params!$B$2:$R$2, 0)))</f>
        <v/>
      </c>
      <c r="E458" s="5" t="str">
        <f ca="1">IF(B458="", "", COUNTA(INDIRECT(D458 &amp; 3):INDIRECT(D458 &amp; 24)))</f>
        <v/>
      </c>
      <c r="F458" s="5" t="str">
        <f t="shared" si="16"/>
        <v/>
      </c>
      <c r="G458" s="5" t="str">
        <f>IF(F458="", "", IF(B458&lt;&gt;"", MATCH(B458, params!$B$2:$R$2, 0), G457))</f>
        <v/>
      </c>
      <c r="H458" s="5" t="str">
        <f t="shared" ca="1" si="15"/>
        <v/>
      </c>
      <c r="I458" s="2"/>
      <c r="J458" s="2"/>
      <c r="K458" s="2"/>
      <c r="L458" s="2"/>
      <c r="M458" s="2"/>
    </row>
    <row r="459" spans="1:13" ht="15.6" x14ac:dyDescent="0.3">
      <c r="A459" s="2"/>
      <c r="B459" s="5" t="str">
        <f>IF(COUNTIF(data_val!$E$3:$E$5, sample_log!$E459), sample_log!$C459 &amp; "_" &amp; sample_log!$D459, "")</f>
        <v/>
      </c>
      <c r="C459" s="5" t="str">
        <f>IF(B459="", IF(F459="", "", C458), IF(sample_log!E459="Triennial SASS", "tri_params", "params"))</f>
        <v/>
      </c>
      <c r="D459" s="5" t="str">
        <f>IF(B459="", "", C459 &amp; "!" &amp; CHAR(65+MATCH(B459, params!$B$2:$R$2, 0)))</f>
        <v/>
      </c>
      <c r="E459" s="5" t="str">
        <f ca="1">IF(B459="", "", COUNTA(INDIRECT(D459 &amp; 3):INDIRECT(D459 &amp; 24)))</f>
        <v/>
      </c>
      <c r="F459" s="5" t="str">
        <f t="shared" si="16"/>
        <v/>
      </c>
      <c r="G459" s="5" t="str">
        <f>IF(F459="", "", IF(B459&lt;&gt;"", MATCH(B459, params!$B$2:$R$2, 0), G458))</f>
        <v/>
      </c>
      <c r="H459" s="5" t="str">
        <f t="shared" ca="1" si="15"/>
        <v/>
      </c>
      <c r="I459" s="2"/>
      <c r="J459" s="2"/>
      <c r="K459" s="2"/>
      <c r="L459" s="2"/>
      <c r="M459" s="2"/>
    </row>
    <row r="460" spans="1:13" ht="15.6" x14ac:dyDescent="0.3">
      <c r="A460" s="2"/>
      <c r="B460" s="5" t="str">
        <f>IF(COUNTIF(data_val!$E$3:$E$5, sample_log!$E460), sample_log!$C460 &amp; "_" &amp; sample_log!$D460, "")</f>
        <v/>
      </c>
      <c r="C460" s="5" t="str">
        <f>IF(B460="", IF(F460="", "", C459), IF(sample_log!E460="Triennial SASS", "tri_params", "params"))</f>
        <v/>
      </c>
      <c r="D460" s="5" t="str">
        <f>IF(B460="", "", C460 &amp; "!" &amp; CHAR(65+MATCH(B460, params!$B$2:$R$2, 0)))</f>
        <v/>
      </c>
      <c r="E460" s="5" t="str">
        <f ca="1">IF(B460="", "", COUNTA(INDIRECT(D460 &amp; 3):INDIRECT(D460 &amp; 24)))</f>
        <v/>
      </c>
      <c r="F460" s="5" t="str">
        <f t="shared" si="16"/>
        <v/>
      </c>
      <c r="G460" s="5" t="str">
        <f>IF(F460="", "", IF(B460&lt;&gt;"", MATCH(B460, params!$B$2:$R$2, 0), G459))</f>
        <v/>
      </c>
      <c r="H460" s="5" t="str">
        <f t="shared" ca="1" si="15"/>
        <v/>
      </c>
      <c r="I460" s="2"/>
      <c r="J460" s="2"/>
      <c r="K460" s="2"/>
      <c r="L460" s="2"/>
      <c r="M460" s="2"/>
    </row>
    <row r="461" spans="1:13" ht="15.6" x14ac:dyDescent="0.3">
      <c r="A461" s="2"/>
      <c r="B461" s="5" t="str">
        <f>IF(COUNTIF(data_val!$E$3:$E$5, sample_log!$E461), sample_log!$C461 &amp; "_" &amp; sample_log!$D461, "")</f>
        <v/>
      </c>
      <c r="C461" s="5" t="str">
        <f>IF(B461="", IF(F461="", "", C460), IF(sample_log!E461="Triennial SASS", "tri_params", "params"))</f>
        <v/>
      </c>
      <c r="D461" s="5" t="str">
        <f>IF(B461="", "", C461 &amp; "!" &amp; CHAR(65+MATCH(B461, params!$B$2:$R$2, 0)))</f>
        <v/>
      </c>
      <c r="E461" s="5" t="str">
        <f ca="1">IF(B461="", "", COUNTA(INDIRECT(D461 &amp; 3):INDIRECT(D461 &amp; 24)))</f>
        <v/>
      </c>
      <c r="F461" s="5" t="str">
        <f t="shared" si="16"/>
        <v/>
      </c>
      <c r="G461" s="5" t="str">
        <f>IF(F461="", "", IF(B461&lt;&gt;"", MATCH(B461, params!$B$2:$R$2, 0), G460))</f>
        <v/>
      </c>
      <c r="H461" s="5" t="str">
        <f t="shared" ca="1" si="15"/>
        <v/>
      </c>
      <c r="I461" s="2"/>
      <c r="J461" s="2"/>
      <c r="K461" s="2"/>
      <c r="L461" s="2"/>
      <c r="M461" s="2"/>
    </row>
    <row r="462" spans="1:13" ht="15.6" x14ac:dyDescent="0.3">
      <c r="A462" s="2"/>
      <c r="B462" s="5" t="str">
        <f>IF(COUNTIF(data_val!$E$3:$E$5, sample_log!$E462), sample_log!$C462 &amp; "_" &amp; sample_log!$D462, "")</f>
        <v/>
      </c>
      <c r="C462" s="5" t="str">
        <f>IF(B462="", IF(F462="", "", C461), IF(sample_log!E462="Triennial SASS", "tri_params", "params"))</f>
        <v/>
      </c>
      <c r="D462" s="5" t="str">
        <f>IF(B462="", "", C462 &amp; "!" &amp; CHAR(65+MATCH(B462, params!$B$2:$R$2, 0)))</f>
        <v/>
      </c>
      <c r="E462" s="5" t="str">
        <f ca="1">IF(B462="", "", COUNTA(INDIRECT(D462 &amp; 3):INDIRECT(D462 &amp; 24)))</f>
        <v/>
      </c>
      <c r="F462" s="5" t="str">
        <f t="shared" si="16"/>
        <v/>
      </c>
      <c r="G462" s="5" t="str">
        <f>IF(F462="", "", IF(B462&lt;&gt;"", MATCH(B462, params!$B$2:$R$2, 0), G461))</f>
        <v/>
      </c>
      <c r="H462" s="5" t="str">
        <f t="shared" ca="1" si="15"/>
        <v/>
      </c>
      <c r="I462" s="2"/>
      <c r="J462" s="2"/>
      <c r="K462" s="2"/>
      <c r="L462" s="2"/>
      <c r="M462" s="2"/>
    </row>
    <row r="463" spans="1:13" ht="15.6" x14ac:dyDescent="0.3">
      <c r="A463" s="2"/>
      <c r="B463" s="5" t="str">
        <f>IF(COUNTIF(data_val!$E$3:$E$5, sample_log!$E463), sample_log!$C463 &amp; "_" &amp; sample_log!$D463, "")</f>
        <v/>
      </c>
      <c r="C463" s="5" t="str">
        <f>IF(B463="", IF(F463="", "", C462), IF(sample_log!E463="Triennial SASS", "tri_params", "params"))</f>
        <v/>
      </c>
      <c r="D463" s="5" t="str">
        <f>IF(B463="", "", C463 &amp; "!" &amp; CHAR(65+MATCH(B463, params!$B$2:$R$2, 0)))</f>
        <v/>
      </c>
      <c r="E463" s="5" t="str">
        <f ca="1">IF(B463="", "", COUNTA(INDIRECT(D463 &amp; 3):INDIRECT(D463 &amp; 24)))</f>
        <v/>
      </c>
      <c r="F463" s="5" t="str">
        <f t="shared" si="16"/>
        <v/>
      </c>
      <c r="G463" s="5" t="str">
        <f>IF(F463="", "", IF(B463&lt;&gt;"", MATCH(B463, params!$B$2:$R$2, 0), G462))</f>
        <v/>
      </c>
      <c r="H463" s="5" t="str">
        <f t="shared" ca="1" si="15"/>
        <v/>
      </c>
      <c r="I463" s="2"/>
      <c r="J463" s="2"/>
      <c r="K463" s="2"/>
      <c r="L463" s="2"/>
      <c r="M463" s="2"/>
    </row>
    <row r="464" spans="1:13" ht="15.6" x14ac:dyDescent="0.3">
      <c r="A464" s="2"/>
      <c r="B464" s="5" t="str">
        <f>IF(COUNTIF(data_val!$E$3:$E$5, sample_log!$E464), sample_log!$C464 &amp; "_" &amp; sample_log!$D464, "")</f>
        <v/>
      </c>
      <c r="C464" s="5" t="str">
        <f>IF(B464="", IF(F464="", "", C463), IF(sample_log!E464="Triennial SASS", "tri_params", "params"))</f>
        <v/>
      </c>
      <c r="D464" s="5" t="str">
        <f>IF(B464="", "", C464 &amp; "!" &amp; CHAR(65+MATCH(B464, params!$B$2:$R$2, 0)))</f>
        <v/>
      </c>
      <c r="E464" s="5" t="str">
        <f ca="1">IF(B464="", "", COUNTA(INDIRECT(D464 &amp; 3):INDIRECT(D464 &amp; 24)))</f>
        <v/>
      </c>
      <c r="F464" s="5" t="str">
        <f t="shared" si="16"/>
        <v/>
      </c>
      <c r="G464" s="5" t="str">
        <f>IF(F464="", "", IF(B464&lt;&gt;"", MATCH(B464, params!$B$2:$R$2, 0), G463))</f>
        <v/>
      </c>
      <c r="H464" s="5" t="str">
        <f t="shared" ca="1" si="15"/>
        <v/>
      </c>
      <c r="I464" s="2"/>
      <c r="J464" s="2"/>
      <c r="K464" s="2"/>
      <c r="L464" s="2"/>
      <c r="M464" s="2"/>
    </row>
    <row r="465" spans="1:13" ht="15.6" x14ac:dyDescent="0.3">
      <c r="A465" s="2"/>
      <c r="B465" s="5" t="str">
        <f>IF(COUNTIF(data_val!$E$3:$E$5, sample_log!$E465), sample_log!$C465 &amp; "_" &amp; sample_log!$D465, "")</f>
        <v/>
      </c>
      <c r="C465" s="5" t="str">
        <f>IF(B465="", IF(F465="", "", C464), IF(sample_log!E465="Triennial SASS", "tri_params", "params"))</f>
        <v/>
      </c>
      <c r="D465" s="5" t="str">
        <f>IF(B465="", "", C465 &amp; "!" &amp; CHAR(65+MATCH(B465, params!$B$2:$R$2, 0)))</f>
        <v/>
      </c>
      <c r="E465" s="5" t="str">
        <f ca="1">IF(B465="", "", COUNTA(INDIRECT(D465 &amp; 3):INDIRECT(D465 &amp; 24)))</f>
        <v/>
      </c>
      <c r="F465" s="5" t="str">
        <f t="shared" si="16"/>
        <v/>
      </c>
      <c r="G465" s="5" t="str">
        <f>IF(F465="", "", IF(B465&lt;&gt;"", MATCH(B465, params!$B$2:$R$2, 0), G464))</f>
        <v/>
      </c>
      <c r="H465" s="5" t="str">
        <f t="shared" ca="1" si="15"/>
        <v/>
      </c>
      <c r="I465" s="2"/>
      <c r="J465" s="2"/>
      <c r="K465" s="2"/>
      <c r="L465" s="2"/>
      <c r="M465" s="2"/>
    </row>
    <row r="466" spans="1:13" ht="15.6" x14ac:dyDescent="0.3">
      <c r="A466" s="2"/>
      <c r="B466" s="5" t="str">
        <f>IF(COUNTIF(data_val!$E$3:$E$5, sample_log!$E466), sample_log!$C466 &amp; "_" &amp; sample_log!$D466, "")</f>
        <v/>
      </c>
      <c r="C466" s="5" t="str">
        <f>IF(B466="", IF(F466="", "", C465), IF(sample_log!E466="Triennial SASS", "tri_params", "params"))</f>
        <v/>
      </c>
      <c r="D466" s="5" t="str">
        <f>IF(B466="", "", C466 &amp; "!" &amp; CHAR(65+MATCH(B466, params!$B$2:$R$2, 0)))</f>
        <v/>
      </c>
      <c r="E466" s="5" t="str">
        <f ca="1">IF(B466="", "", COUNTA(INDIRECT(D466 &amp; 3):INDIRECT(D466 &amp; 24)))</f>
        <v/>
      </c>
      <c r="F466" s="5" t="str">
        <f t="shared" si="16"/>
        <v/>
      </c>
      <c r="G466" s="5" t="str">
        <f>IF(F466="", "", IF(B466&lt;&gt;"", MATCH(B466, params!$B$2:$R$2, 0), G465))</f>
        <v/>
      </c>
      <c r="H466" s="5" t="str">
        <f t="shared" ca="1" si="15"/>
        <v/>
      </c>
      <c r="I466" s="2"/>
      <c r="J466" s="2"/>
      <c r="K466" s="2"/>
      <c r="L466" s="2"/>
      <c r="M466" s="2"/>
    </row>
    <row r="467" spans="1:13" ht="15.6" x14ac:dyDescent="0.3">
      <c r="A467" s="2"/>
      <c r="B467" s="5" t="str">
        <f>IF(COUNTIF(data_val!$E$3:$E$5, sample_log!$E467), sample_log!$C467 &amp; "_" &amp; sample_log!$D467, "")</f>
        <v/>
      </c>
      <c r="C467" s="5" t="str">
        <f>IF(B467="", IF(F467="", "", C466), IF(sample_log!E467="Triennial SASS", "tri_params", "params"))</f>
        <v/>
      </c>
      <c r="D467" s="5" t="str">
        <f>IF(B467="", "", C467 &amp; "!" &amp; CHAR(65+MATCH(B467, params!$B$2:$R$2, 0)))</f>
        <v/>
      </c>
      <c r="E467" s="5" t="str">
        <f ca="1">IF(B467="", "", COUNTA(INDIRECT(D467 &amp; 3):INDIRECT(D467 &amp; 24)))</f>
        <v/>
      </c>
      <c r="F467" s="5" t="str">
        <f t="shared" si="16"/>
        <v/>
      </c>
      <c r="G467" s="5" t="str">
        <f>IF(F467="", "", IF(B467&lt;&gt;"", MATCH(B467, params!$B$2:$R$2, 0), G466))</f>
        <v/>
      </c>
      <c r="H467" s="5" t="str">
        <f t="shared" ca="1" si="15"/>
        <v/>
      </c>
      <c r="I467" s="2"/>
      <c r="J467" s="2"/>
      <c r="K467" s="2"/>
      <c r="L467" s="2"/>
      <c r="M467" s="2"/>
    </row>
    <row r="468" spans="1:13" ht="15.6" x14ac:dyDescent="0.3">
      <c r="A468" s="2"/>
      <c r="B468" s="5" t="str">
        <f>IF(COUNTIF(data_val!$E$3:$E$5, sample_log!$E468), sample_log!$C468 &amp; "_" &amp; sample_log!$D468, "")</f>
        <v/>
      </c>
      <c r="C468" s="5" t="str">
        <f>IF(B468="", IF(F468="", "", C467), IF(sample_log!E468="Triennial SASS", "tri_params", "params"))</f>
        <v/>
      </c>
      <c r="D468" s="5" t="str">
        <f>IF(B468="", "", C468 &amp; "!" &amp; CHAR(65+MATCH(B468, params!$B$2:$R$2, 0)))</f>
        <v/>
      </c>
      <c r="E468" s="5" t="str">
        <f ca="1">IF(B468="", "", COUNTA(INDIRECT(D468 &amp; 3):INDIRECT(D468 &amp; 24)))</f>
        <v/>
      </c>
      <c r="F468" s="5" t="str">
        <f t="shared" si="16"/>
        <v/>
      </c>
      <c r="G468" s="5" t="str">
        <f>IF(F468="", "", IF(B468&lt;&gt;"", MATCH(B468, params!$B$2:$R$2, 0), G467))</f>
        <v/>
      </c>
      <c r="H468" s="5" t="str">
        <f t="shared" ca="1" si="15"/>
        <v/>
      </c>
      <c r="I468" s="2"/>
      <c r="J468" s="2"/>
      <c r="K468" s="2"/>
      <c r="L468" s="2"/>
      <c r="M468" s="2"/>
    </row>
    <row r="469" spans="1:13" ht="15.6" x14ac:dyDescent="0.3">
      <c r="A469" s="2"/>
      <c r="B469" s="5" t="str">
        <f>IF(COUNTIF(data_val!$E$3:$E$5, sample_log!$E469), sample_log!$C469 &amp; "_" &amp; sample_log!$D469, "")</f>
        <v/>
      </c>
      <c r="C469" s="5" t="str">
        <f>IF(B469="", IF(F469="", "", C468), IF(sample_log!E469="Triennial SASS", "tri_params", "params"))</f>
        <v/>
      </c>
      <c r="D469" s="5" t="str">
        <f>IF(B469="", "", C469 &amp; "!" &amp; CHAR(65+MATCH(B469, params!$B$2:$R$2, 0)))</f>
        <v/>
      </c>
      <c r="E469" s="5" t="str">
        <f ca="1">IF(B469="", "", COUNTA(INDIRECT(D469 &amp; 3):INDIRECT(D469 &amp; 24)))</f>
        <v/>
      </c>
      <c r="F469" s="5" t="str">
        <f t="shared" si="16"/>
        <v/>
      </c>
      <c r="G469" s="5" t="str">
        <f>IF(F469="", "", IF(B469&lt;&gt;"", MATCH(B469, params!$B$2:$R$2, 0), G468))</f>
        <v/>
      </c>
      <c r="H469" s="5" t="str">
        <f t="shared" ca="1" si="15"/>
        <v/>
      </c>
      <c r="I469" s="2"/>
      <c r="J469" s="2"/>
      <c r="K469" s="2"/>
      <c r="L469" s="2"/>
      <c r="M469" s="2"/>
    </row>
    <row r="470" spans="1:13" ht="15.6" x14ac:dyDescent="0.3">
      <c r="A470" s="2"/>
      <c r="B470" s="5" t="str">
        <f>IF(COUNTIF(data_val!$E$3:$E$5, sample_log!$E470), sample_log!$C470 &amp; "_" &amp; sample_log!$D470, "")</f>
        <v/>
      </c>
      <c r="C470" s="5" t="str">
        <f>IF(B470="", IF(F470="", "", C469), IF(sample_log!E470="Triennial SASS", "tri_params", "params"))</f>
        <v/>
      </c>
      <c r="D470" s="5" t="str">
        <f>IF(B470="", "", C470 &amp; "!" &amp; CHAR(65+MATCH(B470, params!$B$2:$R$2, 0)))</f>
        <v/>
      </c>
      <c r="E470" s="5" t="str">
        <f ca="1">IF(B470="", "", COUNTA(INDIRECT(D470 &amp; 3):INDIRECT(D470 &amp; 24)))</f>
        <v/>
      </c>
      <c r="F470" s="5" t="str">
        <f t="shared" si="16"/>
        <v/>
      </c>
      <c r="G470" s="5" t="str">
        <f>IF(F470="", "", IF(B470&lt;&gt;"", MATCH(B470, params!$B$2:$R$2, 0), G469))</f>
        <v/>
      </c>
      <c r="H470" s="5" t="str">
        <f t="shared" ca="1" si="15"/>
        <v/>
      </c>
      <c r="I470" s="2"/>
      <c r="J470" s="2"/>
      <c r="K470" s="2"/>
      <c r="L470" s="2"/>
      <c r="M470" s="2"/>
    </row>
    <row r="471" spans="1:13" ht="15.6" x14ac:dyDescent="0.3">
      <c r="A471" s="2"/>
      <c r="B471" s="5" t="str">
        <f>IF(COUNTIF(data_val!$E$3:$E$5, sample_log!$E471), sample_log!$C471 &amp; "_" &amp; sample_log!$D471, "")</f>
        <v/>
      </c>
      <c r="C471" s="5" t="str">
        <f>IF(B471="", IF(F471="", "", C470), IF(sample_log!E471="Triennial SASS", "tri_params", "params"))</f>
        <v/>
      </c>
      <c r="D471" s="5" t="str">
        <f>IF(B471="", "", C471 &amp; "!" &amp; CHAR(65+MATCH(B471, params!$B$2:$R$2, 0)))</f>
        <v/>
      </c>
      <c r="E471" s="5" t="str">
        <f ca="1">IF(B471="", "", COUNTA(INDIRECT(D471 &amp; 3):INDIRECT(D471 &amp; 24)))</f>
        <v/>
      </c>
      <c r="F471" s="5" t="str">
        <f t="shared" si="16"/>
        <v/>
      </c>
      <c r="G471" s="5" t="str">
        <f>IF(F471="", "", IF(B471&lt;&gt;"", MATCH(B471, params!$B$2:$R$2, 0), G470))</f>
        <v/>
      </c>
      <c r="H471" s="5" t="str">
        <f t="shared" ca="1" si="15"/>
        <v/>
      </c>
      <c r="I471" s="2"/>
      <c r="J471" s="2"/>
      <c r="K471" s="2"/>
      <c r="L471" s="2"/>
      <c r="M471" s="2"/>
    </row>
    <row r="472" spans="1:13" ht="15.6" x14ac:dyDescent="0.3">
      <c r="A472" s="2"/>
      <c r="B472" s="5" t="str">
        <f>IF(COUNTIF(data_val!$E$3:$E$5, sample_log!$E472), sample_log!$C472 &amp; "_" &amp; sample_log!$D472, "")</f>
        <v/>
      </c>
      <c r="C472" s="5" t="str">
        <f>IF(B472="", IF(F472="", "", C471), IF(sample_log!E472="Triennial SASS", "tri_params", "params"))</f>
        <v/>
      </c>
      <c r="D472" s="5" t="str">
        <f>IF(B472="", "", C472 &amp; "!" &amp; CHAR(65+MATCH(B472, params!$B$2:$R$2, 0)))</f>
        <v/>
      </c>
      <c r="E472" s="5" t="str">
        <f ca="1">IF(B472="", "", COUNTA(INDIRECT(D472 &amp; 3):INDIRECT(D472 &amp; 24)))</f>
        <v/>
      </c>
      <c r="F472" s="5" t="str">
        <f t="shared" si="16"/>
        <v/>
      </c>
      <c r="G472" s="5" t="str">
        <f>IF(F472="", "", IF(B472&lt;&gt;"", MATCH(B472, params!$B$2:$R$2, 0), G471))</f>
        <v/>
      </c>
      <c r="H472" s="5" t="str">
        <f t="shared" ca="1" si="15"/>
        <v/>
      </c>
      <c r="I472" s="2"/>
      <c r="J472" s="2"/>
      <c r="K472" s="2"/>
      <c r="L472" s="2"/>
      <c r="M472" s="2"/>
    </row>
    <row r="473" spans="1:13" ht="15.6" x14ac:dyDescent="0.3">
      <c r="A473" s="2"/>
      <c r="B473" s="5" t="str">
        <f>IF(COUNTIF(data_val!$E$3:$E$5, sample_log!$E473), sample_log!$C473 &amp; "_" &amp; sample_log!$D473, "")</f>
        <v/>
      </c>
      <c r="C473" s="5" t="str">
        <f>IF(B473="", IF(F473="", "", C472), IF(sample_log!E473="Triennial SASS", "tri_params", "params"))</f>
        <v/>
      </c>
      <c r="D473" s="5" t="str">
        <f>IF(B473="", "", C473 &amp; "!" &amp; CHAR(65+MATCH(B473, params!$B$2:$R$2, 0)))</f>
        <v/>
      </c>
      <c r="E473" s="5" t="str">
        <f ca="1">IF(B473="", "", COUNTA(INDIRECT(D473 &amp; 3):INDIRECT(D473 &amp; 24)))</f>
        <v/>
      </c>
      <c r="F473" s="5" t="str">
        <f t="shared" si="16"/>
        <v/>
      </c>
      <c r="G473" s="5" t="str">
        <f>IF(F473="", "", IF(B473&lt;&gt;"", MATCH(B473, params!$B$2:$R$2, 0), G472))</f>
        <v/>
      </c>
      <c r="H473" s="5" t="str">
        <f t="shared" ref="H473:H536" ca="1" si="17">IF($F473="", "", INDEX(INDIRECT("'" &amp; C473 &amp; "'!$B$3:$R$24"), $F473, $G473))</f>
        <v/>
      </c>
      <c r="I473" s="2"/>
      <c r="J473" s="2"/>
      <c r="K473" s="2"/>
      <c r="L473" s="2"/>
      <c r="M473" s="2"/>
    </row>
    <row r="474" spans="1:13" ht="15.6" x14ac:dyDescent="0.3">
      <c r="A474" s="2"/>
      <c r="B474" s="5" t="str">
        <f>IF(COUNTIF(data_val!$E$3:$E$5, sample_log!$E474), sample_log!$C474 &amp; "_" &amp; sample_log!$D474, "")</f>
        <v/>
      </c>
      <c r="C474" s="5" t="str">
        <f>IF(B474="", IF(F474="", "", C473), IF(sample_log!E474="Triennial SASS", "tri_params", "params"))</f>
        <v/>
      </c>
      <c r="D474" s="5" t="str">
        <f>IF(B474="", "", C474 &amp; "!" &amp; CHAR(65+MATCH(B474, params!$B$2:$R$2, 0)))</f>
        <v/>
      </c>
      <c r="E474" s="5" t="str">
        <f ca="1">IF(B474="", "", COUNTA(INDIRECT(D474 &amp; 3):INDIRECT(D474 &amp; 24)))</f>
        <v/>
      </c>
      <c r="F474" s="5" t="str">
        <f t="shared" si="16"/>
        <v/>
      </c>
      <c r="G474" s="5" t="str">
        <f>IF(F474="", "", IF(B474&lt;&gt;"", MATCH(B474, params!$B$2:$R$2, 0), G473))</f>
        <v/>
      </c>
      <c r="H474" s="5" t="str">
        <f t="shared" ca="1" si="17"/>
        <v/>
      </c>
      <c r="I474" s="2"/>
      <c r="J474" s="2"/>
      <c r="K474" s="2"/>
      <c r="L474" s="2"/>
      <c r="M474" s="2"/>
    </row>
    <row r="475" spans="1:13" ht="15.6" x14ac:dyDescent="0.3">
      <c r="A475" s="2"/>
      <c r="B475" s="5" t="str">
        <f>IF(COUNTIF(data_val!$E$3:$E$5, sample_log!$E475), sample_log!$C475 &amp; "_" &amp; sample_log!$D475, "")</f>
        <v/>
      </c>
      <c r="C475" s="5" t="str">
        <f>IF(B475="", IF(F475="", "", C474), IF(sample_log!E475="Triennial SASS", "tri_params", "params"))</f>
        <v/>
      </c>
      <c r="D475" s="5" t="str">
        <f>IF(B475="", "", C475 &amp; "!" &amp; CHAR(65+MATCH(B475, params!$B$2:$R$2, 0)))</f>
        <v/>
      </c>
      <c r="E475" s="5" t="str">
        <f ca="1">IF(B475="", "", COUNTA(INDIRECT(D475 &amp; 3):INDIRECT(D475 &amp; 24)))</f>
        <v/>
      </c>
      <c r="F475" s="5" t="str">
        <f t="shared" si="16"/>
        <v/>
      </c>
      <c r="G475" s="5" t="str">
        <f>IF(F475="", "", IF(B475&lt;&gt;"", MATCH(B475, params!$B$2:$R$2, 0), G474))</f>
        <v/>
      </c>
      <c r="H475" s="5" t="str">
        <f t="shared" ca="1" si="17"/>
        <v/>
      </c>
      <c r="I475" s="2"/>
      <c r="J475" s="2"/>
      <c r="K475" s="2"/>
      <c r="L475" s="2"/>
      <c r="M475" s="2"/>
    </row>
    <row r="476" spans="1:13" ht="15.6" x14ac:dyDescent="0.3">
      <c r="A476" s="2"/>
      <c r="B476" s="5" t="str">
        <f>IF(COUNTIF(data_val!$E$3:$E$5, sample_log!$E476), sample_log!$C476 &amp; "_" &amp; sample_log!$D476, "")</f>
        <v/>
      </c>
      <c r="C476" s="5" t="str">
        <f>IF(B476="", IF(F476="", "", C475), IF(sample_log!E476="Triennial SASS", "tri_params", "params"))</f>
        <v/>
      </c>
      <c r="D476" s="5" t="str">
        <f>IF(B476="", "", C476 &amp; "!" &amp; CHAR(65+MATCH(B476, params!$B$2:$R$2, 0)))</f>
        <v/>
      </c>
      <c r="E476" s="5" t="str">
        <f ca="1">IF(B476="", "", COUNTA(INDIRECT(D476 &amp; 3):INDIRECT(D476 &amp; 24)))</f>
        <v/>
      </c>
      <c r="F476" s="5" t="str">
        <f t="shared" si="16"/>
        <v/>
      </c>
      <c r="G476" s="5" t="str">
        <f>IF(F476="", "", IF(B476&lt;&gt;"", MATCH(B476, params!$B$2:$R$2, 0), G475))</f>
        <v/>
      </c>
      <c r="H476" s="5" t="str">
        <f t="shared" ca="1" si="17"/>
        <v/>
      </c>
      <c r="I476" s="2"/>
      <c r="J476" s="2"/>
      <c r="K476" s="2"/>
      <c r="L476" s="2"/>
      <c r="M476" s="2"/>
    </row>
    <row r="477" spans="1:13" ht="15.6" x14ac:dyDescent="0.3">
      <c r="A477" s="2"/>
      <c r="B477" s="5" t="str">
        <f>IF(COUNTIF(data_val!$E$3:$E$5, sample_log!$E477), sample_log!$C477 &amp; "_" &amp; sample_log!$D477, "")</f>
        <v/>
      </c>
      <c r="C477" s="5" t="str">
        <f>IF(B477="", IF(F477="", "", C476), IF(sample_log!E477="Triennial SASS", "tri_params", "params"))</f>
        <v/>
      </c>
      <c r="D477" s="5" t="str">
        <f>IF(B477="", "", C477 &amp; "!" &amp; CHAR(65+MATCH(B477, params!$B$2:$R$2, 0)))</f>
        <v/>
      </c>
      <c r="E477" s="5" t="str">
        <f ca="1">IF(B477="", "", COUNTA(INDIRECT(D477 &amp; 3):INDIRECT(D477 &amp; 24)))</f>
        <v/>
      </c>
      <c r="F477" s="5" t="str">
        <f t="shared" si="16"/>
        <v/>
      </c>
      <c r="G477" s="5" t="str">
        <f>IF(F477="", "", IF(B477&lt;&gt;"", MATCH(B477, params!$B$2:$R$2, 0), G476))</f>
        <v/>
      </c>
      <c r="H477" s="5" t="str">
        <f t="shared" ca="1" si="17"/>
        <v/>
      </c>
      <c r="I477" s="2"/>
      <c r="J477" s="2"/>
      <c r="K477" s="2"/>
      <c r="L477" s="2"/>
      <c r="M477" s="2"/>
    </row>
    <row r="478" spans="1:13" ht="15.6" x14ac:dyDescent="0.3">
      <c r="A478" s="2"/>
      <c r="B478" s="5" t="str">
        <f>IF(COUNTIF(data_val!$E$3:$E$5, sample_log!$E478), sample_log!$C478 &amp; "_" &amp; sample_log!$D478, "")</f>
        <v/>
      </c>
      <c r="C478" s="5" t="str">
        <f>IF(B478="", IF(F478="", "", C477), IF(sample_log!E478="Triennial SASS", "tri_params", "params"))</f>
        <v/>
      </c>
      <c r="D478" s="5" t="str">
        <f>IF(B478="", "", C478 &amp; "!" &amp; CHAR(65+MATCH(B478, params!$B$2:$R$2, 0)))</f>
        <v/>
      </c>
      <c r="E478" s="5" t="str">
        <f ca="1">IF(B478="", "", COUNTA(INDIRECT(D478 &amp; 3):INDIRECT(D478 &amp; 24)))</f>
        <v/>
      </c>
      <c r="F478" s="5" t="str">
        <f t="shared" si="16"/>
        <v/>
      </c>
      <c r="G478" s="5" t="str">
        <f>IF(F478="", "", IF(B478&lt;&gt;"", MATCH(B478, params!$B$2:$R$2, 0), G477))</f>
        <v/>
      </c>
      <c r="H478" s="5" t="str">
        <f t="shared" ca="1" si="17"/>
        <v/>
      </c>
      <c r="I478" s="2"/>
      <c r="J478" s="2"/>
      <c r="K478" s="2"/>
      <c r="L478" s="2"/>
      <c r="M478" s="2"/>
    </row>
    <row r="479" spans="1:13" ht="15.6" x14ac:dyDescent="0.3">
      <c r="A479" s="2"/>
      <c r="B479" s="5" t="str">
        <f>IF(COUNTIF(data_val!$E$3:$E$5, sample_log!$E479), sample_log!$C479 &amp; "_" &amp; sample_log!$D479, "")</f>
        <v/>
      </c>
      <c r="C479" s="5" t="str">
        <f>IF(B479="", IF(F479="", "", C478), IF(sample_log!E479="Triennial SASS", "tri_params", "params"))</f>
        <v/>
      </c>
      <c r="D479" s="5" t="str">
        <f>IF(B479="", "", C479 &amp; "!" &amp; CHAR(65+MATCH(B479, params!$B$2:$R$2, 0)))</f>
        <v/>
      </c>
      <c r="E479" s="5" t="str">
        <f ca="1">IF(B479="", "", COUNTA(INDIRECT(D479 &amp; 3):INDIRECT(D479 &amp; 24)))</f>
        <v/>
      </c>
      <c r="F479" s="5" t="str">
        <f t="shared" si="16"/>
        <v/>
      </c>
      <c r="G479" s="5" t="str">
        <f>IF(F479="", "", IF(B479&lt;&gt;"", MATCH(B479, params!$B$2:$R$2, 0), G478))</f>
        <v/>
      </c>
      <c r="H479" s="5" t="str">
        <f t="shared" ca="1" si="17"/>
        <v/>
      </c>
      <c r="I479" s="2"/>
      <c r="J479" s="2"/>
      <c r="K479" s="2"/>
      <c r="L479" s="2"/>
      <c r="M479" s="2"/>
    </row>
    <row r="480" spans="1:13" ht="15.6" x14ac:dyDescent="0.3">
      <c r="A480" s="2"/>
      <c r="B480" s="5" t="str">
        <f>IF(COUNTIF(data_val!$E$3:$E$5, sample_log!$E480), sample_log!$C480 &amp; "_" &amp; sample_log!$D480, "")</f>
        <v/>
      </c>
      <c r="C480" s="5" t="str">
        <f>IF(B480="", IF(F480="", "", C479), IF(sample_log!E480="Triennial SASS", "tri_params", "params"))</f>
        <v/>
      </c>
      <c r="D480" s="5" t="str">
        <f>IF(B480="", "", C480 &amp; "!" &amp; CHAR(65+MATCH(B480, params!$B$2:$R$2, 0)))</f>
        <v/>
      </c>
      <c r="E480" s="5" t="str">
        <f ca="1">IF(B480="", "", COUNTA(INDIRECT(D480 &amp; 3):INDIRECT(D480 &amp; 24)))</f>
        <v/>
      </c>
      <c r="F480" s="5" t="str">
        <f t="shared" si="16"/>
        <v/>
      </c>
      <c r="G480" s="5" t="str">
        <f>IF(F480="", "", IF(B480&lt;&gt;"", MATCH(B480, params!$B$2:$R$2, 0), G479))</f>
        <v/>
      </c>
      <c r="H480" s="5" t="str">
        <f t="shared" ca="1" si="17"/>
        <v/>
      </c>
      <c r="I480" s="2"/>
      <c r="J480" s="2"/>
      <c r="K480" s="2"/>
      <c r="L480" s="2"/>
      <c r="M480" s="2"/>
    </row>
    <row r="481" spans="1:13" ht="15.6" x14ac:dyDescent="0.3">
      <c r="A481" s="2"/>
      <c r="B481" s="5" t="str">
        <f>IF(COUNTIF(data_val!$E$3:$E$5, sample_log!$E481), sample_log!$C481 &amp; "_" &amp; sample_log!$D481, "")</f>
        <v/>
      </c>
      <c r="C481" s="5" t="str">
        <f>IF(B481="", IF(F481="", "", C480), IF(sample_log!E481="Triennial SASS", "tri_params", "params"))</f>
        <v/>
      </c>
      <c r="D481" s="5" t="str">
        <f>IF(B481="", "", C481 &amp; "!" &amp; CHAR(65+MATCH(B481, params!$B$2:$R$2, 0)))</f>
        <v/>
      </c>
      <c r="E481" s="5" t="str">
        <f ca="1">IF(B481="", "", COUNTA(INDIRECT(D481 &amp; 3):INDIRECT(D481 &amp; 24)))</f>
        <v/>
      </c>
      <c r="F481" s="5" t="str">
        <f t="shared" si="16"/>
        <v/>
      </c>
      <c r="G481" s="5" t="str">
        <f>IF(F481="", "", IF(B481&lt;&gt;"", MATCH(B481, params!$B$2:$R$2, 0), G480))</f>
        <v/>
      </c>
      <c r="H481" s="5" t="str">
        <f t="shared" ca="1" si="17"/>
        <v/>
      </c>
      <c r="I481" s="2"/>
      <c r="J481" s="2"/>
      <c r="K481" s="2"/>
      <c r="L481" s="2"/>
      <c r="M481" s="2"/>
    </row>
    <row r="482" spans="1:13" ht="15.6" x14ac:dyDescent="0.3">
      <c r="A482" s="2"/>
      <c r="B482" s="5" t="str">
        <f>IF(COUNTIF(data_val!$E$3:$E$5, sample_log!$E482), sample_log!$C482 &amp; "_" &amp; sample_log!$D482, "")</f>
        <v/>
      </c>
      <c r="C482" s="5" t="str">
        <f>IF(B482="", IF(F482="", "", C481), IF(sample_log!E482="Triennial SASS", "tri_params", "params"))</f>
        <v/>
      </c>
      <c r="D482" s="5" t="str">
        <f>IF(B482="", "", C482 &amp; "!" &amp; CHAR(65+MATCH(B482, params!$B$2:$R$2, 0)))</f>
        <v/>
      </c>
      <c r="E482" s="5" t="str">
        <f ca="1">IF(B482="", "", COUNTA(INDIRECT(D482 &amp; 3):INDIRECT(D482 &amp; 24)))</f>
        <v/>
      </c>
      <c r="F482" s="5" t="str">
        <f t="shared" si="16"/>
        <v/>
      </c>
      <c r="G482" s="5" t="str">
        <f>IF(F482="", "", IF(B482&lt;&gt;"", MATCH(B482, params!$B$2:$R$2, 0), G481))</f>
        <v/>
      </c>
      <c r="H482" s="5" t="str">
        <f t="shared" ca="1" si="17"/>
        <v/>
      </c>
      <c r="I482" s="2"/>
      <c r="J482" s="2"/>
      <c r="K482" s="2"/>
      <c r="L482" s="2"/>
      <c r="M482" s="2"/>
    </row>
    <row r="483" spans="1:13" ht="15.6" x14ac:dyDescent="0.3">
      <c r="A483" s="2"/>
      <c r="B483" s="5" t="str">
        <f>IF(COUNTIF(data_val!$E$3:$E$5, sample_log!$E483), sample_log!$C483 &amp; "_" &amp; sample_log!$D483, "")</f>
        <v/>
      </c>
      <c r="C483" s="5" t="str">
        <f>IF(B483="", IF(F483="", "", C482), IF(sample_log!E483="Triennial SASS", "tri_params", "params"))</f>
        <v/>
      </c>
      <c r="D483" s="5" t="str">
        <f>IF(B483="", "", C483 &amp; "!" &amp; CHAR(65+MATCH(B483, params!$B$2:$R$2, 0)))</f>
        <v/>
      </c>
      <c r="E483" s="5" t="str">
        <f ca="1">IF(B483="", "", COUNTA(INDIRECT(D483 &amp; 3):INDIRECT(D483 &amp; 24)))</f>
        <v/>
      </c>
      <c r="F483" s="5" t="str">
        <f t="shared" si="16"/>
        <v/>
      </c>
      <c r="G483" s="5" t="str">
        <f>IF(F483="", "", IF(B483&lt;&gt;"", MATCH(B483, params!$B$2:$R$2, 0), G482))</f>
        <v/>
      </c>
      <c r="H483" s="5" t="str">
        <f t="shared" ca="1" si="17"/>
        <v/>
      </c>
      <c r="I483" s="2"/>
      <c r="J483" s="2"/>
      <c r="K483" s="2"/>
      <c r="L483" s="2"/>
      <c r="M483" s="2"/>
    </row>
    <row r="484" spans="1:13" ht="15.6" x14ac:dyDescent="0.3">
      <c r="A484" s="2"/>
      <c r="B484" s="5" t="str">
        <f>IF(COUNTIF(data_val!$E$3:$E$5, sample_log!$E484), sample_log!$C484 &amp; "_" &amp; sample_log!$D484, "")</f>
        <v/>
      </c>
      <c r="C484" s="5" t="str">
        <f>IF(B484="", IF(F484="", "", C483), IF(sample_log!E484="Triennial SASS", "tri_params", "params"))</f>
        <v/>
      </c>
      <c r="D484" s="5" t="str">
        <f>IF(B484="", "", C484 &amp; "!" &amp; CHAR(65+MATCH(B484, params!$B$2:$R$2, 0)))</f>
        <v/>
      </c>
      <c r="E484" s="5" t="str">
        <f ca="1">IF(B484="", "", COUNTA(INDIRECT(D484 &amp; 3):INDIRECT(D484 &amp; 24)))</f>
        <v/>
      </c>
      <c r="F484" s="5" t="str">
        <f t="shared" si="16"/>
        <v/>
      </c>
      <c r="G484" s="5" t="str">
        <f>IF(F484="", "", IF(B484&lt;&gt;"", MATCH(B484, params!$B$2:$R$2, 0), G483))</f>
        <v/>
      </c>
      <c r="H484" s="5" t="str">
        <f t="shared" ca="1" si="17"/>
        <v/>
      </c>
      <c r="I484" s="2"/>
      <c r="J484" s="2"/>
      <c r="K484" s="2"/>
      <c r="L484" s="2"/>
      <c r="M484" s="2"/>
    </row>
    <row r="485" spans="1:13" ht="15.6" x14ac:dyDescent="0.3">
      <c r="A485" s="2"/>
      <c r="B485" s="5" t="str">
        <f>IF(COUNTIF(data_val!$E$3:$E$5, sample_log!$E485), sample_log!$C485 &amp; "_" &amp; sample_log!$D485, "")</f>
        <v/>
      </c>
      <c r="C485" s="5" t="str">
        <f>IF(B485="", IF(F485="", "", C484), IF(sample_log!E485="Triennial SASS", "tri_params", "params"))</f>
        <v/>
      </c>
      <c r="D485" s="5" t="str">
        <f>IF(B485="", "", C485 &amp; "!" &amp; CHAR(65+MATCH(B485, params!$B$2:$R$2, 0)))</f>
        <v/>
      </c>
      <c r="E485" s="5" t="str">
        <f ca="1">IF(B485="", "", COUNTA(INDIRECT(D485 &amp; 3):INDIRECT(D485 &amp; 24)))</f>
        <v/>
      </c>
      <c r="F485" s="5" t="str">
        <f t="shared" si="16"/>
        <v/>
      </c>
      <c r="G485" s="5" t="str">
        <f>IF(F485="", "", IF(B485&lt;&gt;"", MATCH(B485, params!$B$2:$R$2, 0), G484))</f>
        <v/>
      </c>
      <c r="H485" s="5" t="str">
        <f t="shared" ca="1" si="17"/>
        <v/>
      </c>
      <c r="I485" s="2"/>
      <c r="J485" s="2"/>
      <c r="K485" s="2"/>
      <c r="L485" s="2"/>
      <c r="M485" s="2"/>
    </row>
    <row r="486" spans="1:13" ht="15.6" x14ac:dyDescent="0.3">
      <c r="A486" s="2"/>
      <c r="B486" s="5" t="str">
        <f>IF(COUNTIF(data_val!$E$3:$E$5, sample_log!$E486), sample_log!$C486 &amp; "_" &amp; sample_log!$D486, "")</f>
        <v/>
      </c>
      <c r="C486" s="5" t="str">
        <f>IF(B486="", IF(F486="", "", C485), IF(sample_log!E486="Triennial SASS", "tri_params", "params"))</f>
        <v/>
      </c>
      <c r="D486" s="5" t="str">
        <f>IF(B486="", "", C486 &amp; "!" &amp; CHAR(65+MATCH(B486, params!$B$2:$R$2, 0)))</f>
        <v/>
      </c>
      <c r="E486" s="5" t="str">
        <f ca="1">IF(B486="", "", COUNTA(INDIRECT(D486 &amp; 3):INDIRECT(D486 &amp; 24)))</f>
        <v/>
      </c>
      <c r="F486" s="5" t="str">
        <f t="shared" si="16"/>
        <v/>
      </c>
      <c r="G486" s="5" t="str">
        <f>IF(F486="", "", IF(B486&lt;&gt;"", MATCH(B486, params!$B$2:$R$2, 0), G485))</f>
        <v/>
      </c>
      <c r="H486" s="5" t="str">
        <f t="shared" ca="1" si="17"/>
        <v/>
      </c>
      <c r="I486" s="2"/>
      <c r="J486" s="2"/>
      <c r="K486" s="2"/>
      <c r="L486" s="2"/>
      <c r="M486" s="2"/>
    </row>
    <row r="487" spans="1:13" ht="15.6" x14ac:dyDescent="0.3">
      <c r="A487" s="2"/>
      <c r="B487" s="5" t="str">
        <f>IF(COUNTIF(data_val!$E$3:$E$5, sample_log!$E487), sample_log!$C487 &amp; "_" &amp; sample_log!$D487, "")</f>
        <v/>
      </c>
      <c r="C487" s="5" t="str">
        <f>IF(B487="", IF(F487="", "", C486), IF(sample_log!E487="Triennial SASS", "tri_params", "params"))</f>
        <v/>
      </c>
      <c r="D487" s="5" t="str">
        <f>IF(B487="", "", C487 &amp; "!" &amp; CHAR(65+MATCH(B487, params!$B$2:$R$2, 0)))</f>
        <v/>
      </c>
      <c r="E487" s="5" t="str">
        <f ca="1">IF(B487="", "", COUNTA(INDIRECT(D487 &amp; 3):INDIRECT(D487 &amp; 24)))</f>
        <v/>
      </c>
      <c r="F487" s="5" t="str">
        <f t="shared" si="16"/>
        <v/>
      </c>
      <c r="G487" s="5" t="str">
        <f>IF(F487="", "", IF(B487&lt;&gt;"", MATCH(B487, params!$B$2:$R$2, 0), G486))</f>
        <v/>
      </c>
      <c r="H487" s="5" t="str">
        <f t="shared" ca="1" si="17"/>
        <v/>
      </c>
      <c r="I487" s="2"/>
      <c r="J487" s="2"/>
      <c r="K487" s="2"/>
      <c r="L487" s="2"/>
      <c r="M487" s="2"/>
    </row>
    <row r="488" spans="1:13" ht="15.6" x14ac:dyDescent="0.3">
      <c r="A488" s="2"/>
      <c r="B488" s="5" t="str">
        <f>IF(COUNTIF(data_val!$E$3:$E$5, sample_log!$E488), sample_log!$C488 &amp; "_" &amp; sample_log!$D488, "")</f>
        <v/>
      </c>
      <c r="C488" s="5" t="str">
        <f>IF(B488="", IF(F488="", "", C487), IF(sample_log!E488="Triennial SASS", "tri_params", "params"))</f>
        <v/>
      </c>
      <c r="D488" s="5" t="str">
        <f>IF(B488="", "", C488 &amp; "!" &amp; CHAR(65+MATCH(B488, params!$B$2:$R$2, 0)))</f>
        <v/>
      </c>
      <c r="E488" s="5" t="str">
        <f ca="1">IF(B488="", "", COUNTA(INDIRECT(D488 &amp; 3):INDIRECT(D488 &amp; 24)))</f>
        <v/>
      </c>
      <c r="F488" s="5" t="str">
        <f t="shared" si="16"/>
        <v/>
      </c>
      <c r="G488" s="5" t="str">
        <f>IF(F488="", "", IF(B488&lt;&gt;"", MATCH(B488, params!$B$2:$R$2, 0), G487))</f>
        <v/>
      </c>
      <c r="H488" s="5" t="str">
        <f t="shared" ca="1" si="17"/>
        <v/>
      </c>
      <c r="I488" s="2"/>
      <c r="J488" s="2"/>
      <c r="K488" s="2"/>
      <c r="L488" s="2"/>
      <c r="M488" s="2"/>
    </row>
    <row r="489" spans="1:13" ht="15.6" x14ac:dyDescent="0.3">
      <c r="A489" s="2"/>
      <c r="B489" s="5" t="str">
        <f>IF(COUNTIF(data_val!$E$3:$E$5, sample_log!$E489), sample_log!$C489 &amp; "_" &amp; sample_log!$D489, "")</f>
        <v/>
      </c>
      <c r="C489" s="5" t="str">
        <f>IF(B489="", IF(F489="", "", C488), IF(sample_log!E489="Triennial SASS", "tri_params", "params"))</f>
        <v/>
      </c>
      <c r="D489" s="5" t="str">
        <f>IF(B489="", "", C489 &amp; "!" &amp; CHAR(65+MATCH(B489, params!$B$2:$R$2, 0)))</f>
        <v/>
      </c>
      <c r="E489" s="5" t="str">
        <f ca="1">IF(B489="", "", COUNTA(INDIRECT(D489 &amp; 3):INDIRECT(D489 &amp; 24)))</f>
        <v/>
      </c>
      <c r="F489" s="5" t="str">
        <f t="shared" si="16"/>
        <v/>
      </c>
      <c r="G489" s="5" t="str">
        <f>IF(F489="", "", IF(B489&lt;&gt;"", MATCH(B489, params!$B$2:$R$2, 0), G488))</f>
        <v/>
      </c>
      <c r="H489" s="5" t="str">
        <f t="shared" ca="1" si="17"/>
        <v/>
      </c>
      <c r="I489" s="2"/>
      <c r="J489" s="2"/>
      <c r="K489" s="2"/>
      <c r="L489" s="2"/>
      <c r="M489" s="2"/>
    </row>
    <row r="490" spans="1:13" ht="15.6" x14ac:dyDescent="0.3">
      <c r="A490" s="2"/>
      <c r="B490" s="5" t="str">
        <f>IF(COUNTIF(data_val!$E$3:$E$5, sample_log!$E490), sample_log!$C490 &amp; "_" &amp; sample_log!$D490, "")</f>
        <v/>
      </c>
      <c r="C490" s="5" t="str">
        <f>IF(B490="", IF(F490="", "", C489), IF(sample_log!E490="Triennial SASS", "tri_params", "params"))</f>
        <v/>
      </c>
      <c r="D490" s="5" t="str">
        <f>IF(B490="", "", C490 &amp; "!" &amp; CHAR(65+MATCH(B490, params!$B$2:$R$2, 0)))</f>
        <v/>
      </c>
      <c r="E490" s="5" t="str">
        <f ca="1">IF(B490="", "", COUNTA(INDIRECT(D490 &amp; 3):INDIRECT(D490 &amp; 24)))</f>
        <v/>
      </c>
      <c r="F490" s="5" t="str">
        <f t="shared" si="16"/>
        <v/>
      </c>
      <c r="G490" s="5" t="str">
        <f>IF(F490="", "", IF(B490&lt;&gt;"", MATCH(B490, params!$B$2:$R$2, 0), G489))</f>
        <v/>
      </c>
      <c r="H490" s="5" t="str">
        <f t="shared" ca="1" si="17"/>
        <v/>
      </c>
      <c r="I490" s="2"/>
      <c r="J490" s="2"/>
      <c r="K490" s="2"/>
      <c r="L490" s="2"/>
      <c r="M490" s="2"/>
    </row>
    <row r="491" spans="1:13" ht="15.6" x14ac:dyDescent="0.3">
      <c r="A491" s="2"/>
      <c r="B491" s="5" t="str">
        <f>IF(COUNTIF(data_val!$E$3:$E$5, sample_log!$E491), sample_log!$C491 &amp; "_" &amp; sample_log!$D491, "")</f>
        <v/>
      </c>
      <c r="C491" s="5" t="str">
        <f>IF(B491="", IF(F491="", "", C490), IF(sample_log!E491="Triennial SASS", "tri_params", "params"))</f>
        <v/>
      </c>
      <c r="D491" s="5" t="str">
        <f>IF(B491="", "", C491 &amp; "!" &amp; CHAR(65+MATCH(B491, params!$B$2:$R$2, 0)))</f>
        <v/>
      </c>
      <c r="E491" s="5" t="str">
        <f ca="1">IF(B491="", "", COUNTA(INDIRECT(D491 &amp; 3):INDIRECT(D491 &amp; 24)))</f>
        <v/>
      </c>
      <c r="F491" s="5" t="str">
        <f t="shared" si="16"/>
        <v/>
      </c>
      <c r="G491" s="5" t="str">
        <f>IF(F491="", "", IF(B491&lt;&gt;"", MATCH(B491, params!$B$2:$R$2, 0), G490))</f>
        <v/>
      </c>
      <c r="H491" s="5" t="str">
        <f t="shared" ca="1" si="17"/>
        <v/>
      </c>
      <c r="I491" s="2"/>
      <c r="J491" s="2"/>
      <c r="K491" s="2"/>
      <c r="L491" s="2"/>
      <c r="M491" s="2"/>
    </row>
    <row r="492" spans="1:13" ht="15.6" x14ac:dyDescent="0.3">
      <c r="A492" s="2"/>
      <c r="B492" s="5" t="str">
        <f>IF(COUNTIF(data_val!$E$3:$E$5, sample_log!$E492), sample_log!$C492 &amp; "_" &amp; sample_log!$D492, "")</f>
        <v/>
      </c>
      <c r="C492" s="5" t="str">
        <f>IF(B492="", IF(F492="", "", C491), IF(sample_log!E492="Triennial SASS", "tri_params", "params"))</f>
        <v/>
      </c>
      <c r="D492" s="5" t="str">
        <f>IF(B492="", "", C492 &amp; "!" &amp; CHAR(65+MATCH(B492, params!$B$2:$R$2, 0)))</f>
        <v/>
      </c>
      <c r="E492" s="5" t="str">
        <f ca="1">IF(B492="", "", COUNTA(INDIRECT(D492 &amp; 3):INDIRECT(D492 &amp; 24)))</f>
        <v/>
      </c>
      <c r="F492" s="5" t="str">
        <f t="shared" si="16"/>
        <v/>
      </c>
      <c r="G492" s="5" t="str">
        <f>IF(F492="", "", IF(B492&lt;&gt;"", MATCH(B492, params!$B$2:$R$2, 0), G491))</f>
        <v/>
      </c>
      <c r="H492" s="5" t="str">
        <f t="shared" ca="1" si="17"/>
        <v/>
      </c>
      <c r="I492" s="2"/>
      <c r="J492" s="2"/>
      <c r="K492" s="2"/>
      <c r="L492" s="2"/>
      <c r="M492" s="2"/>
    </row>
    <row r="493" spans="1:13" ht="15.6" x14ac:dyDescent="0.3">
      <c r="A493" s="2"/>
      <c r="B493" s="5" t="str">
        <f>IF(COUNTIF(data_val!$E$3:$E$5, sample_log!$E493), sample_log!$C493 &amp; "_" &amp; sample_log!$D493, "")</f>
        <v/>
      </c>
      <c r="C493" s="5" t="str">
        <f>IF(B493="", IF(F493="", "", C492), IF(sample_log!E493="Triennial SASS", "tri_params", "params"))</f>
        <v/>
      </c>
      <c r="D493" s="5" t="str">
        <f>IF(B493="", "", C493 &amp; "!" &amp; CHAR(65+MATCH(B493, params!$B$2:$R$2, 0)))</f>
        <v/>
      </c>
      <c r="E493" s="5" t="str">
        <f ca="1">IF(B493="", "", COUNTA(INDIRECT(D493 &amp; 3):INDIRECT(D493 &amp; 24)))</f>
        <v/>
      </c>
      <c r="F493" s="5" t="str">
        <f t="shared" si="16"/>
        <v/>
      </c>
      <c r="G493" s="5" t="str">
        <f>IF(F493="", "", IF(B493&lt;&gt;"", MATCH(B493, params!$B$2:$R$2, 0), G492))</f>
        <v/>
      </c>
      <c r="H493" s="5" t="str">
        <f t="shared" ca="1" si="17"/>
        <v/>
      </c>
      <c r="I493" s="2"/>
      <c r="J493" s="2"/>
      <c r="K493" s="2"/>
      <c r="L493" s="2"/>
      <c r="M493" s="2"/>
    </row>
    <row r="494" spans="1:13" ht="15.6" x14ac:dyDescent="0.3">
      <c r="A494" s="2"/>
      <c r="B494" s="5" t="str">
        <f>IF(COUNTIF(data_val!$E$3:$E$5, sample_log!$E494), sample_log!$C494 &amp; "_" &amp; sample_log!$D494, "")</f>
        <v/>
      </c>
      <c r="C494" s="5" t="str">
        <f>IF(B494="", IF(F494="", "", C493), IF(sample_log!E494="Triennial SASS", "tri_params", "params"))</f>
        <v/>
      </c>
      <c r="D494" s="5" t="str">
        <f>IF(B494="", "", C494 &amp; "!" &amp; CHAR(65+MATCH(B494, params!$B$2:$R$2, 0)))</f>
        <v/>
      </c>
      <c r="E494" s="5" t="str">
        <f ca="1">IF(B494="", "", COUNTA(INDIRECT(D494 &amp; 3):INDIRECT(D494 &amp; 24)))</f>
        <v/>
      </c>
      <c r="F494" s="5" t="str">
        <f t="shared" si="16"/>
        <v/>
      </c>
      <c r="G494" s="5" t="str">
        <f>IF(F494="", "", IF(B494&lt;&gt;"", MATCH(B494, params!$B$2:$R$2, 0), G493))</f>
        <v/>
      </c>
      <c r="H494" s="5" t="str">
        <f t="shared" ca="1" si="17"/>
        <v/>
      </c>
      <c r="I494" s="2"/>
      <c r="J494" s="2"/>
      <c r="K494" s="2"/>
      <c r="L494" s="2"/>
      <c r="M494" s="2"/>
    </row>
    <row r="495" spans="1:13" ht="15.6" x14ac:dyDescent="0.3">
      <c r="A495" s="2"/>
      <c r="B495" s="5" t="str">
        <f>IF(COUNTIF(data_val!$E$3:$E$5, sample_log!$E495), sample_log!$C495 &amp; "_" &amp; sample_log!$D495, "")</f>
        <v/>
      </c>
      <c r="C495" s="5" t="str">
        <f>IF(B495="", IF(F495="", "", C494), IF(sample_log!E495="Triennial SASS", "tri_params", "params"))</f>
        <v/>
      </c>
      <c r="D495" s="5" t="str">
        <f>IF(B495="", "", C495 &amp; "!" &amp; CHAR(65+MATCH(B495, params!$B$2:$R$2, 0)))</f>
        <v/>
      </c>
      <c r="E495" s="5" t="str">
        <f ca="1">IF(B495="", "", COUNTA(INDIRECT(D495 &amp; 3):INDIRECT(D495 &amp; 24)))</f>
        <v/>
      </c>
      <c r="F495" s="5" t="str">
        <f t="shared" si="16"/>
        <v/>
      </c>
      <c r="G495" s="5" t="str">
        <f>IF(F495="", "", IF(B495&lt;&gt;"", MATCH(B495, params!$B$2:$R$2, 0), G494))</f>
        <v/>
      </c>
      <c r="H495" s="5" t="str">
        <f t="shared" ca="1" si="17"/>
        <v/>
      </c>
      <c r="I495" s="2"/>
      <c r="J495" s="2"/>
      <c r="K495" s="2"/>
      <c r="L495" s="2"/>
      <c r="M495" s="2"/>
    </row>
    <row r="496" spans="1:13" ht="15.6" x14ac:dyDescent="0.3">
      <c r="A496" s="2"/>
      <c r="B496" s="5" t="str">
        <f>IF(COUNTIF(data_val!$E$3:$E$5, sample_log!$E496), sample_log!$C496 &amp; "_" &amp; sample_log!$D496, "")</f>
        <v/>
      </c>
      <c r="C496" s="5" t="str">
        <f>IF(B496="", IF(F496="", "", C495), IF(sample_log!E496="Triennial SASS", "tri_params", "params"))</f>
        <v/>
      </c>
      <c r="D496" s="5" t="str">
        <f>IF(B496="", "", C496 &amp; "!" &amp; CHAR(65+MATCH(B496, params!$B$2:$R$2, 0)))</f>
        <v/>
      </c>
      <c r="E496" s="5" t="str">
        <f ca="1">IF(B496="", "", COUNTA(INDIRECT(D496 &amp; 3):INDIRECT(D496 &amp; 24)))</f>
        <v/>
      </c>
      <c r="F496" s="5" t="str">
        <f t="shared" si="16"/>
        <v/>
      </c>
      <c r="G496" s="5" t="str">
        <f>IF(F496="", "", IF(B496&lt;&gt;"", MATCH(B496, params!$B$2:$R$2, 0), G495))</f>
        <v/>
      </c>
      <c r="H496" s="5" t="str">
        <f t="shared" ca="1" si="17"/>
        <v/>
      </c>
      <c r="I496" s="2"/>
      <c r="J496" s="2"/>
      <c r="K496" s="2"/>
      <c r="L496" s="2"/>
      <c r="M496" s="2"/>
    </row>
    <row r="497" spans="1:13" ht="15.6" x14ac:dyDescent="0.3">
      <c r="A497" s="2"/>
      <c r="B497" s="5" t="str">
        <f>IF(COUNTIF(data_val!$E$3:$E$5, sample_log!$E497), sample_log!$C497 &amp; "_" &amp; sample_log!$D497, "")</f>
        <v/>
      </c>
      <c r="C497" s="5" t="str">
        <f>IF(B497="", IF(F497="", "", C496), IF(sample_log!E497="Triennial SASS", "tri_params", "params"))</f>
        <v/>
      </c>
      <c r="D497" s="5" t="str">
        <f>IF(B497="", "", C497 &amp; "!" &amp; CHAR(65+MATCH(B497, params!$B$2:$R$2, 0)))</f>
        <v/>
      </c>
      <c r="E497" s="5" t="str">
        <f ca="1">IF(B497="", "", COUNTA(INDIRECT(D497 &amp; 3):INDIRECT(D497 &amp; 24)))</f>
        <v/>
      </c>
      <c r="F497" s="5" t="str">
        <f t="shared" si="16"/>
        <v/>
      </c>
      <c r="G497" s="5" t="str">
        <f>IF(F497="", "", IF(B497&lt;&gt;"", MATCH(B497, params!$B$2:$R$2, 0), G496))</f>
        <v/>
      </c>
      <c r="H497" s="5" t="str">
        <f t="shared" ca="1" si="17"/>
        <v/>
      </c>
      <c r="I497" s="2"/>
      <c r="J497" s="2"/>
      <c r="K497" s="2"/>
      <c r="L497" s="2"/>
      <c r="M497" s="2"/>
    </row>
    <row r="498" spans="1:13" ht="15.6" x14ac:dyDescent="0.3">
      <c r="A498" s="2"/>
      <c r="B498" s="5" t="str">
        <f>IF(COUNTIF(data_val!$E$3:$E$5, sample_log!$E498), sample_log!$C498 &amp; "_" &amp; sample_log!$D498, "")</f>
        <v/>
      </c>
      <c r="C498" s="5" t="str">
        <f>IF(B498="", IF(F498="", "", C497), IF(sample_log!E498="Triennial SASS", "tri_params", "params"))</f>
        <v/>
      </c>
      <c r="D498" s="5" t="str">
        <f>IF(B498="", "", C498 &amp; "!" &amp; CHAR(65+MATCH(B498, params!$B$2:$R$2, 0)))</f>
        <v/>
      </c>
      <c r="E498" s="5" t="str">
        <f ca="1">IF(B498="", "", COUNTA(INDIRECT(D498 &amp; 3):INDIRECT(D498 &amp; 24)))</f>
        <v/>
      </c>
      <c r="F498" s="5" t="str">
        <f t="shared" si="16"/>
        <v/>
      </c>
      <c r="G498" s="5" t="str">
        <f>IF(F498="", "", IF(B498&lt;&gt;"", MATCH(B498, params!$B$2:$R$2, 0), G497))</f>
        <v/>
      </c>
      <c r="H498" s="5" t="str">
        <f t="shared" ca="1" si="17"/>
        <v/>
      </c>
      <c r="I498" s="2"/>
      <c r="J498" s="2"/>
      <c r="K498" s="2"/>
      <c r="L498" s="2"/>
      <c r="M498" s="2"/>
    </row>
    <row r="499" spans="1:13" ht="15.6" x14ac:dyDescent="0.3">
      <c r="A499" s="2"/>
      <c r="B499" s="5" t="str">
        <f>IF(COUNTIF(data_val!$E$3:$E$5, sample_log!$E499), sample_log!$C499 &amp; "_" &amp; sample_log!$D499, "")</f>
        <v/>
      </c>
      <c r="C499" s="5" t="str">
        <f>IF(B499="", IF(F499="", "", C498), IF(sample_log!E499="Triennial SASS", "tri_params", "params"))</f>
        <v/>
      </c>
      <c r="D499" s="5" t="str">
        <f>IF(B499="", "", C499 &amp; "!" &amp; CHAR(65+MATCH(B499, params!$B$2:$R$2, 0)))</f>
        <v/>
      </c>
      <c r="E499" s="5" t="str">
        <f ca="1">IF(B499="", "", COUNTA(INDIRECT(D499 &amp; 3):INDIRECT(D499 &amp; 24)))</f>
        <v/>
      </c>
      <c r="F499" s="5" t="str">
        <f t="shared" si="16"/>
        <v/>
      </c>
      <c r="G499" s="5" t="str">
        <f>IF(F499="", "", IF(B499&lt;&gt;"", MATCH(B499, params!$B$2:$R$2, 0), G498))</f>
        <v/>
      </c>
      <c r="H499" s="5" t="str">
        <f t="shared" ca="1" si="17"/>
        <v/>
      </c>
      <c r="I499" s="2"/>
      <c r="J499" s="2"/>
      <c r="K499" s="2"/>
      <c r="L499" s="2"/>
      <c r="M499" s="2"/>
    </row>
    <row r="500" spans="1:13" ht="15.6" x14ac:dyDescent="0.3">
      <c r="A500" s="2"/>
      <c r="B500" s="5" t="str">
        <f>IF(COUNTIF(data_val!$E$3:$E$5, sample_log!$E500), sample_log!$C500 &amp; "_" &amp; sample_log!$D500, "")</f>
        <v/>
      </c>
      <c r="C500" s="5" t="str">
        <f>IF(B500="", IF(F500="", "", C499), IF(sample_log!E500="Triennial SASS", "tri_params", "params"))</f>
        <v/>
      </c>
      <c r="D500" s="5" t="str">
        <f>IF(B500="", "", C500 &amp; "!" &amp; CHAR(65+MATCH(B500, params!$B$2:$R$2, 0)))</f>
        <v/>
      </c>
      <c r="E500" s="5" t="str">
        <f ca="1">IF(B500="", "", COUNTA(INDIRECT(D500 &amp; 3):INDIRECT(D500 &amp; 24)))</f>
        <v/>
      </c>
      <c r="F500" s="5" t="str">
        <f t="shared" si="16"/>
        <v/>
      </c>
      <c r="G500" s="5" t="str">
        <f>IF(F500="", "", IF(B500&lt;&gt;"", MATCH(B500, params!$B$2:$R$2, 0), G499))</f>
        <v/>
      </c>
      <c r="H500" s="5" t="str">
        <f t="shared" ca="1" si="17"/>
        <v/>
      </c>
      <c r="I500" s="2"/>
      <c r="J500" s="2"/>
      <c r="K500" s="2"/>
      <c r="L500" s="2"/>
      <c r="M500" s="2"/>
    </row>
    <row r="501" spans="1:13" ht="15.6" x14ac:dyDescent="0.3">
      <c r="A501" s="2"/>
      <c r="B501" s="5" t="str">
        <f>IF(COUNTIF(data_val!$E$3:$E$5, sample_log!$E501), sample_log!$C501 &amp; "_" &amp; sample_log!$D501, "")</f>
        <v/>
      </c>
      <c r="C501" s="5" t="str">
        <f>IF(B501="", IF(F501="", "", C500), IF(sample_log!E501="Triennial SASS", "tri_params", "params"))</f>
        <v/>
      </c>
      <c r="D501" s="5" t="str">
        <f>IF(B501="", "", C501 &amp; "!" &amp; CHAR(65+MATCH(B501, params!$B$2:$R$2, 0)))</f>
        <v/>
      </c>
      <c r="E501" s="5" t="str">
        <f ca="1">IF(B501="", "", COUNTA(INDIRECT(D501 &amp; 3):INDIRECT(D501 &amp; 24)))</f>
        <v/>
      </c>
      <c r="F501" s="5" t="str">
        <f t="shared" si="16"/>
        <v/>
      </c>
      <c r="G501" s="5" t="str">
        <f>IF(F501="", "", IF(B501&lt;&gt;"", MATCH(B501, params!$B$2:$R$2, 0), G500))</f>
        <v/>
      </c>
      <c r="H501" s="5" t="str">
        <f t="shared" ca="1" si="17"/>
        <v/>
      </c>
      <c r="I501" s="2"/>
      <c r="J501" s="2"/>
      <c r="K501" s="2"/>
      <c r="L501" s="2"/>
      <c r="M501" s="2"/>
    </row>
    <row r="502" spans="1:13" ht="15.6" x14ac:dyDescent="0.3">
      <c r="A502" s="2"/>
      <c r="B502" s="5" t="str">
        <f>IF(COUNTIF(data_val!$E$3:$E$5, sample_log!$E502), sample_log!$C502 &amp; "_" &amp; sample_log!$D502, "")</f>
        <v/>
      </c>
      <c r="C502" s="5" t="str">
        <f>IF(B502="", IF(F502="", "", C501), IF(sample_log!E502="Triennial SASS", "tri_params", "params"))</f>
        <v/>
      </c>
      <c r="D502" s="5" t="str">
        <f>IF(B502="", "", C502 &amp; "!" &amp; CHAR(65+MATCH(B502, params!$B$2:$R$2, 0)))</f>
        <v/>
      </c>
      <c r="E502" s="5" t="str">
        <f ca="1">IF(B502="", "", COUNTA(INDIRECT(D502 &amp; 3):INDIRECT(D502 &amp; 24)))</f>
        <v/>
      </c>
      <c r="F502" s="5" t="str">
        <f t="shared" si="16"/>
        <v/>
      </c>
      <c r="G502" s="5" t="str">
        <f>IF(F502="", "", IF(B502&lt;&gt;"", MATCH(B502, params!$B$2:$R$2, 0), G501))</f>
        <v/>
      </c>
      <c r="H502" s="5" t="str">
        <f t="shared" ca="1" si="17"/>
        <v/>
      </c>
      <c r="I502" s="2"/>
      <c r="J502" s="2"/>
      <c r="K502" s="2"/>
      <c r="L502" s="2"/>
      <c r="M502" s="2"/>
    </row>
    <row r="503" spans="1:13" ht="15.6" x14ac:dyDescent="0.3">
      <c r="A503" s="2"/>
      <c r="B503" s="5" t="str">
        <f>IF(COUNTIF(data_val!$E$3:$E$5, sample_log!$E503), sample_log!$C503 &amp; "_" &amp; sample_log!$D503, "")</f>
        <v/>
      </c>
      <c r="C503" s="5" t="str">
        <f>IF(B503="", IF(F503="", "", C502), IF(sample_log!E503="Triennial SASS", "tri_params", "params"))</f>
        <v/>
      </c>
      <c r="D503" s="5" t="str">
        <f>IF(B503="", "", C503 &amp; "!" &amp; CHAR(65+MATCH(B503, params!$B$2:$R$2, 0)))</f>
        <v/>
      </c>
      <c r="E503" s="5" t="str">
        <f ca="1">IF(B503="", "", COUNTA(INDIRECT(D503 &amp; 3):INDIRECT(D503 &amp; 24)))</f>
        <v/>
      </c>
      <c r="F503" s="5" t="str">
        <f t="shared" si="16"/>
        <v/>
      </c>
      <c r="G503" s="5" t="str">
        <f>IF(F503="", "", IF(B503&lt;&gt;"", MATCH(B503, params!$B$2:$R$2, 0), G502))</f>
        <v/>
      </c>
      <c r="H503" s="5" t="str">
        <f t="shared" ca="1" si="17"/>
        <v/>
      </c>
      <c r="I503" s="2"/>
      <c r="J503" s="2"/>
      <c r="K503" s="2"/>
      <c r="L503" s="2"/>
      <c r="M503" s="2"/>
    </row>
    <row r="504" spans="1:13" ht="15.6" x14ac:dyDescent="0.3">
      <c r="A504" s="2"/>
      <c r="B504" s="5" t="str">
        <f>IF(COUNTIF(data_val!$E$3:$E$5, sample_log!$E504), sample_log!$C504 &amp; "_" &amp; sample_log!$D504, "")</f>
        <v/>
      </c>
      <c r="C504" s="5" t="str">
        <f>IF(B504="", IF(F504="", "", C503), IF(sample_log!E504="Triennial SASS", "tri_params", "params"))</f>
        <v/>
      </c>
      <c r="D504" s="5" t="str">
        <f>IF(B504="", "", C504 &amp; "!" &amp; CHAR(65+MATCH(B504, params!$B$2:$R$2, 0)))</f>
        <v/>
      </c>
      <c r="E504" s="5" t="str">
        <f ca="1">IF(B504="", "", COUNTA(INDIRECT(D504 &amp; 3):INDIRECT(D504 &amp; 24)))</f>
        <v/>
      </c>
      <c r="F504" s="5" t="str">
        <f t="shared" si="16"/>
        <v/>
      </c>
      <c r="G504" s="5" t="str">
        <f>IF(F504="", "", IF(B504&lt;&gt;"", MATCH(B504, params!$B$2:$R$2, 0), G503))</f>
        <v/>
      </c>
      <c r="H504" s="5" t="str">
        <f t="shared" ca="1" si="17"/>
        <v/>
      </c>
      <c r="I504" s="2"/>
      <c r="J504" s="2"/>
      <c r="K504" s="2"/>
      <c r="L504" s="2"/>
      <c r="M504" s="2"/>
    </row>
    <row r="505" spans="1:13" ht="15.6" x14ac:dyDescent="0.3">
      <c r="A505" s="2"/>
      <c r="B505" s="5" t="str">
        <f>IF(COUNTIF(data_val!$E$3:$E$5, sample_log!$E505), sample_log!$C505 &amp; "_" &amp; sample_log!$D505, "")</f>
        <v/>
      </c>
      <c r="C505" s="5" t="str">
        <f>IF(B505="", IF(F505="", "", C504), IF(sample_log!E505="Triennial SASS", "tri_params", "params"))</f>
        <v/>
      </c>
      <c r="D505" s="5" t="str">
        <f>IF(B505="", "", C505 &amp; "!" &amp; CHAR(65+MATCH(B505, params!$B$2:$R$2, 0)))</f>
        <v/>
      </c>
      <c r="E505" s="5" t="str">
        <f ca="1">IF(B505="", "", COUNTA(INDIRECT(D505 &amp; 3):INDIRECT(D505 &amp; 24)))</f>
        <v/>
      </c>
      <c r="F505" s="5" t="str">
        <f t="shared" si="16"/>
        <v/>
      </c>
      <c r="G505" s="5" t="str">
        <f>IF(F505="", "", IF(B505&lt;&gt;"", MATCH(B505, params!$B$2:$R$2, 0), G504))</f>
        <v/>
      </c>
      <c r="H505" s="5" t="str">
        <f t="shared" ca="1" si="17"/>
        <v/>
      </c>
      <c r="I505" s="2"/>
      <c r="J505" s="2"/>
      <c r="K505" s="2"/>
      <c r="L505" s="2"/>
      <c r="M505" s="2"/>
    </row>
    <row r="506" spans="1:13" ht="15.6" x14ac:dyDescent="0.3">
      <c r="A506" s="2"/>
      <c r="B506" s="5" t="str">
        <f>IF(COUNTIF(data_val!$E$3:$E$5, sample_log!$E506), sample_log!$C506 &amp; "_" &amp; sample_log!$D506, "")</f>
        <v/>
      </c>
      <c r="C506" s="5" t="str">
        <f>IF(B506="", IF(F506="", "", C505), IF(sample_log!E506="Triennial SASS", "tri_params", "params"))</f>
        <v/>
      </c>
      <c r="D506" s="5" t="str">
        <f>IF(B506="", "", C506 &amp; "!" &amp; CHAR(65+MATCH(B506, params!$B$2:$R$2, 0)))</f>
        <v/>
      </c>
      <c r="E506" s="5" t="str">
        <f ca="1">IF(B506="", "", COUNTA(INDIRECT(D506 &amp; 3):INDIRECT(D506 &amp; 24)))</f>
        <v/>
      </c>
      <c r="F506" s="5" t="str">
        <f t="shared" si="16"/>
        <v/>
      </c>
      <c r="G506" s="5" t="str">
        <f>IF(F506="", "", IF(B506&lt;&gt;"", MATCH(B506, params!$B$2:$R$2, 0), G505))</f>
        <v/>
      </c>
      <c r="H506" s="5" t="str">
        <f t="shared" ca="1" si="17"/>
        <v/>
      </c>
      <c r="I506" s="2"/>
      <c r="J506" s="2"/>
      <c r="K506" s="2"/>
      <c r="L506" s="2"/>
      <c r="M506" s="2"/>
    </row>
    <row r="507" spans="1:13" ht="15.6" x14ac:dyDescent="0.3">
      <c r="A507" s="2"/>
      <c r="B507" s="5" t="str">
        <f>IF(COUNTIF(data_val!$E$3:$E$5, sample_log!$E507), sample_log!$C507 &amp; "_" &amp; sample_log!$D507, "")</f>
        <v/>
      </c>
      <c r="C507" s="5" t="str">
        <f>IF(B507="", IF(F507="", "", C506), IF(sample_log!E507="Triennial SASS", "tri_params", "params"))</f>
        <v/>
      </c>
      <c r="D507" s="5" t="str">
        <f>IF(B507="", "", C507 &amp; "!" &amp; CHAR(65+MATCH(B507, params!$B$2:$R$2, 0)))</f>
        <v/>
      </c>
      <c r="E507" s="5" t="str">
        <f ca="1">IF(B507="", "", COUNTA(INDIRECT(D507 &amp; 3):INDIRECT(D507 &amp; 24)))</f>
        <v/>
      </c>
      <c r="F507" s="5" t="str">
        <f t="shared" si="16"/>
        <v/>
      </c>
      <c r="G507" s="5" t="str">
        <f>IF(F507="", "", IF(B507&lt;&gt;"", MATCH(B507, params!$B$2:$R$2, 0), G506))</f>
        <v/>
      </c>
      <c r="H507" s="5" t="str">
        <f t="shared" ca="1" si="17"/>
        <v/>
      </c>
      <c r="I507" s="2"/>
      <c r="J507" s="2"/>
      <c r="K507" s="2"/>
      <c r="L507" s="2"/>
      <c r="M507" s="2"/>
    </row>
    <row r="508" spans="1:13" ht="15.6" x14ac:dyDescent="0.3">
      <c r="A508" s="2"/>
      <c r="B508" s="5" t="str">
        <f>IF(COUNTIF(data_val!$E$3:$E$5, sample_log!$E508), sample_log!$C508 &amp; "_" &amp; sample_log!$D508, "")</f>
        <v/>
      </c>
      <c r="C508" s="5" t="str">
        <f>IF(B508="", IF(F508="", "", C507), IF(sample_log!E508="Triennial SASS", "tri_params", "params"))</f>
        <v/>
      </c>
      <c r="D508" s="5" t="str">
        <f>IF(B508="", "", C508 &amp; "!" &amp; CHAR(65+MATCH(B508, params!$B$2:$R$2, 0)))</f>
        <v/>
      </c>
      <c r="E508" s="5" t="str">
        <f ca="1">IF(B508="", "", COUNTA(INDIRECT(D508 &amp; 3):INDIRECT(D508 &amp; 24)))</f>
        <v/>
      </c>
      <c r="F508" s="5" t="str">
        <f t="shared" si="16"/>
        <v/>
      </c>
      <c r="G508" s="5" t="str">
        <f>IF(F508="", "", IF(B508&lt;&gt;"", MATCH(B508, params!$B$2:$R$2, 0), G507))</f>
        <v/>
      </c>
      <c r="H508" s="5" t="str">
        <f t="shared" ca="1" si="17"/>
        <v/>
      </c>
      <c r="I508" s="2"/>
      <c r="J508" s="2"/>
      <c r="K508" s="2"/>
      <c r="L508" s="2"/>
      <c r="M508" s="2"/>
    </row>
    <row r="509" spans="1:13" ht="15.6" x14ac:dyDescent="0.3">
      <c r="A509" s="2"/>
      <c r="B509" s="5" t="str">
        <f>IF(COUNTIF(data_val!$E$3:$E$5, sample_log!$E509), sample_log!$C509 &amp; "_" &amp; sample_log!$D509, "")</f>
        <v/>
      </c>
      <c r="C509" s="5" t="str">
        <f>IF(B509="", IF(F509="", "", C508), IF(sample_log!E509="Triennial SASS", "tri_params", "params"))</f>
        <v/>
      </c>
      <c r="D509" s="5" t="str">
        <f>IF(B509="", "", C509 &amp; "!" &amp; CHAR(65+MATCH(B509, params!$B$2:$R$2, 0)))</f>
        <v/>
      </c>
      <c r="E509" s="5" t="str">
        <f ca="1">IF(B509="", "", COUNTA(INDIRECT(D509 &amp; 3):INDIRECT(D509 &amp; 24)))</f>
        <v/>
      </c>
      <c r="F509" s="5" t="str">
        <f t="shared" si="16"/>
        <v/>
      </c>
      <c r="G509" s="5" t="str">
        <f>IF(F509="", "", IF(B509&lt;&gt;"", MATCH(B509, params!$B$2:$R$2, 0), G508))</f>
        <v/>
      </c>
      <c r="H509" s="5" t="str">
        <f t="shared" ca="1" si="17"/>
        <v/>
      </c>
      <c r="I509" s="2"/>
      <c r="J509" s="2"/>
      <c r="K509" s="2"/>
      <c r="L509" s="2"/>
      <c r="M509" s="2"/>
    </row>
    <row r="510" spans="1:13" ht="15.6" x14ac:dyDescent="0.3">
      <c r="A510" s="2"/>
      <c r="B510" s="5" t="str">
        <f>IF(COUNTIF(data_val!$E$3:$E$5, sample_log!$E510), sample_log!$C510 &amp; "_" &amp; sample_log!$D510, "")</f>
        <v/>
      </c>
      <c r="C510" s="5" t="str">
        <f>IF(B510="", IF(F510="", "", C509), IF(sample_log!E510="Triennial SASS", "tri_params", "params"))</f>
        <v/>
      </c>
      <c r="D510" s="5" t="str">
        <f>IF(B510="", "", C510 &amp; "!" &amp; CHAR(65+MATCH(B510, params!$B$2:$R$2, 0)))</f>
        <v/>
      </c>
      <c r="E510" s="5" t="str">
        <f ca="1">IF(B510="", "", COUNTA(INDIRECT(D510 &amp; 3):INDIRECT(D510 &amp; 24)))</f>
        <v/>
      </c>
      <c r="F510" s="5" t="str">
        <f t="shared" si="16"/>
        <v/>
      </c>
      <c r="G510" s="5" t="str">
        <f>IF(F510="", "", IF(B510&lt;&gt;"", MATCH(B510, params!$B$2:$R$2, 0), G509))</f>
        <v/>
      </c>
      <c r="H510" s="5" t="str">
        <f t="shared" ca="1" si="17"/>
        <v/>
      </c>
      <c r="I510" s="2"/>
      <c r="J510" s="2"/>
      <c r="K510" s="2"/>
      <c r="L510" s="2"/>
      <c r="M510" s="2"/>
    </row>
    <row r="511" spans="1:13" ht="15.6" x14ac:dyDescent="0.3">
      <c r="A511" s="2"/>
      <c r="B511" s="5" t="str">
        <f>IF(COUNTIF(data_val!$E$3:$E$5, sample_log!$E511), sample_log!$C511 &amp; "_" &amp; sample_log!$D511, "")</f>
        <v/>
      </c>
      <c r="C511" s="5" t="str">
        <f>IF(B511="", IF(F511="", "", C510), IF(sample_log!E511="Triennial SASS", "tri_params", "params"))</f>
        <v/>
      </c>
      <c r="D511" s="5" t="str">
        <f>IF(B511="", "", C511 &amp; "!" &amp; CHAR(65+MATCH(B511, params!$B$2:$R$2, 0)))</f>
        <v/>
      </c>
      <c r="E511" s="5" t="str">
        <f ca="1">IF(B511="", "", COUNTA(INDIRECT(D511 &amp; 3):INDIRECT(D511 &amp; 24)))</f>
        <v/>
      </c>
      <c r="F511" s="5" t="str">
        <f t="shared" si="16"/>
        <v/>
      </c>
      <c r="G511" s="5" t="str">
        <f>IF(F511="", "", IF(B511&lt;&gt;"", MATCH(B511, params!$B$2:$R$2, 0), G510))</f>
        <v/>
      </c>
      <c r="H511" s="5" t="str">
        <f t="shared" ca="1" si="17"/>
        <v/>
      </c>
      <c r="I511" s="2"/>
      <c r="J511" s="2"/>
      <c r="K511" s="2"/>
      <c r="L511" s="2"/>
      <c r="M511" s="2"/>
    </row>
    <row r="512" spans="1:13" ht="15.6" x14ac:dyDescent="0.3">
      <c r="A512" s="2"/>
      <c r="B512" s="5" t="str">
        <f>IF(COUNTIF(data_val!$E$3:$E$5, sample_log!$E512), sample_log!$C512 &amp; "_" &amp; sample_log!$D512, "")</f>
        <v/>
      </c>
      <c r="C512" s="5" t="str">
        <f>IF(B512="", IF(F512="", "", C511), IF(sample_log!E512="Triennial SASS", "tri_params", "params"))</f>
        <v/>
      </c>
      <c r="D512" s="5" t="str">
        <f>IF(B512="", "", C512 &amp; "!" &amp; CHAR(65+MATCH(B512, params!$B$2:$R$2, 0)))</f>
        <v/>
      </c>
      <c r="E512" s="5" t="str">
        <f ca="1">IF(B512="", "", COUNTA(INDIRECT(D512 &amp; 3):INDIRECT(D512 &amp; 24)))</f>
        <v/>
      </c>
      <c r="F512" s="5" t="str">
        <f t="shared" si="16"/>
        <v/>
      </c>
      <c r="G512" s="5" t="str">
        <f>IF(F512="", "", IF(B512&lt;&gt;"", MATCH(B512, params!$B$2:$R$2, 0), G511))</f>
        <v/>
      </c>
      <c r="H512" s="5" t="str">
        <f t="shared" ca="1" si="17"/>
        <v/>
      </c>
      <c r="I512" s="2"/>
      <c r="J512" s="2"/>
      <c r="K512" s="2"/>
      <c r="L512" s="2"/>
      <c r="M512" s="2"/>
    </row>
    <row r="513" spans="1:13" ht="15.6" x14ac:dyDescent="0.3">
      <c r="A513" s="2"/>
      <c r="B513" s="5" t="str">
        <f>IF(COUNTIF(data_val!$E$3:$E$5, sample_log!$E513), sample_log!$C513 &amp; "_" &amp; sample_log!$D513, "")</f>
        <v/>
      </c>
      <c r="C513" s="5" t="str">
        <f>IF(B513="", IF(F513="", "", C512), IF(sample_log!E513="Triennial SASS", "tri_params", "params"))</f>
        <v/>
      </c>
      <c r="D513" s="5" t="str">
        <f>IF(B513="", "", C513 &amp; "!" &amp; CHAR(65+MATCH(B513, params!$B$2:$R$2, 0)))</f>
        <v/>
      </c>
      <c r="E513" s="5" t="str">
        <f ca="1">IF(B513="", "", COUNTA(INDIRECT(D513 &amp; 3):INDIRECT(D513 &amp; 24)))</f>
        <v/>
      </c>
      <c r="F513" s="5" t="str">
        <f t="shared" si="16"/>
        <v/>
      </c>
      <c r="G513" s="5" t="str">
        <f>IF(F513="", "", IF(B513&lt;&gt;"", MATCH(B513, params!$B$2:$R$2, 0), G512))</f>
        <v/>
      </c>
      <c r="H513" s="5" t="str">
        <f t="shared" ca="1" si="17"/>
        <v/>
      </c>
      <c r="I513" s="2"/>
      <c r="J513" s="2"/>
      <c r="K513" s="2"/>
      <c r="L513" s="2"/>
      <c r="M513" s="2"/>
    </row>
    <row r="514" spans="1:13" ht="15.6" x14ac:dyDescent="0.3">
      <c r="A514" s="2"/>
      <c r="B514" s="5" t="str">
        <f>IF(COUNTIF(data_val!$E$3:$E$5, sample_log!$E514), sample_log!$C514 &amp; "_" &amp; sample_log!$D514, "")</f>
        <v/>
      </c>
      <c r="C514" s="5" t="str">
        <f>IF(B514="", IF(F514="", "", C513), IF(sample_log!E514="Triennial SASS", "tri_params", "params"))</f>
        <v/>
      </c>
      <c r="D514" s="5" t="str">
        <f>IF(B514="", "", C514 &amp; "!" &amp; CHAR(65+MATCH(B514, params!$B$2:$R$2, 0)))</f>
        <v/>
      </c>
      <c r="E514" s="5" t="str">
        <f ca="1">IF(B514="", "", COUNTA(INDIRECT(D514 &amp; 3):INDIRECT(D514 &amp; 24)))</f>
        <v/>
      </c>
      <c r="F514" s="5" t="str">
        <f t="shared" si="16"/>
        <v/>
      </c>
      <c r="G514" s="5" t="str">
        <f>IF(F514="", "", IF(B514&lt;&gt;"", MATCH(B514, params!$B$2:$R$2, 0), G513))</f>
        <v/>
      </c>
      <c r="H514" s="5" t="str">
        <f t="shared" ca="1" si="17"/>
        <v/>
      </c>
      <c r="I514" s="2"/>
      <c r="J514" s="2"/>
      <c r="K514" s="2"/>
      <c r="L514" s="2"/>
      <c r="M514" s="2"/>
    </row>
    <row r="515" spans="1:13" ht="15.6" x14ac:dyDescent="0.3">
      <c r="A515" s="2"/>
      <c r="B515" s="5" t="str">
        <f>IF(COUNTIF(data_val!$E$3:$E$5, sample_log!$E515), sample_log!$C515 &amp; "_" &amp; sample_log!$D515, "")</f>
        <v/>
      </c>
      <c r="C515" s="5" t="str">
        <f>IF(B515="", IF(F515="", "", C514), IF(sample_log!E515="Triennial SASS", "tri_params", "params"))</f>
        <v/>
      </c>
      <c r="D515" s="5" t="str">
        <f>IF(B515="", "", C515 &amp; "!" &amp; CHAR(65+MATCH(B515, params!$B$2:$R$2, 0)))</f>
        <v/>
      </c>
      <c r="E515" s="5" t="str">
        <f ca="1">IF(B515="", "", COUNTA(INDIRECT(D515 &amp; 3):INDIRECT(D515 &amp; 24)))</f>
        <v/>
      </c>
      <c r="F515" s="5" t="str">
        <f t="shared" ref="F515:F578" si="18">IF(B515="", IF(NOT(ISNUMBER(F514)), "", IF(F514-1&gt;0, F514-1, "")), E515)</f>
        <v/>
      </c>
      <c r="G515" s="5" t="str">
        <f>IF(F515="", "", IF(B515&lt;&gt;"", MATCH(B515, params!$B$2:$R$2, 0), G514))</f>
        <v/>
      </c>
      <c r="H515" s="5" t="str">
        <f t="shared" ca="1" si="17"/>
        <v/>
      </c>
      <c r="I515" s="2"/>
      <c r="J515" s="2"/>
      <c r="K515" s="2"/>
      <c r="L515" s="2"/>
      <c r="M515" s="2"/>
    </row>
    <row r="516" spans="1:13" ht="15.6" x14ac:dyDescent="0.3">
      <c r="A516" s="2"/>
      <c r="B516" s="5" t="str">
        <f>IF(COUNTIF(data_val!$E$3:$E$5, sample_log!$E516), sample_log!$C516 &amp; "_" &amp; sample_log!$D516, "")</f>
        <v/>
      </c>
      <c r="C516" s="5" t="str">
        <f>IF(B516="", IF(F516="", "", C515), IF(sample_log!E516="Triennial SASS", "tri_params", "params"))</f>
        <v/>
      </c>
      <c r="D516" s="5" t="str">
        <f>IF(B516="", "", C516 &amp; "!" &amp; CHAR(65+MATCH(B516, params!$B$2:$R$2, 0)))</f>
        <v/>
      </c>
      <c r="E516" s="5" t="str">
        <f ca="1">IF(B516="", "", COUNTA(INDIRECT(D516 &amp; 3):INDIRECT(D516 &amp; 24)))</f>
        <v/>
      </c>
      <c r="F516" s="5" t="str">
        <f t="shared" si="18"/>
        <v/>
      </c>
      <c r="G516" s="5" t="str">
        <f>IF(F516="", "", IF(B516&lt;&gt;"", MATCH(B516, params!$B$2:$R$2, 0), G515))</f>
        <v/>
      </c>
      <c r="H516" s="5" t="str">
        <f t="shared" ca="1" si="17"/>
        <v/>
      </c>
      <c r="I516" s="2"/>
      <c r="J516" s="2"/>
      <c r="K516" s="2"/>
      <c r="L516" s="2"/>
      <c r="M516" s="2"/>
    </row>
    <row r="517" spans="1:13" ht="15.6" x14ac:dyDescent="0.3">
      <c r="A517" s="2"/>
      <c r="B517" s="5" t="str">
        <f>IF(COUNTIF(data_val!$E$3:$E$5, sample_log!$E517), sample_log!$C517 &amp; "_" &amp; sample_log!$D517, "")</f>
        <v/>
      </c>
      <c r="C517" s="5" t="str">
        <f>IF(B517="", IF(F517="", "", C516), IF(sample_log!E517="Triennial SASS", "tri_params", "params"))</f>
        <v/>
      </c>
      <c r="D517" s="5" t="str">
        <f>IF(B517="", "", C517 &amp; "!" &amp; CHAR(65+MATCH(B517, params!$B$2:$R$2, 0)))</f>
        <v/>
      </c>
      <c r="E517" s="5" t="str">
        <f ca="1">IF(B517="", "", COUNTA(INDIRECT(D517 &amp; 3):INDIRECT(D517 &amp; 24)))</f>
        <v/>
      </c>
      <c r="F517" s="5" t="str">
        <f t="shared" si="18"/>
        <v/>
      </c>
      <c r="G517" s="5" t="str">
        <f>IF(F517="", "", IF(B517&lt;&gt;"", MATCH(B517, params!$B$2:$R$2, 0), G516))</f>
        <v/>
      </c>
      <c r="H517" s="5" t="str">
        <f t="shared" ca="1" si="17"/>
        <v/>
      </c>
      <c r="I517" s="2"/>
      <c r="J517" s="2"/>
      <c r="K517" s="2"/>
      <c r="L517" s="2"/>
      <c r="M517" s="2"/>
    </row>
    <row r="518" spans="1:13" ht="15.6" x14ac:dyDescent="0.3">
      <c r="A518" s="2"/>
      <c r="B518" s="5" t="str">
        <f>IF(COUNTIF(data_val!$E$3:$E$5, sample_log!$E518), sample_log!$C518 &amp; "_" &amp; sample_log!$D518, "")</f>
        <v/>
      </c>
      <c r="C518" s="5" t="str">
        <f>IF(B518="", IF(F518="", "", C517), IF(sample_log!E518="Triennial SASS", "tri_params", "params"))</f>
        <v/>
      </c>
      <c r="D518" s="5" t="str">
        <f>IF(B518="", "", C518 &amp; "!" &amp; CHAR(65+MATCH(B518, params!$B$2:$R$2, 0)))</f>
        <v/>
      </c>
      <c r="E518" s="5" t="str">
        <f ca="1">IF(B518="", "", COUNTA(INDIRECT(D518 &amp; 3):INDIRECT(D518 &amp; 24)))</f>
        <v/>
      </c>
      <c r="F518" s="5" t="str">
        <f t="shared" si="18"/>
        <v/>
      </c>
      <c r="G518" s="5" t="str">
        <f>IF(F518="", "", IF(B518&lt;&gt;"", MATCH(B518, params!$B$2:$R$2, 0), G517))</f>
        <v/>
      </c>
      <c r="H518" s="5" t="str">
        <f t="shared" ca="1" si="17"/>
        <v/>
      </c>
      <c r="I518" s="2"/>
      <c r="J518" s="2"/>
      <c r="K518" s="2"/>
      <c r="L518" s="2"/>
      <c r="M518" s="2"/>
    </row>
    <row r="519" spans="1:13" ht="15.6" x14ac:dyDescent="0.3">
      <c r="A519" s="2"/>
      <c r="B519" s="5" t="str">
        <f>IF(COUNTIF(data_val!$E$3:$E$5, sample_log!$E519), sample_log!$C519 &amp; "_" &amp; sample_log!$D519, "")</f>
        <v/>
      </c>
      <c r="C519" s="5" t="str">
        <f>IF(B519="", IF(F519="", "", C518), IF(sample_log!E519="Triennial SASS", "tri_params", "params"))</f>
        <v/>
      </c>
      <c r="D519" s="5" t="str">
        <f>IF(B519="", "", C519 &amp; "!" &amp; CHAR(65+MATCH(B519, params!$B$2:$R$2, 0)))</f>
        <v/>
      </c>
      <c r="E519" s="5" t="str">
        <f ca="1">IF(B519="", "", COUNTA(INDIRECT(D519 &amp; 3):INDIRECT(D519 &amp; 24)))</f>
        <v/>
      </c>
      <c r="F519" s="5" t="str">
        <f t="shared" si="18"/>
        <v/>
      </c>
      <c r="G519" s="5" t="str">
        <f>IF(F519="", "", IF(B519&lt;&gt;"", MATCH(B519, params!$B$2:$R$2, 0), G518))</f>
        <v/>
      </c>
      <c r="H519" s="5" t="str">
        <f t="shared" ca="1" si="17"/>
        <v/>
      </c>
      <c r="I519" s="2"/>
      <c r="J519" s="2"/>
      <c r="K519" s="2"/>
      <c r="L519" s="2"/>
      <c r="M519" s="2"/>
    </row>
    <row r="520" spans="1:13" ht="15.6" x14ac:dyDescent="0.3">
      <c r="A520" s="2"/>
      <c r="B520" s="5" t="str">
        <f>IF(COUNTIF(data_val!$E$3:$E$5, sample_log!$E520), sample_log!$C520 &amp; "_" &amp; sample_log!$D520, "")</f>
        <v/>
      </c>
      <c r="C520" s="5" t="str">
        <f>IF(B520="", IF(F520="", "", C519), IF(sample_log!E520="Triennial SASS", "tri_params", "params"))</f>
        <v/>
      </c>
      <c r="D520" s="5" t="str">
        <f>IF(B520="", "", C520 &amp; "!" &amp; CHAR(65+MATCH(B520, params!$B$2:$R$2, 0)))</f>
        <v/>
      </c>
      <c r="E520" s="5" t="str">
        <f ca="1">IF(B520="", "", COUNTA(INDIRECT(D520 &amp; 3):INDIRECT(D520 &amp; 24)))</f>
        <v/>
      </c>
      <c r="F520" s="5" t="str">
        <f t="shared" si="18"/>
        <v/>
      </c>
      <c r="G520" s="5" t="str">
        <f>IF(F520="", "", IF(B520&lt;&gt;"", MATCH(B520, params!$B$2:$R$2, 0), G519))</f>
        <v/>
      </c>
      <c r="H520" s="5" t="str">
        <f t="shared" ca="1" si="17"/>
        <v/>
      </c>
      <c r="I520" s="2"/>
      <c r="J520" s="2"/>
      <c r="K520" s="2"/>
      <c r="L520" s="2"/>
      <c r="M520" s="2"/>
    </row>
    <row r="521" spans="1:13" ht="15.6" x14ac:dyDescent="0.3">
      <c r="A521" s="2"/>
      <c r="B521" s="5" t="str">
        <f>IF(COUNTIF(data_val!$E$3:$E$5, sample_log!$E521), sample_log!$C521 &amp; "_" &amp; sample_log!$D521, "")</f>
        <v/>
      </c>
      <c r="C521" s="5" t="str">
        <f>IF(B521="", IF(F521="", "", C520), IF(sample_log!E521="Triennial SASS", "tri_params", "params"))</f>
        <v/>
      </c>
      <c r="D521" s="5" t="str">
        <f>IF(B521="", "", C521 &amp; "!" &amp; CHAR(65+MATCH(B521, params!$B$2:$R$2, 0)))</f>
        <v/>
      </c>
      <c r="E521" s="5" t="str">
        <f ca="1">IF(B521="", "", COUNTA(INDIRECT(D521 &amp; 3):INDIRECT(D521 &amp; 24)))</f>
        <v/>
      </c>
      <c r="F521" s="5" t="str">
        <f t="shared" si="18"/>
        <v/>
      </c>
      <c r="G521" s="5" t="str">
        <f>IF(F521="", "", IF(B521&lt;&gt;"", MATCH(B521, params!$B$2:$R$2, 0), G520))</f>
        <v/>
      </c>
      <c r="H521" s="5" t="str">
        <f t="shared" ca="1" si="17"/>
        <v/>
      </c>
      <c r="I521" s="2"/>
      <c r="J521" s="2"/>
      <c r="K521" s="2"/>
      <c r="L521" s="2"/>
      <c r="M521" s="2"/>
    </row>
    <row r="522" spans="1:13" ht="15.6" x14ac:dyDescent="0.3">
      <c r="A522" s="2"/>
      <c r="B522" s="5" t="str">
        <f>IF(COUNTIF(data_val!$E$3:$E$5, sample_log!$E522), sample_log!$C522 &amp; "_" &amp; sample_log!$D522, "")</f>
        <v/>
      </c>
      <c r="C522" s="5" t="str">
        <f>IF(B522="", IF(F522="", "", C521), IF(sample_log!E522="Triennial SASS", "tri_params", "params"))</f>
        <v/>
      </c>
      <c r="D522" s="5" t="str">
        <f>IF(B522="", "", C522 &amp; "!" &amp; CHAR(65+MATCH(B522, params!$B$2:$R$2, 0)))</f>
        <v/>
      </c>
      <c r="E522" s="5" t="str">
        <f ca="1">IF(B522="", "", COUNTA(INDIRECT(D522 &amp; 3):INDIRECT(D522 &amp; 24)))</f>
        <v/>
      </c>
      <c r="F522" s="5" t="str">
        <f t="shared" si="18"/>
        <v/>
      </c>
      <c r="G522" s="5" t="str">
        <f>IF(F522="", "", IF(B522&lt;&gt;"", MATCH(B522, params!$B$2:$R$2, 0), G521))</f>
        <v/>
      </c>
      <c r="H522" s="5" t="str">
        <f t="shared" ca="1" si="17"/>
        <v/>
      </c>
      <c r="I522" s="2"/>
      <c r="J522" s="2"/>
      <c r="K522" s="2"/>
      <c r="L522" s="2"/>
      <c r="M522" s="2"/>
    </row>
    <row r="523" spans="1:13" ht="15.6" x14ac:dyDescent="0.3">
      <c r="A523" s="2"/>
      <c r="B523" s="5" t="str">
        <f>IF(COUNTIF(data_val!$E$3:$E$5, sample_log!$E523), sample_log!$C523 &amp; "_" &amp; sample_log!$D523, "")</f>
        <v/>
      </c>
      <c r="C523" s="5" t="str">
        <f>IF(B523="", IF(F523="", "", C522), IF(sample_log!E523="Triennial SASS", "tri_params", "params"))</f>
        <v/>
      </c>
      <c r="D523" s="5" t="str">
        <f>IF(B523="", "", C523 &amp; "!" &amp; CHAR(65+MATCH(B523, params!$B$2:$R$2, 0)))</f>
        <v/>
      </c>
      <c r="E523" s="5" t="str">
        <f ca="1">IF(B523="", "", COUNTA(INDIRECT(D523 &amp; 3):INDIRECT(D523 &amp; 24)))</f>
        <v/>
      </c>
      <c r="F523" s="5" t="str">
        <f t="shared" si="18"/>
        <v/>
      </c>
      <c r="G523" s="5" t="str">
        <f>IF(F523="", "", IF(B523&lt;&gt;"", MATCH(B523, params!$B$2:$R$2, 0), G522))</f>
        <v/>
      </c>
      <c r="H523" s="5" t="str">
        <f t="shared" ca="1" si="17"/>
        <v/>
      </c>
      <c r="I523" s="2"/>
      <c r="J523" s="2"/>
      <c r="K523" s="2"/>
      <c r="L523" s="2"/>
      <c r="M523" s="2"/>
    </row>
    <row r="524" spans="1:13" ht="15.6" x14ac:dyDescent="0.3">
      <c r="A524" s="2"/>
      <c r="B524" s="5" t="str">
        <f>IF(COUNTIF(data_val!$E$3:$E$5, sample_log!$E524), sample_log!$C524 &amp; "_" &amp; sample_log!$D524, "")</f>
        <v/>
      </c>
      <c r="C524" s="5" t="str">
        <f>IF(B524="", IF(F524="", "", C523), IF(sample_log!E524="Triennial SASS", "tri_params", "params"))</f>
        <v/>
      </c>
      <c r="D524" s="5" t="str">
        <f>IF(B524="", "", C524 &amp; "!" &amp; CHAR(65+MATCH(B524, params!$B$2:$R$2, 0)))</f>
        <v/>
      </c>
      <c r="E524" s="5" t="str">
        <f ca="1">IF(B524="", "", COUNTA(INDIRECT(D524 &amp; 3):INDIRECT(D524 &amp; 24)))</f>
        <v/>
      </c>
      <c r="F524" s="5" t="str">
        <f t="shared" si="18"/>
        <v/>
      </c>
      <c r="G524" s="5" t="str">
        <f>IF(F524="", "", IF(B524&lt;&gt;"", MATCH(B524, params!$B$2:$R$2, 0), G523))</f>
        <v/>
      </c>
      <c r="H524" s="5" t="str">
        <f t="shared" ca="1" si="17"/>
        <v/>
      </c>
      <c r="I524" s="2"/>
      <c r="J524" s="2"/>
      <c r="K524" s="2"/>
      <c r="L524" s="2"/>
      <c r="M524" s="2"/>
    </row>
    <row r="525" spans="1:13" ht="15.6" x14ac:dyDescent="0.3">
      <c r="A525" s="2"/>
      <c r="B525" s="5" t="str">
        <f>IF(COUNTIF(data_val!$E$3:$E$5, sample_log!$E525), sample_log!$C525 &amp; "_" &amp; sample_log!$D525, "")</f>
        <v/>
      </c>
      <c r="C525" s="5" t="str">
        <f>IF(B525="", IF(F525="", "", C524), IF(sample_log!E525="Triennial SASS", "tri_params", "params"))</f>
        <v/>
      </c>
      <c r="D525" s="5" t="str">
        <f>IF(B525="", "", C525 &amp; "!" &amp; CHAR(65+MATCH(B525, params!$B$2:$R$2, 0)))</f>
        <v/>
      </c>
      <c r="E525" s="5" t="str">
        <f ca="1">IF(B525="", "", COUNTA(INDIRECT(D525 &amp; 3):INDIRECT(D525 &amp; 24)))</f>
        <v/>
      </c>
      <c r="F525" s="5" t="str">
        <f t="shared" si="18"/>
        <v/>
      </c>
      <c r="G525" s="5" t="str">
        <f>IF(F525="", "", IF(B525&lt;&gt;"", MATCH(B525, params!$B$2:$R$2, 0), G524))</f>
        <v/>
      </c>
      <c r="H525" s="5" t="str">
        <f t="shared" ca="1" si="17"/>
        <v/>
      </c>
      <c r="I525" s="2"/>
      <c r="J525" s="2"/>
      <c r="K525" s="2"/>
      <c r="L525" s="2"/>
      <c r="M525" s="2"/>
    </row>
    <row r="526" spans="1:13" ht="15.6" x14ac:dyDescent="0.3">
      <c r="A526" s="2"/>
      <c r="B526" s="5" t="str">
        <f>IF(COUNTIF(data_val!$E$3:$E$5, sample_log!$E526), sample_log!$C526 &amp; "_" &amp; sample_log!$D526, "")</f>
        <v/>
      </c>
      <c r="C526" s="5" t="str">
        <f>IF(B526="", IF(F526="", "", C525), IF(sample_log!E526="Triennial SASS", "tri_params", "params"))</f>
        <v/>
      </c>
      <c r="D526" s="5" t="str">
        <f>IF(B526="", "", C526 &amp; "!" &amp; CHAR(65+MATCH(B526, params!$B$2:$R$2, 0)))</f>
        <v/>
      </c>
      <c r="E526" s="5" t="str">
        <f ca="1">IF(B526="", "", COUNTA(INDIRECT(D526 &amp; 3):INDIRECT(D526 &amp; 24)))</f>
        <v/>
      </c>
      <c r="F526" s="5" t="str">
        <f t="shared" si="18"/>
        <v/>
      </c>
      <c r="G526" s="5" t="str">
        <f>IF(F526="", "", IF(B526&lt;&gt;"", MATCH(B526, params!$B$2:$R$2, 0), G525))</f>
        <v/>
      </c>
      <c r="H526" s="5" t="str">
        <f t="shared" ca="1" si="17"/>
        <v/>
      </c>
      <c r="I526" s="2"/>
      <c r="J526" s="2"/>
      <c r="K526" s="2"/>
      <c r="L526" s="2"/>
      <c r="M526" s="2"/>
    </row>
    <row r="527" spans="1:13" ht="15.6" x14ac:dyDescent="0.3">
      <c r="A527" s="2"/>
      <c r="B527" s="5" t="str">
        <f>IF(COUNTIF(data_val!$E$3:$E$5, sample_log!$E527), sample_log!$C527 &amp; "_" &amp; sample_log!$D527, "")</f>
        <v/>
      </c>
      <c r="C527" s="5" t="str">
        <f>IF(B527="", IF(F527="", "", C526), IF(sample_log!E527="Triennial SASS", "tri_params", "params"))</f>
        <v/>
      </c>
      <c r="D527" s="5" t="str">
        <f>IF(B527="", "", C527 &amp; "!" &amp; CHAR(65+MATCH(B527, params!$B$2:$R$2, 0)))</f>
        <v/>
      </c>
      <c r="E527" s="5" t="str">
        <f ca="1">IF(B527="", "", COUNTA(INDIRECT(D527 &amp; 3):INDIRECT(D527 &amp; 24)))</f>
        <v/>
      </c>
      <c r="F527" s="5" t="str">
        <f t="shared" si="18"/>
        <v/>
      </c>
      <c r="G527" s="5" t="str">
        <f>IF(F527="", "", IF(B527&lt;&gt;"", MATCH(B527, params!$B$2:$R$2, 0), G526))</f>
        <v/>
      </c>
      <c r="H527" s="5" t="str">
        <f t="shared" ca="1" si="17"/>
        <v/>
      </c>
      <c r="I527" s="2"/>
      <c r="J527" s="2"/>
      <c r="K527" s="2"/>
      <c r="L527" s="2"/>
      <c r="M527" s="2"/>
    </row>
    <row r="528" spans="1:13" ht="15.6" x14ac:dyDescent="0.3">
      <c r="A528" s="2"/>
      <c r="B528" s="5" t="str">
        <f>IF(COUNTIF(data_val!$E$3:$E$5, sample_log!$E528), sample_log!$C528 &amp; "_" &amp; sample_log!$D528, "")</f>
        <v/>
      </c>
      <c r="C528" s="5" t="str">
        <f>IF(B528="", IF(F528="", "", C527), IF(sample_log!E528="Triennial SASS", "tri_params", "params"))</f>
        <v/>
      </c>
      <c r="D528" s="5" t="str">
        <f>IF(B528="", "", C528 &amp; "!" &amp; CHAR(65+MATCH(B528, params!$B$2:$R$2, 0)))</f>
        <v/>
      </c>
      <c r="E528" s="5" t="str">
        <f ca="1">IF(B528="", "", COUNTA(INDIRECT(D528 &amp; 3):INDIRECT(D528 &amp; 24)))</f>
        <v/>
      </c>
      <c r="F528" s="5" t="str">
        <f t="shared" si="18"/>
        <v/>
      </c>
      <c r="G528" s="5" t="str">
        <f>IF(F528="", "", IF(B528&lt;&gt;"", MATCH(B528, params!$B$2:$R$2, 0), G527))</f>
        <v/>
      </c>
      <c r="H528" s="5" t="str">
        <f t="shared" ca="1" si="17"/>
        <v/>
      </c>
      <c r="I528" s="2"/>
      <c r="J528" s="2"/>
      <c r="K528" s="2"/>
      <c r="L528" s="2"/>
      <c r="M528" s="2"/>
    </row>
    <row r="529" spans="1:13" ht="15.6" x14ac:dyDescent="0.3">
      <c r="A529" s="2"/>
      <c r="B529" s="5" t="str">
        <f>IF(COUNTIF(data_val!$E$3:$E$5, sample_log!$E529), sample_log!$C529 &amp; "_" &amp; sample_log!$D529, "")</f>
        <v/>
      </c>
      <c r="C529" s="5" t="str">
        <f>IF(B529="", IF(F529="", "", C528), IF(sample_log!E529="Triennial SASS", "tri_params", "params"))</f>
        <v/>
      </c>
      <c r="D529" s="5" t="str">
        <f>IF(B529="", "", C529 &amp; "!" &amp; CHAR(65+MATCH(B529, params!$B$2:$R$2, 0)))</f>
        <v/>
      </c>
      <c r="E529" s="5" t="str">
        <f ca="1">IF(B529="", "", COUNTA(INDIRECT(D529 &amp; 3):INDIRECT(D529 &amp; 24)))</f>
        <v/>
      </c>
      <c r="F529" s="5" t="str">
        <f t="shared" si="18"/>
        <v/>
      </c>
      <c r="G529" s="5" t="str">
        <f>IF(F529="", "", IF(B529&lt;&gt;"", MATCH(B529, params!$B$2:$R$2, 0), G528))</f>
        <v/>
      </c>
      <c r="H529" s="5" t="str">
        <f t="shared" ca="1" si="17"/>
        <v/>
      </c>
      <c r="I529" s="2"/>
      <c r="J529" s="2"/>
      <c r="K529" s="2"/>
      <c r="L529" s="2"/>
      <c r="M529" s="2"/>
    </row>
    <row r="530" spans="1:13" ht="15.6" x14ac:dyDescent="0.3">
      <c r="A530" s="2"/>
      <c r="B530" s="5" t="str">
        <f>IF(COUNTIF(data_val!$E$3:$E$5, sample_log!$E530), sample_log!$C530 &amp; "_" &amp; sample_log!$D530, "")</f>
        <v/>
      </c>
      <c r="C530" s="5" t="str">
        <f>IF(B530="", IF(F530="", "", C529), IF(sample_log!E530="Triennial SASS", "tri_params", "params"))</f>
        <v/>
      </c>
      <c r="D530" s="5" t="str">
        <f>IF(B530="", "", C530 &amp; "!" &amp; CHAR(65+MATCH(B530, params!$B$2:$R$2, 0)))</f>
        <v/>
      </c>
      <c r="E530" s="5" t="str">
        <f ca="1">IF(B530="", "", COUNTA(INDIRECT(D530 &amp; 3):INDIRECT(D530 &amp; 24)))</f>
        <v/>
      </c>
      <c r="F530" s="5" t="str">
        <f t="shared" si="18"/>
        <v/>
      </c>
      <c r="G530" s="5" t="str">
        <f>IF(F530="", "", IF(B530&lt;&gt;"", MATCH(B530, params!$B$2:$R$2, 0), G529))</f>
        <v/>
      </c>
      <c r="H530" s="5" t="str">
        <f t="shared" ca="1" si="17"/>
        <v/>
      </c>
      <c r="I530" s="2"/>
      <c r="J530" s="2"/>
      <c r="K530" s="2"/>
      <c r="L530" s="2"/>
      <c r="M530" s="2"/>
    </row>
    <row r="531" spans="1:13" ht="15.6" x14ac:dyDescent="0.3">
      <c r="A531" s="2"/>
      <c r="B531" s="5" t="str">
        <f>IF(COUNTIF(data_val!$E$3:$E$5, sample_log!$E531), sample_log!$C531 &amp; "_" &amp; sample_log!$D531, "")</f>
        <v/>
      </c>
      <c r="C531" s="5" t="str">
        <f>IF(B531="", IF(F531="", "", C530), IF(sample_log!E531="Triennial SASS", "tri_params", "params"))</f>
        <v/>
      </c>
      <c r="D531" s="5" t="str">
        <f>IF(B531="", "", C531 &amp; "!" &amp; CHAR(65+MATCH(B531, params!$B$2:$R$2, 0)))</f>
        <v/>
      </c>
      <c r="E531" s="5" t="str">
        <f ca="1">IF(B531="", "", COUNTA(INDIRECT(D531 &amp; 3):INDIRECT(D531 &amp; 24)))</f>
        <v/>
      </c>
      <c r="F531" s="5" t="str">
        <f t="shared" si="18"/>
        <v/>
      </c>
      <c r="G531" s="5" t="str">
        <f>IF(F531="", "", IF(B531&lt;&gt;"", MATCH(B531, params!$B$2:$R$2, 0), G530))</f>
        <v/>
      </c>
      <c r="H531" s="5" t="str">
        <f t="shared" ca="1" si="17"/>
        <v/>
      </c>
      <c r="I531" s="2"/>
      <c r="J531" s="2"/>
      <c r="K531" s="2"/>
      <c r="L531" s="2"/>
      <c r="M531" s="2"/>
    </row>
    <row r="532" spans="1:13" ht="15.6" x14ac:dyDescent="0.3">
      <c r="A532" s="2"/>
      <c r="B532" s="5" t="str">
        <f>IF(COUNTIF(data_val!$E$3:$E$5, sample_log!$E532), sample_log!$C532 &amp; "_" &amp; sample_log!$D532, "")</f>
        <v/>
      </c>
      <c r="C532" s="5" t="str">
        <f>IF(B532="", IF(F532="", "", C531), IF(sample_log!E532="Triennial SASS", "tri_params", "params"))</f>
        <v/>
      </c>
      <c r="D532" s="5" t="str">
        <f>IF(B532="", "", C532 &amp; "!" &amp; CHAR(65+MATCH(B532, params!$B$2:$R$2, 0)))</f>
        <v/>
      </c>
      <c r="E532" s="5" t="str">
        <f ca="1">IF(B532="", "", COUNTA(INDIRECT(D532 &amp; 3):INDIRECT(D532 &amp; 24)))</f>
        <v/>
      </c>
      <c r="F532" s="5" t="str">
        <f t="shared" si="18"/>
        <v/>
      </c>
      <c r="G532" s="5" t="str">
        <f>IF(F532="", "", IF(B532&lt;&gt;"", MATCH(B532, params!$B$2:$R$2, 0), G531))</f>
        <v/>
      </c>
      <c r="H532" s="5" t="str">
        <f t="shared" ca="1" si="17"/>
        <v/>
      </c>
      <c r="I532" s="2"/>
      <c r="J532" s="2"/>
      <c r="K532" s="2"/>
      <c r="L532" s="2"/>
      <c r="M532" s="2"/>
    </row>
    <row r="533" spans="1:13" ht="15.6" x14ac:dyDescent="0.3">
      <c r="A533" s="2"/>
      <c r="B533" s="5" t="str">
        <f>IF(COUNTIF(data_val!$E$3:$E$5, sample_log!$E533), sample_log!$C533 &amp; "_" &amp; sample_log!$D533, "")</f>
        <v/>
      </c>
      <c r="C533" s="5" t="str">
        <f>IF(B533="", IF(F533="", "", C532), IF(sample_log!E533="Triennial SASS", "tri_params", "params"))</f>
        <v/>
      </c>
      <c r="D533" s="5" t="str">
        <f>IF(B533="", "", C533 &amp; "!" &amp; CHAR(65+MATCH(B533, params!$B$2:$R$2, 0)))</f>
        <v/>
      </c>
      <c r="E533" s="5" t="str">
        <f ca="1">IF(B533="", "", COUNTA(INDIRECT(D533 &amp; 3):INDIRECT(D533 &amp; 24)))</f>
        <v/>
      </c>
      <c r="F533" s="5" t="str">
        <f t="shared" si="18"/>
        <v/>
      </c>
      <c r="G533" s="5" t="str">
        <f>IF(F533="", "", IF(B533&lt;&gt;"", MATCH(B533, params!$B$2:$R$2, 0), G532))</f>
        <v/>
      </c>
      <c r="H533" s="5" t="str">
        <f t="shared" ca="1" si="17"/>
        <v/>
      </c>
      <c r="I533" s="2"/>
      <c r="J533" s="2"/>
      <c r="K533" s="2"/>
      <c r="L533" s="2"/>
      <c r="M533" s="2"/>
    </row>
    <row r="534" spans="1:13" ht="15.6" x14ac:dyDescent="0.3">
      <c r="A534" s="2"/>
      <c r="B534" s="5" t="str">
        <f>IF(COUNTIF(data_val!$E$3:$E$5, sample_log!$E534), sample_log!$C534 &amp; "_" &amp; sample_log!$D534, "")</f>
        <v/>
      </c>
      <c r="C534" s="5" t="str">
        <f>IF(B534="", IF(F534="", "", C533), IF(sample_log!E534="Triennial SASS", "tri_params", "params"))</f>
        <v/>
      </c>
      <c r="D534" s="5" t="str">
        <f>IF(B534="", "", C534 &amp; "!" &amp; CHAR(65+MATCH(B534, params!$B$2:$R$2, 0)))</f>
        <v/>
      </c>
      <c r="E534" s="5" t="str">
        <f ca="1">IF(B534="", "", COUNTA(INDIRECT(D534 &amp; 3):INDIRECT(D534 &amp; 24)))</f>
        <v/>
      </c>
      <c r="F534" s="5" t="str">
        <f t="shared" si="18"/>
        <v/>
      </c>
      <c r="G534" s="5" t="str">
        <f>IF(F534="", "", IF(B534&lt;&gt;"", MATCH(B534, params!$B$2:$R$2, 0), G533))</f>
        <v/>
      </c>
      <c r="H534" s="5" t="str">
        <f t="shared" ca="1" si="17"/>
        <v/>
      </c>
      <c r="I534" s="2"/>
      <c r="J534" s="2"/>
      <c r="K534" s="2"/>
      <c r="L534" s="2"/>
      <c r="M534" s="2"/>
    </row>
    <row r="535" spans="1:13" ht="15.6" x14ac:dyDescent="0.3">
      <c r="A535" s="2"/>
      <c r="B535" s="5" t="str">
        <f>IF(COUNTIF(data_val!$E$3:$E$5, sample_log!$E535), sample_log!$C535 &amp; "_" &amp; sample_log!$D535, "")</f>
        <v/>
      </c>
      <c r="C535" s="5" t="str">
        <f>IF(B535="", IF(F535="", "", C534), IF(sample_log!E535="Triennial SASS", "tri_params", "params"))</f>
        <v/>
      </c>
      <c r="D535" s="5" t="str">
        <f>IF(B535="", "", C535 &amp; "!" &amp; CHAR(65+MATCH(B535, params!$B$2:$R$2, 0)))</f>
        <v/>
      </c>
      <c r="E535" s="5" t="str">
        <f ca="1">IF(B535="", "", COUNTA(INDIRECT(D535 &amp; 3):INDIRECT(D535 &amp; 24)))</f>
        <v/>
      </c>
      <c r="F535" s="5" t="str">
        <f t="shared" si="18"/>
        <v/>
      </c>
      <c r="G535" s="5" t="str">
        <f>IF(F535="", "", IF(B535&lt;&gt;"", MATCH(B535, params!$B$2:$R$2, 0), G534))</f>
        <v/>
      </c>
      <c r="H535" s="5" t="str">
        <f t="shared" ca="1" si="17"/>
        <v/>
      </c>
      <c r="I535" s="2"/>
      <c r="J535" s="2"/>
      <c r="K535" s="2"/>
      <c r="L535" s="2"/>
      <c r="M535" s="2"/>
    </row>
    <row r="536" spans="1:13" ht="15.6" x14ac:dyDescent="0.3">
      <c r="A536" s="2"/>
      <c r="B536" s="5" t="str">
        <f>IF(COUNTIF(data_val!$E$3:$E$5, sample_log!$E536), sample_log!$C536 &amp; "_" &amp; sample_log!$D536, "")</f>
        <v/>
      </c>
      <c r="C536" s="5" t="str">
        <f>IF(B536="", IF(F536="", "", C535), IF(sample_log!E536="Triennial SASS", "tri_params", "params"))</f>
        <v/>
      </c>
      <c r="D536" s="5" t="str">
        <f>IF(B536="", "", C536 &amp; "!" &amp; CHAR(65+MATCH(B536, params!$B$2:$R$2, 0)))</f>
        <v/>
      </c>
      <c r="E536" s="5" t="str">
        <f ca="1">IF(B536="", "", COUNTA(INDIRECT(D536 &amp; 3):INDIRECT(D536 &amp; 24)))</f>
        <v/>
      </c>
      <c r="F536" s="5" t="str">
        <f t="shared" si="18"/>
        <v/>
      </c>
      <c r="G536" s="5" t="str">
        <f>IF(F536="", "", IF(B536&lt;&gt;"", MATCH(B536, params!$B$2:$R$2, 0), G535))</f>
        <v/>
      </c>
      <c r="H536" s="5" t="str">
        <f t="shared" ca="1" si="17"/>
        <v/>
      </c>
      <c r="I536" s="2"/>
      <c r="J536" s="2"/>
      <c r="K536" s="2"/>
      <c r="L536" s="2"/>
      <c r="M536" s="2"/>
    </row>
    <row r="537" spans="1:13" ht="15.6" x14ac:dyDescent="0.3">
      <c r="A537" s="2"/>
      <c r="B537" s="5" t="str">
        <f>IF(COUNTIF(data_val!$E$3:$E$5, sample_log!$E537), sample_log!$C537 &amp; "_" &amp; sample_log!$D537, "")</f>
        <v/>
      </c>
      <c r="C537" s="5" t="str">
        <f>IF(B537="", IF(F537="", "", C536), IF(sample_log!E537="Triennial SASS", "tri_params", "params"))</f>
        <v/>
      </c>
      <c r="D537" s="5" t="str">
        <f>IF(B537="", "", C537 &amp; "!" &amp; CHAR(65+MATCH(B537, params!$B$2:$R$2, 0)))</f>
        <v/>
      </c>
      <c r="E537" s="5" t="str">
        <f ca="1">IF(B537="", "", COUNTA(INDIRECT(D537 &amp; 3):INDIRECT(D537 &amp; 24)))</f>
        <v/>
      </c>
      <c r="F537" s="5" t="str">
        <f t="shared" si="18"/>
        <v/>
      </c>
      <c r="G537" s="5" t="str">
        <f>IF(F537="", "", IF(B537&lt;&gt;"", MATCH(B537, params!$B$2:$R$2, 0), G536))</f>
        <v/>
      </c>
      <c r="H537" s="5" t="str">
        <f t="shared" ref="H537:H600" ca="1" si="19">IF($F537="", "", INDEX(INDIRECT("'" &amp; C537 &amp; "'!$B$3:$R$24"), $F537, $G537))</f>
        <v/>
      </c>
      <c r="I537" s="2"/>
      <c r="J537" s="2"/>
      <c r="K537" s="2"/>
      <c r="L537" s="2"/>
      <c r="M537" s="2"/>
    </row>
    <row r="538" spans="1:13" ht="15.6" x14ac:dyDescent="0.3">
      <c r="A538" s="2"/>
      <c r="B538" s="5" t="str">
        <f>IF(COUNTIF(data_val!$E$3:$E$5, sample_log!$E538), sample_log!$C538 &amp; "_" &amp; sample_log!$D538, "")</f>
        <v/>
      </c>
      <c r="C538" s="5" t="str">
        <f>IF(B538="", IF(F538="", "", C537), IF(sample_log!E538="Triennial SASS", "tri_params", "params"))</f>
        <v/>
      </c>
      <c r="D538" s="5" t="str">
        <f>IF(B538="", "", C538 &amp; "!" &amp; CHAR(65+MATCH(B538, params!$B$2:$R$2, 0)))</f>
        <v/>
      </c>
      <c r="E538" s="5" t="str">
        <f ca="1">IF(B538="", "", COUNTA(INDIRECT(D538 &amp; 3):INDIRECT(D538 &amp; 24)))</f>
        <v/>
      </c>
      <c r="F538" s="5" t="str">
        <f t="shared" si="18"/>
        <v/>
      </c>
      <c r="G538" s="5" t="str">
        <f>IF(F538="", "", IF(B538&lt;&gt;"", MATCH(B538, params!$B$2:$R$2, 0), G537))</f>
        <v/>
      </c>
      <c r="H538" s="5" t="str">
        <f t="shared" ca="1" si="19"/>
        <v/>
      </c>
      <c r="I538" s="2"/>
      <c r="J538" s="2"/>
      <c r="K538" s="2"/>
      <c r="L538" s="2"/>
      <c r="M538" s="2"/>
    </row>
    <row r="539" spans="1:13" ht="15.6" x14ac:dyDescent="0.3">
      <c r="A539" s="2"/>
      <c r="B539" s="5" t="str">
        <f>IF(COUNTIF(data_val!$E$3:$E$5, sample_log!$E539), sample_log!$C539 &amp; "_" &amp; sample_log!$D539, "")</f>
        <v/>
      </c>
      <c r="C539" s="5" t="str">
        <f>IF(B539="", IF(F539="", "", C538), IF(sample_log!E539="Triennial SASS", "tri_params", "params"))</f>
        <v/>
      </c>
      <c r="D539" s="5" t="str">
        <f>IF(B539="", "", C539 &amp; "!" &amp; CHAR(65+MATCH(B539, params!$B$2:$R$2, 0)))</f>
        <v/>
      </c>
      <c r="E539" s="5" t="str">
        <f ca="1">IF(B539="", "", COUNTA(INDIRECT(D539 &amp; 3):INDIRECT(D539 &amp; 24)))</f>
        <v/>
      </c>
      <c r="F539" s="5" t="str">
        <f t="shared" si="18"/>
        <v/>
      </c>
      <c r="G539" s="5" t="str">
        <f>IF(F539="", "", IF(B539&lt;&gt;"", MATCH(B539, params!$B$2:$R$2, 0), G538))</f>
        <v/>
      </c>
      <c r="H539" s="5" t="str">
        <f t="shared" ca="1" si="19"/>
        <v/>
      </c>
      <c r="I539" s="2"/>
      <c r="J539" s="2"/>
      <c r="K539" s="2"/>
      <c r="L539" s="2"/>
      <c r="M539" s="2"/>
    </row>
    <row r="540" spans="1:13" ht="15.6" x14ac:dyDescent="0.3">
      <c r="A540" s="2"/>
      <c r="B540" s="5" t="str">
        <f>IF(COUNTIF(data_val!$E$3:$E$5, sample_log!$E540), sample_log!$C540 &amp; "_" &amp; sample_log!$D540, "")</f>
        <v/>
      </c>
      <c r="C540" s="5" t="str">
        <f>IF(B540="", IF(F540="", "", C539), IF(sample_log!E540="Triennial SASS", "tri_params", "params"))</f>
        <v/>
      </c>
      <c r="D540" s="5" t="str">
        <f>IF(B540="", "", C540 &amp; "!" &amp; CHAR(65+MATCH(B540, params!$B$2:$R$2, 0)))</f>
        <v/>
      </c>
      <c r="E540" s="5" t="str">
        <f ca="1">IF(B540="", "", COUNTA(INDIRECT(D540 &amp; 3):INDIRECT(D540 &amp; 24)))</f>
        <v/>
      </c>
      <c r="F540" s="5" t="str">
        <f t="shared" si="18"/>
        <v/>
      </c>
      <c r="G540" s="5" t="str">
        <f>IF(F540="", "", IF(B540&lt;&gt;"", MATCH(B540, params!$B$2:$R$2, 0), G539))</f>
        <v/>
      </c>
      <c r="H540" s="5" t="str">
        <f t="shared" ca="1" si="19"/>
        <v/>
      </c>
      <c r="I540" s="2"/>
      <c r="J540" s="2"/>
      <c r="K540" s="2"/>
      <c r="L540" s="2"/>
      <c r="M540" s="2"/>
    </row>
    <row r="541" spans="1:13" ht="15.6" x14ac:dyDescent="0.3">
      <c r="A541" s="2"/>
      <c r="B541" s="5" t="str">
        <f>IF(COUNTIF(data_val!$E$3:$E$5, sample_log!$E541), sample_log!$C541 &amp; "_" &amp; sample_log!$D541, "")</f>
        <v/>
      </c>
      <c r="C541" s="5" t="str">
        <f>IF(B541="", IF(F541="", "", C540), IF(sample_log!E541="Triennial SASS", "tri_params", "params"))</f>
        <v/>
      </c>
      <c r="D541" s="5" t="str">
        <f>IF(B541="", "", C541 &amp; "!" &amp; CHAR(65+MATCH(B541, params!$B$2:$R$2, 0)))</f>
        <v/>
      </c>
      <c r="E541" s="5" t="str">
        <f ca="1">IF(B541="", "", COUNTA(INDIRECT(D541 &amp; 3):INDIRECT(D541 &amp; 24)))</f>
        <v/>
      </c>
      <c r="F541" s="5" t="str">
        <f t="shared" si="18"/>
        <v/>
      </c>
      <c r="G541" s="5" t="str">
        <f>IF(F541="", "", IF(B541&lt;&gt;"", MATCH(B541, params!$B$2:$R$2, 0), G540))</f>
        <v/>
      </c>
      <c r="H541" s="5" t="str">
        <f t="shared" ca="1" si="19"/>
        <v/>
      </c>
      <c r="I541" s="2"/>
      <c r="J541" s="2"/>
      <c r="K541" s="2"/>
      <c r="L541" s="2"/>
      <c r="M541" s="2"/>
    </row>
    <row r="542" spans="1:13" ht="15.6" x14ac:dyDescent="0.3">
      <c r="A542" s="2"/>
      <c r="B542" s="5" t="str">
        <f>IF(COUNTIF(data_val!$E$3:$E$5, sample_log!$E542), sample_log!$C542 &amp; "_" &amp; sample_log!$D542, "")</f>
        <v/>
      </c>
      <c r="C542" s="5" t="str">
        <f>IF(B542="", IF(F542="", "", C541), IF(sample_log!E542="Triennial SASS", "tri_params", "params"))</f>
        <v/>
      </c>
      <c r="D542" s="5" t="str">
        <f>IF(B542="", "", C542 &amp; "!" &amp; CHAR(65+MATCH(B542, params!$B$2:$R$2, 0)))</f>
        <v/>
      </c>
      <c r="E542" s="5" t="str">
        <f ca="1">IF(B542="", "", COUNTA(INDIRECT(D542 &amp; 3):INDIRECT(D542 &amp; 24)))</f>
        <v/>
      </c>
      <c r="F542" s="5" t="str">
        <f t="shared" si="18"/>
        <v/>
      </c>
      <c r="G542" s="5" t="str">
        <f>IF(F542="", "", IF(B542&lt;&gt;"", MATCH(B542, params!$B$2:$R$2, 0), G541))</f>
        <v/>
      </c>
      <c r="H542" s="5" t="str">
        <f t="shared" ca="1" si="19"/>
        <v/>
      </c>
      <c r="I542" s="2"/>
      <c r="J542" s="2"/>
      <c r="K542" s="2"/>
      <c r="L542" s="2"/>
      <c r="M542" s="2"/>
    </row>
    <row r="543" spans="1:13" ht="15.6" x14ac:dyDescent="0.3">
      <c r="A543" s="2"/>
      <c r="B543" s="5" t="str">
        <f>IF(COUNTIF(data_val!$E$3:$E$5, sample_log!$E543), sample_log!$C543 &amp; "_" &amp; sample_log!$D543, "")</f>
        <v/>
      </c>
      <c r="C543" s="5" t="str">
        <f>IF(B543="", IF(F543="", "", C542), IF(sample_log!E543="Triennial SASS", "tri_params", "params"))</f>
        <v/>
      </c>
      <c r="D543" s="5" t="str">
        <f>IF(B543="", "", C543 &amp; "!" &amp; CHAR(65+MATCH(B543, params!$B$2:$R$2, 0)))</f>
        <v/>
      </c>
      <c r="E543" s="5" t="str">
        <f ca="1">IF(B543="", "", COUNTA(INDIRECT(D543 &amp; 3):INDIRECT(D543 &amp; 24)))</f>
        <v/>
      </c>
      <c r="F543" s="5" t="str">
        <f t="shared" si="18"/>
        <v/>
      </c>
      <c r="G543" s="5" t="str">
        <f>IF(F543="", "", IF(B543&lt;&gt;"", MATCH(B543, params!$B$2:$R$2, 0), G542))</f>
        <v/>
      </c>
      <c r="H543" s="5" t="str">
        <f t="shared" ca="1" si="19"/>
        <v/>
      </c>
      <c r="I543" s="2"/>
      <c r="J543" s="2"/>
      <c r="K543" s="2"/>
      <c r="L543" s="2"/>
      <c r="M543" s="2"/>
    </row>
    <row r="544" spans="1:13" ht="15.6" x14ac:dyDescent="0.3">
      <c r="A544" s="2"/>
      <c r="B544" s="5" t="str">
        <f>IF(COUNTIF(data_val!$E$3:$E$5, sample_log!$E544), sample_log!$C544 &amp; "_" &amp; sample_log!$D544, "")</f>
        <v/>
      </c>
      <c r="C544" s="5" t="str">
        <f>IF(B544="", IF(F544="", "", C543), IF(sample_log!E544="Triennial SASS", "tri_params", "params"))</f>
        <v/>
      </c>
      <c r="D544" s="5" t="str">
        <f>IF(B544="", "", C544 &amp; "!" &amp; CHAR(65+MATCH(B544, params!$B$2:$R$2, 0)))</f>
        <v/>
      </c>
      <c r="E544" s="5" t="str">
        <f ca="1">IF(B544="", "", COUNTA(INDIRECT(D544 &amp; 3):INDIRECT(D544 &amp; 24)))</f>
        <v/>
      </c>
      <c r="F544" s="5" t="str">
        <f t="shared" si="18"/>
        <v/>
      </c>
      <c r="G544" s="5" t="str">
        <f>IF(F544="", "", IF(B544&lt;&gt;"", MATCH(B544, params!$B$2:$R$2, 0), G543))</f>
        <v/>
      </c>
      <c r="H544" s="5" t="str">
        <f t="shared" ca="1" si="19"/>
        <v/>
      </c>
      <c r="I544" s="2"/>
      <c r="J544" s="2"/>
      <c r="K544" s="2"/>
      <c r="L544" s="2"/>
      <c r="M544" s="2"/>
    </row>
    <row r="545" spans="1:13" ht="15.6" x14ac:dyDescent="0.3">
      <c r="A545" s="2"/>
      <c r="B545" s="5" t="str">
        <f>IF(COUNTIF(data_val!$E$3:$E$5, sample_log!$E545), sample_log!$C545 &amp; "_" &amp; sample_log!$D545, "")</f>
        <v/>
      </c>
      <c r="C545" s="5" t="str">
        <f>IF(B545="", IF(F545="", "", C544), IF(sample_log!E545="Triennial SASS", "tri_params", "params"))</f>
        <v/>
      </c>
      <c r="D545" s="5" t="str">
        <f>IF(B545="", "", C545 &amp; "!" &amp; CHAR(65+MATCH(B545, params!$B$2:$R$2, 0)))</f>
        <v/>
      </c>
      <c r="E545" s="5" t="str">
        <f ca="1">IF(B545="", "", COUNTA(INDIRECT(D545 &amp; 3):INDIRECT(D545 &amp; 24)))</f>
        <v/>
      </c>
      <c r="F545" s="5" t="str">
        <f t="shared" si="18"/>
        <v/>
      </c>
      <c r="G545" s="5" t="str">
        <f>IF(F545="", "", IF(B545&lt;&gt;"", MATCH(B545, params!$B$2:$R$2, 0), G544))</f>
        <v/>
      </c>
      <c r="H545" s="5" t="str">
        <f t="shared" ca="1" si="19"/>
        <v/>
      </c>
      <c r="I545" s="2"/>
      <c r="J545" s="2"/>
      <c r="K545" s="2"/>
      <c r="L545" s="2"/>
      <c r="M545" s="2"/>
    </row>
    <row r="546" spans="1:13" ht="15.6" x14ac:dyDescent="0.3">
      <c r="A546" s="2"/>
      <c r="B546" s="5" t="str">
        <f>IF(COUNTIF(data_val!$E$3:$E$5, sample_log!$E546), sample_log!$C546 &amp; "_" &amp; sample_log!$D546, "")</f>
        <v/>
      </c>
      <c r="C546" s="5" t="str">
        <f>IF(B546="", IF(F546="", "", C545), IF(sample_log!E546="Triennial SASS", "tri_params", "params"))</f>
        <v/>
      </c>
      <c r="D546" s="5" t="str">
        <f>IF(B546="", "", C546 &amp; "!" &amp; CHAR(65+MATCH(B546, params!$B$2:$R$2, 0)))</f>
        <v/>
      </c>
      <c r="E546" s="5" t="str">
        <f ca="1">IF(B546="", "", COUNTA(INDIRECT(D546 &amp; 3):INDIRECT(D546 &amp; 24)))</f>
        <v/>
      </c>
      <c r="F546" s="5" t="str">
        <f t="shared" si="18"/>
        <v/>
      </c>
      <c r="G546" s="5" t="str">
        <f>IF(F546="", "", IF(B546&lt;&gt;"", MATCH(B546, params!$B$2:$R$2, 0), G545))</f>
        <v/>
      </c>
      <c r="H546" s="5" t="str">
        <f t="shared" ca="1" si="19"/>
        <v/>
      </c>
      <c r="I546" s="2"/>
      <c r="J546" s="2"/>
      <c r="K546" s="2"/>
      <c r="L546" s="2"/>
      <c r="M546" s="2"/>
    </row>
    <row r="547" spans="1:13" ht="15.6" x14ac:dyDescent="0.3">
      <c r="A547" s="2"/>
      <c r="B547" s="5" t="str">
        <f>IF(COUNTIF(data_val!$E$3:$E$5, sample_log!$E547), sample_log!$C547 &amp; "_" &amp; sample_log!$D547, "")</f>
        <v/>
      </c>
      <c r="C547" s="5" t="str">
        <f>IF(B547="", IF(F547="", "", C546), IF(sample_log!E547="Triennial SASS", "tri_params", "params"))</f>
        <v/>
      </c>
      <c r="D547" s="5" t="str">
        <f>IF(B547="", "", C547 &amp; "!" &amp; CHAR(65+MATCH(B547, params!$B$2:$R$2, 0)))</f>
        <v/>
      </c>
      <c r="E547" s="5" t="str">
        <f ca="1">IF(B547="", "", COUNTA(INDIRECT(D547 &amp; 3):INDIRECT(D547 &amp; 24)))</f>
        <v/>
      </c>
      <c r="F547" s="5" t="str">
        <f t="shared" si="18"/>
        <v/>
      </c>
      <c r="G547" s="5" t="str">
        <f>IF(F547="", "", IF(B547&lt;&gt;"", MATCH(B547, params!$B$2:$R$2, 0), G546))</f>
        <v/>
      </c>
      <c r="H547" s="5" t="str">
        <f t="shared" ca="1" si="19"/>
        <v/>
      </c>
      <c r="I547" s="2"/>
      <c r="J547" s="2"/>
      <c r="K547" s="2"/>
      <c r="L547" s="2"/>
      <c r="M547" s="2"/>
    </row>
    <row r="548" spans="1:13" ht="15.6" x14ac:dyDescent="0.3">
      <c r="A548" s="2"/>
      <c r="B548" s="5" t="str">
        <f>IF(COUNTIF(data_val!$E$3:$E$5, sample_log!$E548), sample_log!$C548 &amp; "_" &amp; sample_log!$D548, "")</f>
        <v/>
      </c>
      <c r="C548" s="5" t="str">
        <f>IF(B548="", IF(F548="", "", C547), IF(sample_log!E548="Triennial SASS", "tri_params", "params"))</f>
        <v/>
      </c>
      <c r="D548" s="5" t="str">
        <f>IF(B548="", "", C548 &amp; "!" &amp; CHAR(65+MATCH(B548, params!$B$2:$R$2, 0)))</f>
        <v/>
      </c>
      <c r="E548" s="5" t="str">
        <f ca="1">IF(B548="", "", COUNTA(INDIRECT(D548 &amp; 3):INDIRECT(D548 &amp; 24)))</f>
        <v/>
      </c>
      <c r="F548" s="5" t="str">
        <f t="shared" si="18"/>
        <v/>
      </c>
      <c r="G548" s="5" t="str">
        <f>IF(F548="", "", IF(B548&lt;&gt;"", MATCH(B548, params!$B$2:$R$2, 0), G547))</f>
        <v/>
      </c>
      <c r="H548" s="5" t="str">
        <f t="shared" ca="1" si="19"/>
        <v/>
      </c>
      <c r="I548" s="2"/>
      <c r="J548" s="2"/>
      <c r="K548" s="2"/>
      <c r="L548" s="2"/>
      <c r="M548" s="2"/>
    </row>
    <row r="549" spans="1:13" ht="15.6" x14ac:dyDescent="0.3">
      <c r="A549" s="2"/>
      <c r="B549" s="5" t="str">
        <f>IF(COUNTIF(data_val!$E$3:$E$5, sample_log!$E549), sample_log!$C549 &amp; "_" &amp; sample_log!$D549, "")</f>
        <v/>
      </c>
      <c r="C549" s="5" t="str">
        <f>IF(B549="", IF(F549="", "", C548), IF(sample_log!E549="Triennial SASS", "tri_params", "params"))</f>
        <v/>
      </c>
      <c r="D549" s="5" t="str">
        <f>IF(B549="", "", C549 &amp; "!" &amp; CHAR(65+MATCH(B549, params!$B$2:$R$2, 0)))</f>
        <v/>
      </c>
      <c r="E549" s="5" t="str">
        <f ca="1">IF(B549="", "", COUNTA(INDIRECT(D549 &amp; 3):INDIRECT(D549 &amp; 24)))</f>
        <v/>
      </c>
      <c r="F549" s="5" t="str">
        <f t="shared" si="18"/>
        <v/>
      </c>
      <c r="G549" s="5" t="str">
        <f>IF(F549="", "", IF(B549&lt;&gt;"", MATCH(B549, params!$B$2:$R$2, 0), G548))</f>
        <v/>
      </c>
      <c r="H549" s="5" t="str">
        <f t="shared" ca="1" si="19"/>
        <v/>
      </c>
      <c r="I549" s="2"/>
      <c r="J549" s="2"/>
      <c r="K549" s="2"/>
      <c r="L549" s="2"/>
      <c r="M549" s="2"/>
    </row>
    <row r="550" spans="1:13" ht="15.6" x14ac:dyDescent="0.3">
      <c r="A550" s="2"/>
      <c r="B550" s="5" t="str">
        <f>IF(COUNTIF(data_val!$E$3:$E$5, sample_log!$E550), sample_log!$C550 &amp; "_" &amp; sample_log!$D550, "")</f>
        <v/>
      </c>
      <c r="C550" s="5" t="str">
        <f>IF(B550="", IF(F550="", "", C549), IF(sample_log!E550="Triennial SASS", "tri_params", "params"))</f>
        <v/>
      </c>
      <c r="D550" s="5" t="str">
        <f>IF(B550="", "", C550 &amp; "!" &amp; CHAR(65+MATCH(B550, params!$B$2:$R$2, 0)))</f>
        <v/>
      </c>
      <c r="E550" s="5" t="str">
        <f ca="1">IF(B550="", "", COUNTA(INDIRECT(D550 &amp; 3):INDIRECT(D550 &amp; 24)))</f>
        <v/>
      </c>
      <c r="F550" s="5" t="str">
        <f t="shared" si="18"/>
        <v/>
      </c>
      <c r="G550" s="5" t="str">
        <f>IF(F550="", "", IF(B550&lt;&gt;"", MATCH(B550, params!$B$2:$R$2, 0), G549))</f>
        <v/>
      </c>
      <c r="H550" s="5" t="str">
        <f t="shared" ca="1" si="19"/>
        <v/>
      </c>
      <c r="I550" s="2"/>
      <c r="J550" s="2"/>
      <c r="K550" s="2"/>
      <c r="L550" s="2"/>
      <c r="M550" s="2"/>
    </row>
    <row r="551" spans="1:13" ht="15.6" x14ac:dyDescent="0.3">
      <c r="A551" s="2"/>
      <c r="B551" s="5" t="str">
        <f>IF(COUNTIF(data_val!$E$3:$E$5, sample_log!$E551), sample_log!$C551 &amp; "_" &amp; sample_log!$D551, "")</f>
        <v/>
      </c>
      <c r="C551" s="5" t="str">
        <f>IF(B551="", IF(F551="", "", C550), IF(sample_log!E551="Triennial SASS", "tri_params", "params"))</f>
        <v/>
      </c>
      <c r="D551" s="5" t="str">
        <f>IF(B551="", "", C551 &amp; "!" &amp; CHAR(65+MATCH(B551, params!$B$2:$R$2, 0)))</f>
        <v/>
      </c>
      <c r="E551" s="5" t="str">
        <f ca="1">IF(B551="", "", COUNTA(INDIRECT(D551 &amp; 3):INDIRECT(D551 &amp; 24)))</f>
        <v/>
      </c>
      <c r="F551" s="5" t="str">
        <f t="shared" si="18"/>
        <v/>
      </c>
      <c r="G551" s="5" t="str">
        <f>IF(F551="", "", IF(B551&lt;&gt;"", MATCH(B551, params!$B$2:$R$2, 0), G550))</f>
        <v/>
      </c>
      <c r="H551" s="5" t="str">
        <f t="shared" ca="1" si="19"/>
        <v/>
      </c>
      <c r="I551" s="2"/>
      <c r="J551" s="2"/>
      <c r="K551" s="2"/>
      <c r="L551" s="2"/>
      <c r="M551" s="2"/>
    </row>
    <row r="552" spans="1:13" ht="15.6" x14ac:dyDescent="0.3">
      <c r="A552" s="2"/>
      <c r="B552" s="5" t="str">
        <f>IF(COUNTIF(data_val!$E$3:$E$5, sample_log!$E552), sample_log!$C552 &amp; "_" &amp; sample_log!$D552, "")</f>
        <v/>
      </c>
      <c r="C552" s="5" t="str">
        <f>IF(B552="", IF(F552="", "", C551), IF(sample_log!E552="Triennial SASS", "tri_params", "params"))</f>
        <v/>
      </c>
      <c r="D552" s="5" t="str">
        <f>IF(B552="", "", C552 &amp; "!" &amp; CHAR(65+MATCH(B552, params!$B$2:$R$2, 0)))</f>
        <v/>
      </c>
      <c r="E552" s="5" t="str">
        <f ca="1">IF(B552="", "", COUNTA(INDIRECT(D552 &amp; 3):INDIRECT(D552 &amp; 24)))</f>
        <v/>
      </c>
      <c r="F552" s="5" t="str">
        <f t="shared" si="18"/>
        <v/>
      </c>
      <c r="G552" s="5" t="str">
        <f>IF(F552="", "", IF(B552&lt;&gt;"", MATCH(B552, params!$B$2:$R$2, 0), G551))</f>
        <v/>
      </c>
      <c r="H552" s="5" t="str">
        <f t="shared" ca="1" si="19"/>
        <v/>
      </c>
      <c r="I552" s="2"/>
      <c r="J552" s="2"/>
      <c r="K552" s="2"/>
      <c r="L552" s="2"/>
      <c r="M552" s="2"/>
    </row>
    <row r="553" spans="1:13" ht="15.6" x14ac:dyDescent="0.3">
      <c r="A553" s="2"/>
      <c r="B553" s="5" t="str">
        <f>IF(COUNTIF(data_val!$E$3:$E$5, sample_log!$E553), sample_log!$C553 &amp; "_" &amp; sample_log!$D553, "")</f>
        <v/>
      </c>
      <c r="C553" s="5" t="str">
        <f>IF(B553="", IF(F553="", "", C552), IF(sample_log!E553="Triennial SASS", "tri_params", "params"))</f>
        <v/>
      </c>
      <c r="D553" s="5" t="str">
        <f>IF(B553="", "", C553 &amp; "!" &amp; CHAR(65+MATCH(B553, params!$B$2:$R$2, 0)))</f>
        <v/>
      </c>
      <c r="E553" s="5" t="str">
        <f ca="1">IF(B553="", "", COUNTA(INDIRECT(D553 &amp; 3):INDIRECT(D553 &amp; 24)))</f>
        <v/>
      </c>
      <c r="F553" s="5" t="str">
        <f t="shared" si="18"/>
        <v/>
      </c>
      <c r="G553" s="5" t="str">
        <f>IF(F553="", "", IF(B553&lt;&gt;"", MATCH(B553, params!$B$2:$R$2, 0), G552))</f>
        <v/>
      </c>
      <c r="H553" s="5" t="str">
        <f t="shared" ca="1" si="19"/>
        <v/>
      </c>
      <c r="I553" s="2"/>
      <c r="J553" s="2"/>
      <c r="K553" s="2"/>
      <c r="L553" s="2"/>
      <c r="M553" s="2"/>
    </row>
    <row r="554" spans="1:13" ht="15.6" x14ac:dyDescent="0.3">
      <c r="A554" s="2"/>
      <c r="B554" s="5" t="str">
        <f>IF(COUNTIF(data_val!$E$3:$E$5, sample_log!$E554), sample_log!$C554 &amp; "_" &amp; sample_log!$D554, "")</f>
        <v/>
      </c>
      <c r="C554" s="5" t="str">
        <f>IF(B554="", IF(F554="", "", C553), IF(sample_log!E554="Triennial SASS", "tri_params", "params"))</f>
        <v/>
      </c>
      <c r="D554" s="5" t="str">
        <f>IF(B554="", "", C554 &amp; "!" &amp; CHAR(65+MATCH(B554, params!$B$2:$R$2, 0)))</f>
        <v/>
      </c>
      <c r="E554" s="5" t="str">
        <f ca="1">IF(B554="", "", COUNTA(INDIRECT(D554 &amp; 3):INDIRECT(D554 &amp; 24)))</f>
        <v/>
      </c>
      <c r="F554" s="5" t="str">
        <f t="shared" si="18"/>
        <v/>
      </c>
      <c r="G554" s="5" t="str">
        <f>IF(F554="", "", IF(B554&lt;&gt;"", MATCH(B554, params!$B$2:$R$2, 0), G553))</f>
        <v/>
      </c>
      <c r="H554" s="5" t="str">
        <f t="shared" ca="1" si="19"/>
        <v/>
      </c>
      <c r="I554" s="2"/>
      <c r="J554" s="2"/>
      <c r="K554" s="2"/>
      <c r="L554" s="2"/>
      <c r="M554" s="2"/>
    </row>
    <row r="555" spans="1:13" ht="15.6" x14ac:dyDescent="0.3">
      <c r="A555" s="2"/>
      <c r="B555" s="5" t="str">
        <f>IF(COUNTIF(data_val!$E$3:$E$5, sample_log!$E555), sample_log!$C555 &amp; "_" &amp; sample_log!$D555, "")</f>
        <v/>
      </c>
      <c r="C555" s="5" t="str">
        <f>IF(B555="", IF(F555="", "", C554), IF(sample_log!E555="Triennial SASS", "tri_params", "params"))</f>
        <v/>
      </c>
      <c r="D555" s="5" t="str">
        <f>IF(B555="", "", C555 &amp; "!" &amp; CHAR(65+MATCH(B555, params!$B$2:$R$2, 0)))</f>
        <v/>
      </c>
      <c r="E555" s="5" t="str">
        <f ca="1">IF(B555="", "", COUNTA(INDIRECT(D555 &amp; 3):INDIRECT(D555 &amp; 24)))</f>
        <v/>
      </c>
      <c r="F555" s="5" t="str">
        <f t="shared" si="18"/>
        <v/>
      </c>
      <c r="G555" s="5" t="str">
        <f>IF(F555="", "", IF(B555&lt;&gt;"", MATCH(B555, params!$B$2:$R$2, 0), G554))</f>
        <v/>
      </c>
      <c r="H555" s="5" t="str">
        <f t="shared" ca="1" si="19"/>
        <v/>
      </c>
      <c r="I555" s="2"/>
      <c r="J555" s="2"/>
      <c r="K555" s="2"/>
      <c r="L555" s="2"/>
      <c r="M555" s="2"/>
    </row>
    <row r="556" spans="1:13" ht="15.6" x14ac:dyDescent="0.3">
      <c r="A556" s="2"/>
      <c r="B556" s="5" t="str">
        <f>IF(COUNTIF(data_val!$E$3:$E$5, sample_log!$E556), sample_log!$C556 &amp; "_" &amp; sample_log!$D556, "")</f>
        <v/>
      </c>
      <c r="C556" s="5" t="str">
        <f>IF(B556="", IF(F556="", "", C555), IF(sample_log!E556="Triennial SASS", "tri_params", "params"))</f>
        <v/>
      </c>
      <c r="D556" s="5" t="str">
        <f>IF(B556="", "", C556 &amp; "!" &amp; CHAR(65+MATCH(B556, params!$B$2:$R$2, 0)))</f>
        <v/>
      </c>
      <c r="E556" s="5" t="str">
        <f ca="1">IF(B556="", "", COUNTA(INDIRECT(D556 &amp; 3):INDIRECT(D556 &amp; 24)))</f>
        <v/>
      </c>
      <c r="F556" s="5" t="str">
        <f t="shared" si="18"/>
        <v/>
      </c>
      <c r="G556" s="5" t="str">
        <f>IF(F556="", "", IF(B556&lt;&gt;"", MATCH(B556, params!$B$2:$R$2, 0), G555))</f>
        <v/>
      </c>
      <c r="H556" s="5" t="str">
        <f t="shared" ca="1" si="19"/>
        <v/>
      </c>
      <c r="I556" s="2"/>
      <c r="J556" s="2"/>
      <c r="K556" s="2"/>
      <c r="L556" s="2"/>
      <c r="M556" s="2"/>
    </row>
    <row r="557" spans="1:13" ht="15.6" x14ac:dyDescent="0.3">
      <c r="A557" s="2"/>
      <c r="B557" s="5" t="str">
        <f>IF(COUNTIF(data_val!$E$3:$E$5, sample_log!$E557), sample_log!$C557 &amp; "_" &amp; sample_log!$D557, "")</f>
        <v/>
      </c>
      <c r="C557" s="5" t="str">
        <f>IF(B557="", IF(F557="", "", C556), IF(sample_log!E557="Triennial SASS", "tri_params", "params"))</f>
        <v/>
      </c>
      <c r="D557" s="5" t="str">
        <f>IF(B557="", "", C557 &amp; "!" &amp; CHAR(65+MATCH(B557, params!$B$2:$R$2, 0)))</f>
        <v/>
      </c>
      <c r="E557" s="5" t="str">
        <f ca="1">IF(B557="", "", COUNTA(INDIRECT(D557 &amp; 3):INDIRECT(D557 &amp; 24)))</f>
        <v/>
      </c>
      <c r="F557" s="5" t="str">
        <f t="shared" si="18"/>
        <v/>
      </c>
      <c r="G557" s="5" t="str">
        <f>IF(F557="", "", IF(B557&lt;&gt;"", MATCH(B557, params!$B$2:$R$2, 0), G556))</f>
        <v/>
      </c>
      <c r="H557" s="5" t="str">
        <f t="shared" ca="1" si="19"/>
        <v/>
      </c>
      <c r="I557" s="2"/>
      <c r="J557" s="2"/>
      <c r="K557" s="2"/>
      <c r="L557" s="2"/>
      <c r="M557" s="2"/>
    </row>
    <row r="558" spans="1:13" ht="15.6" x14ac:dyDescent="0.3">
      <c r="A558" s="2"/>
      <c r="B558" s="5" t="str">
        <f>IF(COUNTIF(data_val!$E$3:$E$5, sample_log!$E558), sample_log!$C558 &amp; "_" &amp; sample_log!$D558, "")</f>
        <v/>
      </c>
      <c r="C558" s="5" t="str">
        <f>IF(B558="", IF(F558="", "", C557), IF(sample_log!E558="Triennial SASS", "tri_params", "params"))</f>
        <v/>
      </c>
      <c r="D558" s="5" t="str">
        <f>IF(B558="", "", C558 &amp; "!" &amp; CHAR(65+MATCH(B558, params!$B$2:$R$2, 0)))</f>
        <v/>
      </c>
      <c r="E558" s="5" t="str">
        <f ca="1">IF(B558="", "", COUNTA(INDIRECT(D558 &amp; 3):INDIRECT(D558 &amp; 24)))</f>
        <v/>
      </c>
      <c r="F558" s="5" t="str">
        <f t="shared" si="18"/>
        <v/>
      </c>
      <c r="G558" s="5" t="str">
        <f>IF(F558="", "", IF(B558&lt;&gt;"", MATCH(B558, params!$B$2:$R$2, 0), G557))</f>
        <v/>
      </c>
      <c r="H558" s="5" t="str">
        <f t="shared" ca="1" si="19"/>
        <v/>
      </c>
      <c r="I558" s="2"/>
      <c r="J558" s="2"/>
      <c r="K558" s="2"/>
      <c r="L558" s="2"/>
      <c r="M558" s="2"/>
    </row>
    <row r="559" spans="1:13" ht="15.6" x14ac:dyDescent="0.3">
      <c r="A559" s="2"/>
      <c r="B559" s="5" t="str">
        <f>IF(COUNTIF(data_val!$E$3:$E$5, sample_log!$E559), sample_log!$C559 &amp; "_" &amp; sample_log!$D559, "")</f>
        <v/>
      </c>
      <c r="C559" s="5" t="str">
        <f>IF(B559="", IF(F559="", "", C558), IF(sample_log!E559="Triennial SASS", "tri_params", "params"))</f>
        <v/>
      </c>
      <c r="D559" s="5" t="str">
        <f>IF(B559="", "", C559 &amp; "!" &amp; CHAR(65+MATCH(B559, params!$B$2:$R$2, 0)))</f>
        <v/>
      </c>
      <c r="E559" s="5" t="str">
        <f ca="1">IF(B559="", "", COUNTA(INDIRECT(D559 &amp; 3):INDIRECT(D559 &amp; 24)))</f>
        <v/>
      </c>
      <c r="F559" s="5" t="str">
        <f t="shared" si="18"/>
        <v/>
      </c>
      <c r="G559" s="5" t="str">
        <f>IF(F559="", "", IF(B559&lt;&gt;"", MATCH(B559, params!$B$2:$R$2, 0), G558))</f>
        <v/>
      </c>
      <c r="H559" s="5" t="str">
        <f t="shared" ca="1" si="19"/>
        <v/>
      </c>
      <c r="I559" s="2"/>
      <c r="J559" s="2"/>
      <c r="K559" s="2"/>
      <c r="L559" s="2"/>
      <c r="M559" s="2"/>
    </row>
    <row r="560" spans="1:13" ht="15.6" x14ac:dyDescent="0.3">
      <c r="A560" s="2"/>
      <c r="B560" s="5" t="str">
        <f>IF(COUNTIF(data_val!$E$3:$E$5, sample_log!$E560), sample_log!$C560 &amp; "_" &amp; sample_log!$D560, "")</f>
        <v/>
      </c>
      <c r="C560" s="5" t="str">
        <f>IF(B560="", IF(F560="", "", C559), IF(sample_log!E560="Triennial SASS", "tri_params", "params"))</f>
        <v/>
      </c>
      <c r="D560" s="5" t="str">
        <f>IF(B560="", "", C560 &amp; "!" &amp; CHAR(65+MATCH(B560, params!$B$2:$R$2, 0)))</f>
        <v/>
      </c>
      <c r="E560" s="5" t="str">
        <f ca="1">IF(B560="", "", COUNTA(INDIRECT(D560 &amp; 3):INDIRECT(D560 &amp; 24)))</f>
        <v/>
      </c>
      <c r="F560" s="5" t="str">
        <f t="shared" si="18"/>
        <v/>
      </c>
      <c r="G560" s="5" t="str">
        <f>IF(F560="", "", IF(B560&lt;&gt;"", MATCH(B560, params!$B$2:$R$2, 0), G559))</f>
        <v/>
      </c>
      <c r="H560" s="5" t="str">
        <f t="shared" ca="1" si="19"/>
        <v/>
      </c>
      <c r="I560" s="2"/>
      <c r="J560" s="2"/>
      <c r="K560" s="2"/>
      <c r="L560" s="2"/>
      <c r="M560" s="2"/>
    </row>
    <row r="561" spans="1:13" ht="15.6" x14ac:dyDescent="0.3">
      <c r="A561" s="2"/>
      <c r="B561" s="5" t="str">
        <f>IF(COUNTIF(data_val!$E$3:$E$5, sample_log!$E561), sample_log!$C561 &amp; "_" &amp; sample_log!$D561, "")</f>
        <v/>
      </c>
      <c r="C561" s="5" t="str">
        <f>IF(B561="", IF(F561="", "", C560), IF(sample_log!E561="Triennial SASS", "tri_params", "params"))</f>
        <v/>
      </c>
      <c r="D561" s="5" t="str">
        <f>IF(B561="", "", C561 &amp; "!" &amp; CHAR(65+MATCH(B561, params!$B$2:$R$2, 0)))</f>
        <v/>
      </c>
      <c r="E561" s="5" t="str">
        <f ca="1">IF(B561="", "", COUNTA(INDIRECT(D561 &amp; 3):INDIRECT(D561 &amp; 24)))</f>
        <v/>
      </c>
      <c r="F561" s="5" t="str">
        <f t="shared" si="18"/>
        <v/>
      </c>
      <c r="G561" s="5" t="str">
        <f>IF(F561="", "", IF(B561&lt;&gt;"", MATCH(B561, params!$B$2:$R$2, 0), G560))</f>
        <v/>
      </c>
      <c r="H561" s="5" t="str">
        <f t="shared" ca="1" si="19"/>
        <v/>
      </c>
      <c r="I561" s="2"/>
      <c r="J561" s="2"/>
      <c r="K561" s="2"/>
      <c r="L561" s="2"/>
      <c r="M561" s="2"/>
    </row>
    <row r="562" spans="1:13" ht="15.6" x14ac:dyDescent="0.3">
      <c r="A562" s="2"/>
      <c r="B562" s="5" t="str">
        <f>IF(COUNTIF(data_val!$E$3:$E$5, sample_log!$E562), sample_log!$C562 &amp; "_" &amp; sample_log!$D562, "")</f>
        <v/>
      </c>
      <c r="C562" s="5" t="str">
        <f>IF(B562="", IF(F562="", "", C561), IF(sample_log!E562="Triennial SASS", "tri_params", "params"))</f>
        <v/>
      </c>
      <c r="D562" s="5" t="str">
        <f>IF(B562="", "", C562 &amp; "!" &amp; CHAR(65+MATCH(B562, params!$B$2:$R$2, 0)))</f>
        <v/>
      </c>
      <c r="E562" s="5" t="str">
        <f ca="1">IF(B562="", "", COUNTA(INDIRECT(D562 &amp; 3):INDIRECT(D562 &amp; 24)))</f>
        <v/>
      </c>
      <c r="F562" s="5" t="str">
        <f t="shared" si="18"/>
        <v/>
      </c>
      <c r="G562" s="5" t="str">
        <f>IF(F562="", "", IF(B562&lt;&gt;"", MATCH(B562, params!$B$2:$R$2, 0), G561))</f>
        <v/>
      </c>
      <c r="H562" s="5" t="str">
        <f t="shared" ca="1" si="19"/>
        <v/>
      </c>
      <c r="I562" s="2"/>
      <c r="J562" s="2"/>
      <c r="K562" s="2"/>
      <c r="L562" s="2"/>
      <c r="M562" s="2"/>
    </row>
    <row r="563" spans="1:13" ht="15.6" x14ac:dyDescent="0.3">
      <c r="A563" s="2"/>
      <c r="B563" s="5" t="str">
        <f>IF(COUNTIF(data_val!$E$3:$E$5, sample_log!$E563), sample_log!$C563 &amp; "_" &amp; sample_log!$D563, "")</f>
        <v/>
      </c>
      <c r="C563" s="5" t="str">
        <f>IF(B563="", IF(F563="", "", C562), IF(sample_log!E563="Triennial SASS", "tri_params", "params"))</f>
        <v/>
      </c>
      <c r="D563" s="5" t="str">
        <f>IF(B563="", "", C563 &amp; "!" &amp; CHAR(65+MATCH(B563, params!$B$2:$R$2, 0)))</f>
        <v/>
      </c>
      <c r="E563" s="5" t="str">
        <f ca="1">IF(B563="", "", COUNTA(INDIRECT(D563 &amp; 3):INDIRECT(D563 &amp; 24)))</f>
        <v/>
      </c>
      <c r="F563" s="5" t="str">
        <f t="shared" si="18"/>
        <v/>
      </c>
      <c r="G563" s="5" t="str">
        <f>IF(F563="", "", IF(B563&lt;&gt;"", MATCH(B563, params!$B$2:$R$2, 0), G562))</f>
        <v/>
      </c>
      <c r="H563" s="5" t="str">
        <f t="shared" ca="1" si="19"/>
        <v/>
      </c>
      <c r="I563" s="2"/>
      <c r="J563" s="2"/>
      <c r="K563" s="2"/>
      <c r="L563" s="2"/>
      <c r="M563" s="2"/>
    </row>
    <row r="564" spans="1:13" ht="15.6" x14ac:dyDescent="0.3">
      <c r="A564" s="2"/>
      <c r="B564" s="5" t="str">
        <f>IF(COUNTIF(data_val!$E$3:$E$5, sample_log!$E564), sample_log!$C564 &amp; "_" &amp; sample_log!$D564, "")</f>
        <v/>
      </c>
      <c r="C564" s="5" t="str">
        <f>IF(B564="", IF(F564="", "", C563), IF(sample_log!E564="Triennial SASS", "tri_params", "params"))</f>
        <v/>
      </c>
      <c r="D564" s="5" t="str">
        <f>IF(B564="", "", C564 &amp; "!" &amp; CHAR(65+MATCH(B564, params!$B$2:$R$2, 0)))</f>
        <v/>
      </c>
      <c r="E564" s="5" t="str">
        <f ca="1">IF(B564="", "", COUNTA(INDIRECT(D564 &amp; 3):INDIRECT(D564 &amp; 24)))</f>
        <v/>
      </c>
      <c r="F564" s="5" t="str">
        <f t="shared" si="18"/>
        <v/>
      </c>
      <c r="G564" s="5" t="str">
        <f>IF(F564="", "", IF(B564&lt;&gt;"", MATCH(B564, params!$B$2:$R$2, 0), G563))</f>
        <v/>
      </c>
      <c r="H564" s="5" t="str">
        <f t="shared" ca="1" si="19"/>
        <v/>
      </c>
      <c r="I564" s="2"/>
      <c r="J564" s="2"/>
      <c r="K564" s="2"/>
      <c r="L564" s="2"/>
      <c r="M564" s="2"/>
    </row>
    <row r="565" spans="1:13" ht="15.6" x14ac:dyDescent="0.3">
      <c r="A565" s="2"/>
      <c r="B565" s="5" t="str">
        <f>IF(COUNTIF(data_val!$E$3:$E$5, sample_log!$E565), sample_log!$C565 &amp; "_" &amp; sample_log!$D565, "")</f>
        <v/>
      </c>
      <c r="C565" s="5" t="str">
        <f>IF(B565="", IF(F565="", "", C564), IF(sample_log!E565="Triennial SASS", "tri_params", "params"))</f>
        <v/>
      </c>
      <c r="D565" s="5" t="str">
        <f>IF(B565="", "", C565 &amp; "!" &amp; CHAR(65+MATCH(B565, params!$B$2:$R$2, 0)))</f>
        <v/>
      </c>
      <c r="E565" s="5" t="str">
        <f ca="1">IF(B565="", "", COUNTA(INDIRECT(D565 &amp; 3):INDIRECT(D565 &amp; 24)))</f>
        <v/>
      </c>
      <c r="F565" s="5" t="str">
        <f t="shared" si="18"/>
        <v/>
      </c>
      <c r="G565" s="5" t="str">
        <f>IF(F565="", "", IF(B565&lt;&gt;"", MATCH(B565, params!$B$2:$R$2, 0), G564))</f>
        <v/>
      </c>
      <c r="H565" s="5" t="str">
        <f t="shared" ca="1" si="19"/>
        <v/>
      </c>
      <c r="I565" s="2"/>
      <c r="J565" s="2"/>
      <c r="K565" s="2"/>
      <c r="L565" s="2"/>
      <c r="M565" s="2"/>
    </row>
    <row r="566" spans="1:13" ht="15.6" x14ac:dyDescent="0.3">
      <c r="A566" s="2"/>
      <c r="B566" s="5" t="str">
        <f>IF(COUNTIF(data_val!$E$3:$E$5, sample_log!$E566), sample_log!$C566 &amp; "_" &amp; sample_log!$D566, "")</f>
        <v/>
      </c>
      <c r="C566" s="5" t="str">
        <f>IF(B566="", IF(F566="", "", C565), IF(sample_log!E566="Triennial SASS", "tri_params", "params"))</f>
        <v/>
      </c>
      <c r="D566" s="5" t="str">
        <f>IF(B566="", "", C566 &amp; "!" &amp; CHAR(65+MATCH(B566, params!$B$2:$R$2, 0)))</f>
        <v/>
      </c>
      <c r="E566" s="5" t="str">
        <f ca="1">IF(B566="", "", COUNTA(INDIRECT(D566 &amp; 3):INDIRECT(D566 &amp; 24)))</f>
        <v/>
      </c>
      <c r="F566" s="5" t="str">
        <f t="shared" si="18"/>
        <v/>
      </c>
      <c r="G566" s="5" t="str">
        <f>IF(F566="", "", IF(B566&lt;&gt;"", MATCH(B566, params!$B$2:$R$2, 0), G565))</f>
        <v/>
      </c>
      <c r="H566" s="5" t="str">
        <f t="shared" ca="1" si="19"/>
        <v/>
      </c>
      <c r="I566" s="2"/>
      <c r="J566" s="2"/>
      <c r="K566" s="2"/>
      <c r="L566" s="2"/>
      <c r="M566" s="2"/>
    </row>
    <row r="567" spans="1:13" ht="15.6" x14ac:dyDescent="0.3">
      <c r="A567" s="2"/>
      <c r="B567" s="5" t="str">
        <f>IF(COUNTIF(data_val!$E$3:$E$5, sample_log!$E567), sample_log!$C567 &amp; "_" &amp; sample_log!$D567, "")</f>
        <v/>
      </c>
      <c r="C567" s="5" t="str">
        <f>IF(B567="", IF(F567="", "", C566), IF(sample_log!E567="Triennial SASS", "tri_params", "params"))</f>
        <v/>
      </c>
      <c r="D567" s="5" t="str">
        <f>IF(B567="", "", C567 &amp; "!" &amp; CHAR(65+MATCH(B567, params!$B$2:$R$2, 0)))</f>
        <v/>
      </c>
      <c r="E567" s="5" t="str">
        <f ca="1">IF(B567="", "", COUNTA(INDIRECT(D567 &amp; 3):INDIRECT(D567 &amp; 24)))</f>
        <v/>
      </c>
      <c r="F567" s="5" t="str">
        <f t="shared" si="18"/>
        <v/>
      </c>
      <c r="G567" s="5" t="str">
        <f>IF(F567="", "", IF(B567&lt;&gt;"", MATCH(B567, params!$B$2:$R$2, 0), G566))</f>
        <v/>
      </c>
      <c r="H567" s="5" t="str">
        <f t="shared" ca="1" si="19"/>
        <v/>
      </c>
      <c r="I567" s="2"/>
      <c r="J567" s="2"/>
      <c r="K567" s="2"/>
      <c r="L567" s="2"/>
      <c r="M567" s="2"/>
    </row>
    <row r="568" spans="1:13" ht="15.6" x14ac:dyDescent="0.3">
      <c r="A568" s="2"/>
      <c r="B568" s="5" t="str">
        <f>IF(COUNTIF(data_val!$E$3:$E$5, sample_log!$E568), sample_log!$C568 &amp; "_" &amp; sample_log!$D568, "")</f>
        <v/>
      </c>
      <c r="C568" s="5" t="str">
        <f>IF(B568="", IF(F568="", "", C567), IF(sample_log!E568="Triennial SASS", "tri_params", "params"))</f>
        <v/>
      </c>
      <c r="D568" s="5" t="str">
        <f>IF(B568="", "", C568 &amp; "!" &amp; CHAR(65+MATCH(B568, params!$B$2:$R$2, 0)))</f>
        <v/>
      </c>
      <c r="E568" s="5" t="str">
        <f ca="1">IF(B568="", "", COUNTA(INDIRECT(D568 &amp; 3):INDIRECT(D568 &amp; 24)))</f>
        <v/>
      </c>
      <c r="F568" s="5" t="str">
        <f t="shared" si="18"/>
        <v/>
      </c>
      <c r="G568" s="5" t="str">
        <f>IF(F568="", "", IF(B568&lt;&gt;"", MATCH(B568, params!$B$2:$R$2, 0), G567))</f>
        <v/>
      </c>
      <c r="H568" s="5" t="str">
        <f t="shared" ca="1" si="19"/>
        <v/>
      </c>
      <c r="I568" s="2"/>
      <c r="J568" s="2"/>
      <c r="K568" s="2"/>
      <c r="L568" s="2"/>
      <c r="M568" s="2"/>
    </row>
    <row r="569" spans="1:13" ht="15.6" x14ac:dyDescent="0.3">
      <c r="A569" s="2"/>
      <c r="B569" s="5" t="str">
        <f>IF(COUNTIF(data_val!$E$3:$E$5, sample_log!$E569), sample_log!$C569 &amp; "_" &amp; sample_log!$D569, "")</f>
        <v/>
      </c>
      <c r="C569" s="5" t="str">
        <f>IF(B569="", IF(F569="", "", C568), IF(sample_log!E569="Triennial SASS", "tri_params", "params"))</f>
        <v/>
      </c>
      <c r="D569" s="5" t="str">
        <f>IF(B569="", "", C569 &amp; "!" &amp; CHAR(65+MATCH(B569, params!$B$2:$R$2, 0)))</f>
        <v/>
      </c>
      <c r="E569" s="5" t="str">
        <f ca="1">IF(B569="", "", COUNTA(INDIRECT(D569 &amp; 3):INDIRECT(D569 &amp; 24)))</f>
        <v/>
      </c>
      <c r="F569" s="5" t="str">
        <f t="shared" si="18"/>
        <v/>
      </c>
      <c r="G569" s="5" t="str">
        <f>IF(F569="", "", IF(B569&lt;&gt;"", MATCH(B569, params!$B$2:$R$2, 0), G568))</f>
        <v/>
      </c>
      <c r="H569" s="5" t="str">
        <f t="shared" ca="1" si="19"/>
        <v/>
      </c>
      <c r="I569" s="2"/>
      <c r="J569" s="2"/>
      <c r="K569" s="2"/>
      <c r="L569" s="2"/>
      <c r="M569" s="2"/>
    </row>
    <row r="570" spans="1:13" ht="15.6" x14ac:dyDescent="0.3">
      <c r="A570" s="2"/>
      <c r="B570" s="5" t="str">
        <f>IF(COUNTIF(data_val!$E$3:$E$5, sample_log!$E570), sample_log!$C570 &amp; "_" &amp; sample_log!$D570, "")</f>
        <v/>
      </c>
      <c r="C570" s="5" t="str">
        <f>IF(B570="", IF(F570="", "", C569), IF(sample_log!E570="Triennial SASS", "tri_params", "params"))</f>
        <v/>
      </c>
      <c r="D570" s="5" t="str">
        <f>IF(B570="", "", C570 &amp; "!" &amp; CHAR(65+MATCH(B570, params!$B$2:$R$2, 0)))</f>
        <v/>
      </c>
      <c r="E570" s="5" t="str">
        <f ca="1">IF(B570="", "", COUNTA(INDIRECT(D570 &amp; 3):INDIRECT(D570 &amp; 24)))</f>
        <v/>
      </c>
      <c r="F570" s="5" t="str">
        <f t="shared" si="18"/>
        <v/>
      </c>
      <c r="G570" s="5" t="str">
        <f>IF(F570="", "", IF(B570&lt;&gt;"", MATCH(B570, params!$B$2:$R$2, 0), G569))</f>
        <v/>
      </c>
      <c r="H570" s="5" t="str">
        <f t="shared" ca="1" si="19"/>
        <v/>
      </c>
      <c r="I570" s="2"/>
      <c r="J570" s="2"/>
      <c r="K570" s="2"/>
      <c r="L570" s="2"/>
      <c r="M570" s="2"/>
    </row>
    <row r="571" spans="1:13" ht="15.6" x14ac:dyDescent="0.3">
      <c r="A571" s="2"/>
      <c r="B571" s="5" t="str">
        <f>IF(COUNTIF(data_val!$E$3:$E$5, sample_log!$E571), sample_log!$C571 &amp; "_" &amp; sample_log!$D571, "")</f>
        <v/>
      </c>
      <c r="C571" s="5" t="str">
        <f>IF(B571="", IF(F571="", "", C570), IF(sample_log!E571="Triennial SASS", "tri_params", "params"))</f>
        <v/>
      </c>
      <c r="D571" s="5" t="str">
        <f>IF(B571="", "", C571 &amp; "!" &amp; CHAR(65+MATCH(B571, params!$B$2:$R$2, 0)))</f>
        <v/>
      </c>
      <c r="E571" s="5" t="str">
        <f ca="1">IF(B571="", "", COUNTA(INDIRECT(D571 &amp; 3):INDIRECT(D571 &amp; 24)))</f>
        <v/>
      </c>
      <c r="F571" s="5" t="str">
        <f t="shared" si="18"/>
        <v/>
      </c>
      <c r="G571" s="5" t="str">
        <f>IF(F571="", "", IF(B571&lt;&gt;"", MATCH(B571, params!$B$2:$R$2, 0), G570))</f>
        <v/>
      </c>
      <c r="H571" s="5" t="str">
        <f t="shared" ca="1" si="19"/>
        <v/>
      </c>
      <c r="I571" s="2"/>
      <c r="J571" s="2"/>
      <c r="K571" s="2"/>
      <c r="L571" s="2"/>
      <c r="M571" s="2"/>
    </row>
    <row r="572" spans="1:13" ht="15.6" x14ac:dyDescent="0.3">
      <c r="A572" s="2"/>
      <c r="B572" s="5" t="str">
        <f>IF(COUNTIF(data_val!$E$3:$E$5, sample_log!$E572), sample_log!$C572 &amp; "_" &amp; sample_log!$D572, "")</f>
        <v/>
      </c>
      <c r="C572" s="5" t="str">
        <f>IF(B572="", IF(F572="", "", C571), IF(sample_log!E572="Triennial SASS", "tri_params", "params"))</f>
        <v/>
      </c>
      <c r="D572" s="5" t="str">
        <f>IF(B572="", "", C572 &amp; "!" &amp; CHAR(65+MATCH(B572, params!$B$2:$R$2, 0)))</f>
        <v/>
      </c>
      <c r="E572" s="5" t="str">
        <f ca="1">IF(B572="", "", COUNTA(INDIRECT(D572 &amp; 3):INDIRECT(D572 &amp; 24)))</f>
        <v/>
      </c>
      <c r="F572" s="5" t="str">
        <f t="shared" si="18"/>
        <v/>
      </c>
      <c r="G572" s="5" t="str">
        <f>IF(F572="", "", IF(B572&lt;&gt;"", MATCH(B572, params!$B$2:$R$2, 0), G571))</f>
        <v/>
      </c>
      <c r="H572" s="5" t="str">
        <f t="shared" ca="1" si="19"/>
        <v/>
      </c>
      <c r="I572" s="2"/>
      <c r="J572" s="2"/>
      <c r="K572" s="2"/>
      <c r="L572" s="2"/>
      <c r="M572" s="2"/>
    </row>
    <row r="573" spans="1:13" ht="15.6" x14ac:dyDescent="0.3">
      <c r="B573" s="5" t="str">
        <f>IF(COUNTIF(data_val!$E$3:$E$5, sample_log!$E573), sample_log!$C573 &amp; "_" &amp; sample_log!$D573, "")</f>
        <v/>
      </c>
      <c r="C573" s="5" t="str">
        <f>IF(B573="", IF(F573="", "", C572), IF(sample_log!E573="Triennial SASS", "tri_params", "params"))</f>
        <v/>
      </c>
      <c r="D573" s="5" t="str">
        <f>IF(B573="", "", C573 &amp; "!" &amp; CHAR(65+MATCH(B573, params!$B$2:$R$2, 0)))</f>
        <v/>
      </c>
      <c r="E573" s="5" t="str">
        <f ca="1">IF(B573="", "", COUNTA(INDIRECT(D573 &amp; 3):INDIRECT(D573 &amp; 24)))</f>
        <v/>
      </c>
      <c r="F573" s="5" t="str">
        <f t="shared" si="18"/>
        <v/>
      </c>
      <c r="G573" s="5" t="str">
        <f>IF(F573="", "", IF(B573&lt;&gt;"", MATCH(B573, params!$B$2:$R$2, 0), G572))</f>
        <v/>
      </c>
      <c r="H573" s="5" t="str">
        <f t="shared" ca="1" si="19"/>
        <v/>
      </c>
      <c r="M573" s="2"/>
    </row>
    <row r="574" spans="1:13" ht="15.6" x14ac:dyDescent="0.3">
      <c r="B574" s="5" t="str">
        <f>IF(COUNTIF(data_val!$E$3:$E$5, sample_log!$E574), sample_log!$C574 &amp; "_" &amp; sample_log!$D574, "")</f>
        <v/>
      </c>
      <c r="C574" s="5" t="str">
        <f>IF(B574="", IF(F574="", "", C573), IF(sample_log!E574="Triennial SASS", "tri_params", "params"))</f>
        <v/>
      </c>
      <c r="D574" s="5" t="str">
        <f>IF(B574="", "", C574 &amp; "!" &amp; CHAR(65+MATCH(B574, params!$B$2:$R$2, 0)))</f>
        <v/>
      </c>
      <c r="E574" s="5" t="str">
        <f ca="1">IF(B574="", "", COUNTA(INDIRECT(D574 &amp; 3):INDIRECT(D574 &amp; 24)))</f>
        <v/>
      </c>
      <c r="F574" s="5" t="str">
        <f t="shared" si="18"/>
        <v/>
      </c>
      <c r="G574" s="5" t="str">
        <f>IF(F574="", "", IF(B574&lt;&gt;"", MATCH(B574, params!$B$2:$R$2, 0), G573))</f>
        <v/>
      </c>
      <c r="H574" s="5" t="str">
        <f t="shared" ca="1" si="19"/>
        <v/>
      </c>
      <c r="M574" s="2"/>
    </row>
    <row r="575" spans="1:13" ht="15.6" x14ac:dyDescent="0.3">
      <c r="B575" s="5" t="str">
        <f>IF(COUNTIF(data_val!$E$3:$E$5, sample_log!$E575), sample_log!$C575 &amp; "_" &amp; sample_log!$D575, "")</f>
        <v/>
      </c>
      <c r="C575" s="5" t="str">
        <f>IF(B575="", IF(F575="", "", C574), IF(sample_log!E575="Triennial SASS", "tri_params", "params"))</f>
        <v/>
      </c>
      <c r="D575" s="5" t="str">
        <f>IF(B575="", "", C575 &amp; "!" &amp; CHAR(65+MATCH(B575, params!$B$2:$R$2, 0)))</f>
        <v/>
      </c>
      <c r="E575" s="5" t="str">
        <f ca="1">IF(B575="", "", COUNTA(INDIRECT(D575 &amp; 3):INDIRECT(D575 &amp; 24)))</f>
        <v/>
      </c>
      <c r="F575" s="5" t="str">
        <f t="shared" si="18"/>
        <v/>
      </c>
      <c r="G575" s="5" t="str">
        <f>IF(F575="", "", IF(B575&lt;&gt;"", MATCH(B575, params!$B$2:$R$2, 0), G574))</f>
        <v/>
      </c>
      <c r="H575" s="5" t="str">
        <f t="shared" ca="1" si="19"/>
        <v/>
      </c>
      <c r="M575" s="2"/>
    </row>
    <row r="576" spans="1:13" ht="15.6" x14ac:dyDescent="0.3">
      <c r="B576" s="5" t="str">
        <f>IF(COUNTIF(data_val!$E$3:$E$5, sample_log!$E576), sample_log!$C576 &amp; "_" &amp; sample_log!$D576, "")</f>
        <v/>
      </c>
      <c r="C576" s="5" t="str">
        <f>IF(B576="", IF(F576="", "", C575), IF(sample_log!E576="Triennial SASS", "tri_params", "params"))</f>
        <v/>
      </c>
      <c r="D576" s="5" t="str">
        <f>IF(B576="", "", C576 &amp; "!" &amp; CHAR(65+MATCH(B576, params!$B$2:$R$2, 0)))</f>
        <v/>
      </c>
      <c r="E576" s="5" t="str">
        <f ca="1">IF(B576="", "", COUNTA(INDIRECT(D576 &amp; 3):INDIRECT(D576 &amp; 24)))</f>
        <v/>
      </c>
      <c r="F576" s="5" t="str">
        <f t="shared" si="18"/>
        <v/>
      </c>
      <c r="G576" s="5" t="str">
        <f>IF(F576="", "", IF(B576&lt;&gt;"", MATCH(B576, params!$B$2:$R$2, 0), G575))</f>
        <v/>
      </c>
      <c r="H576" s="5" t="str">
        <f t="shared" ca="1" si="19"/>
        <v/>
      </c>
      <c r="M576" s="2"/>
    </row>
    <row r="577" spans="2:13" ht="15.6" x14ac:dyDescent="0.3">
      <c r="B577" s="5" t="str">
        <f>IF(COUNTIF(data_val!$E$3:$E$5, sample_log!$E577), sample_log!$C577 &amp; "_" &amp; sample_log!$D577, "")</f>
        <v/>
      </c>
      <c r="C577" s="5" t="str">
        <f>IF(B577="", IF(F577="", "", C576), IF(sample_log!E577="Triennial SASS", "tri_params", "params"))</f>
        <v/>
      </c>
      <c r="D577" s="5" t="str">
        <f>IF(B577="", "", C577 &amp; "!" &amp; CHAR(65+MATCH(B577, params!$B$2:$R$2, 0)))</f>
        <v/>
      </c>
      <c r="E577" s="5" t="str">
        <f ca="1">IF(B577="", "", COUNTA(INDIRECT(D577 &amp; 3):INDIRECT(D577 &amp; 24)))</f>
        <v/>
      </c>
      <c r="F577" s="5" t="str">
        <f t="shared" si="18"/>
        <v/>
      </c>
      <c r="G577" s="5" t="str">
        <f>IF(F577="", "", IF(B577&lt;&gt;"", MATCH(B577, params!$B$2:$R$2, 0), G576))</f>
        <v/>
      </c>
      <c r="H577" s="5" t="str">
        <f t="shared" ca="1" si="19"/>
        <v/>
      </c>
      <c r="M577" s="2"/>
    </row>
    <row r="578" spans="2:13" ht="15.6" x14ac:dyDescent="0.3">
      <c r="B578" s="5" t="str">
        <f>IF(COUNTIF(data_val!$E$3:$E$5, sample_log!$E578), sample_log!$C578 &amp; "_" &amp; sample_log!$D578, "")</f>
        <v/>
      </c>
      <c r="C578" s="5" t="str">
        <f>IF(B578="", IF(F578="", "", C577), IF(sample_log!E578="Triennial SASS", "tri_params", "params"))</f>
        <v/>
      </c>
      <c r="D578" s="5" t="str">
        <f>IF(B578="", "", C578 &amp; "!" &amp; CHAR(65+MATCH(B578, params!$B$2:$R$2, 0)))</f>
        <v/>
      </c>
      <c r="E578" s="5" t="str">
        <f ca="1">IF(B578="", "", COUNTA(INDIRECT(D578 &amp; 3):INDIRECT(D578 &amp; 24)))</f>
        <v/>
      </c>
      <c r="F578" s="5" t="str">
        <f t="shared" si="18"/>
        <v/>
      </c>
      <c r="G578" s="5" t="str">
        <f>IF(F578="", "", IF(B578&lt;&gt;"", MATCH(B578, params!$B$2:$R$2, 0), G577))</f>
        <v/>
      </c>
      <c r="H578" s="5" t="str">
        <f t="shared" ca="1" si="19"/>
        <v/>
      </c>
      <c r="M578" s="2"/>
    </row>
    <row r="579" spans="2:13" ht="15.6" x14ac:dyDescent="0.3">
      <c r="B579" s="5" t="str">
        <f>IF(COUNTIF(data_val!$E$3:$E$5, sample_log!$E579), sample_log!$C579 &amp; "_" &amp; sample_log!$D579, "")</f>
        <v/>
      </c>
      <c r="C579" s="5" t="str">
        <f>IF(B579="", IF(F579="", "", C578), IF(sample_log!E579="Triennial SASS", "tri_params", "params"))</f>
        <v/>
      </c>
      <c r="D579" s="5" t="str">
        <f>IF(B579="", "", C579 &amp; "!" &amp; CHAR(65+MATCH(B579, params!$B$2:$R$2, 0)))</f>
        <v/>
      </c>
      <c r="E579" s="5" t="str">
        <f ca="1">IF(B579="", "", COUNTA(INDIRECT(D579 &amp; 3):INDIRECT(D579 &amp; 24)))</f>
        <v/>
      </c>
      <c r="F579" s="5" t="str">
        <f t="shared" ref="F579:F642" si="20">IF(B579="", IF(NOT(ISNUMBER(F578)), "", IF(F578-1&gt;0, F578-1, "")), E579)</f>
        <v/>
      </c>
      <c r="G579" s="5" t="str">
        <f>IF(F579="", "", IF(B579&lt;&gt;"", MATCH(B579, params!$B$2:$R$2, 0), G578))</f>
        <v/>
      </c>
      <c r="H579" s="5" t="str">
        <f t="shared" ca="1" si="19"/>
        <v/>
      </c>
      <c r="M579" s="2"/>
    </row>
    <row r="580" spans="2:13" ht="15.6" x14ac:dyDescent="0.3">
      <c r="B580" s="5" t="str">
        <f>IF(COUNTIF(data_val!$E$3:$E$5, sample_log!$E580), sample_log!$C580 &amp; "_" &amp; sample_log!$D580, "")</f>
        <v/>
      </c>
      <c r="C580" s="5" t="str">
        <f>IF(B580="", IF(F580="", "", C579), IF(sample_log!E580="Triennial SASS", "tri_params", "params"))</f>
        <v/>
      </c>
      <c r="D580" s="5" t="str">
        <f>IF(B580="", "", C580 &amp; "!" &amp; CHAR(65+MATCH(B580, params!$B$2:$R$2, 0)))</f>
        <v/>
      </c>
      <c r="E580" s="5" t="str">
        <f ca="1">IF(B580="", "", COUNTA(INDIRECT(D580 &amp; 3):INDIRECT(D580 &amp; 24)))</f>
        <v/>
      </c>
      <c r="F580" s="5" t="str">
        <f t="shared" si="20"/>
        <v/>
      </c>
      <c r="G580" s="5" t="str">
        <f>IF(F580="", "", IF(B580&lt;&gt;"", MATCH(B580, params!$B$2:$R$2, 0), G579))</f>
        <v/>
      </c>
      <c r="H580" s="5" t="str">
        <f t="shared" ca="1" si="19"/>
        <v/>
      </c>
      <c r="M580" s="2"/>
    </row>
    <row r="581" spans="2:13" ht="15.6" x14ac:dyDescent="0.3">
      <c r="B581" s="5" t="str">
        <f>IF(COUNTIF(data_val!$E$3:$E$5, sample_log!$E581), sample_log!$C581 &amp; "_" &amp; sample_log!$D581, "")</f>
        <v/>
      </c>
      <c r="C581" s="5" t="str">
        <f>IF(B581="", IF(F581="", "", C580), IF(sample_log!E581="Triennial SASS", "tri_params", "params"))</f>
        <v/>
      </c>
      <c r="D581" s="5" t="str">
        <f>IF(B581="", "", C581 &amp; "!" &amp; CHAR(65+MATCH(B581, params!$B$2:$R$2, 0)))</f>
        <v/>
      </c>
      <c r="E581" s="5" t="str">
        <f ca="1">IF(B581="", "", COUNTA(INDIRECT(D581 &amp; 3):INDIRECT(D581 &amp; 24)))</f>
        <v/>
      </c>
      <c r="F581" s="5" t="str">
        <f t="shared" si="20"/>
        <v/>
      </c>
      <c r="G581" s="5" t="str">
        <f>IF(F581="", "", IF(B581&lt;&gt;"", MATCH(B581, params!$B$2:$R$2, 0), G580))</f>
        <v/>
      </c>
      <c r="H581" s="5" t="str">
        <f t="shared" ca="1" si="19"/>
        <v/>
      </c>
      <c r="M581" s="2"/>
    </row>
    <row r="582" spans="2:13" ht="15.6" x14ac:dyDescent="0.3">
      <c r="B582" s="5" t="str">
        <f>IF(COUNTIF(data_val!$E$3:$E$5, sample_log!$E582), sample_log!$C582 &amp; "_" &amp; sample_log!$D582, "")</f>
        <v/>
      </c>
      <c r="C582" s="5" t="str">
        <f>IF(B582="", IF(F582="", "", C581), IF(sample_log!E582="Triennial SASS", "tri_params", "params"))</f>
        <v/>
      </c>
      <c r="D582" s="5" t="str">
        <f>IF(B582="", "", C582 &amp; "!" &amp; CHAR(65+MATCH(B582, params!$B$2:$R$2, 0)))</f>
        <v/>
      </c>
      <c r="E582" s="5" t="str">
        <f ca="1">IF(B582="", "", COUNTA(INDIRECT(D582 &amp; 3):INDIRECT(D582 &amp; 24)))</f>
        <v/>
      </c>
      <c r="F582" s="5" t="str">
        <f t="shared" si="20"/>
        <v/>
      </c>
      <c r="G582" s="5" t="str">
        <f>IF(F582="", "", IF(B582&lt;&gt;"", MATCH(B582, params!$B$2:$R$2, 0), G581))</f>
        <v/>
      </c>
      <c r="H582" s="5" t="str">
        <f t="shared" ca="1" si="19"/>
        <v/>
      </c>
      <c r="M582" s="2"/>
    </row>
    <row r="583" spans="2:13" ht="15.6" x14ac:dyDescent="0.3">
      <c r="B583" s="5" t="str">
        <f>IF(COUNTIF(data_val!$E$3:$E$5, sample_log!$E583), sample_log!$C583 &amp; "_" &amp; sample_log!$D583, "")</f>
        <v/>
      </c>
      <c r="C583" s="5" t="str">
        <f>IF(B583="", IF(F583="", "", C582), IF(sample_log!E583="Triennial SASS", "tri_params", "params"))</f>
        <v/>
      </c>
      <c r="D583" s="5" t="str">
        <f>IF(B583="", "", C583 &amp; "!" &amp; CHAR(65+MATCH(B583, params!$B$2:$R$2, 0)))</f>
        <v/>
      </c>
      <c r="E583" s="5" t="str">
        <f ca="1">IF(B583="", "", COUNTA(INDIRECT(D583 &amp; 3):INDIRECT(D583 &amp; 24)))</f>
        <v/>
      </c>
      <c r="F583" s="5" t="str">
        <f t="shared" si="20"/>
        <v/>
      </c>
      <c r="G583" s="5" t="str">
        <f>IF(F583="", "", IF(B583&lt;&gt;"", MATCH(B583, params!$B$2:$R$2, 0), G582))</f>
        <v/>
      </c>
      <c r="H583" s="5" t="str">
        <f t="shared" ca="1" si="19"/>
        <v/>
      </c>
      <c r="M583" s="2"/>
    </row>
    <row r="584" spans="2:13" ht="15.6" x14ac:dyDescent="0.3">
      <c r="B584" s="5" t="str">
        <f>IF(COUNTIF(data_val!$E$3:$E$5, sample_log!$E584), sample_log!$C584 &amp; "_" &amp; sample_log!$D584, "")</f>
        <v/>
      </c>
      <c r="C584" s="5" t="str">
        <f>IF(B584="", IF(F584="", "", C583), IF(sample_log!E584="Triennial SASS", "tri_params", "params"))</f>
        <v/>
      </c>
      <c r="D584" s="5" t="str">
        <f>IF(B584="", "", C584 &amp; "!" &amp; CHAR(65+MATCH(B584, params!$B$2:$R$2, 0)))</f>
        <v/>
      </c>
      <c r="E584" s="5" t="str">
        <f ca="1">IF(B584="", "", COUNTA(INDIRECT(D584 &amp; 3):INDIRECT(D584 &amp; 24)))</f>
        <v/>
      </c>
      <c r="F584" s="5" t="str">
        <f t="shared" si="20"/>
        <v/>
      </c>
      <c r="G584" s="5" t="str">
        <f>IF(F584="", "", IF(B584&lt;&gt;"", MATCH(B584, params!$B$2:$R$2, 0), G583))</f>
        <v/>
      </c>
      <c r="H584" s="5" t="str">
        <f t="shared" ca="1" si="19"/>
        <v/>
      </c>
      <c r="M584" s="2"/>
    </row>
    <row r="585" spans="2:13" ht="15.6" x14ac:dyDescent="0.3">
      <c r="B585" s="5" t="str">
        <f>IF(COUNTIF(data_val!$E$3:$E$5, sample_log!$E585), sample_log!$C585 &amp; "_" &amp; sample_log!$D585, "")</f>
        <v/>
      </c>
      <c r="C585" s="5" t="str">
        <f>IF(B585="", IF(F585="", "", C584), IF(sample_log!E585="Triennial SASS", "tri_params", "params"))</f>
        <v/>
      </c>
      <c r="D585" s="5" t="str">
        <f>IF(B585="", "", C585 &amp; "!" &amp; CHAR(65+MATCH(B585, params!$B$2:$R$2, 0)))</f>
        <v/>
      </c>
      <c r="E585" s="5" t="str">
        <f ca="1">IF(B585="", "", COUNTA(INDIRECT(D585 &amp; 3):INDIRECT(D585 &amp; 24)))</f>
        <v/>
      </c>
      <c r="F585" s="5" t="str">
        <f t="shared" si="20"/>
        <v/>
      </c>
      <c r="G585" s="5" t="str">
        <f>IF(F585="", "", IF(B585&lt;&gt;"", MATCH(B585, params!$B$2:$R$2, 0), G584))</f>
        <v/>
      </c>
      <c r="H585" s="5" t="str">
        <f t="shared" ca="1" si="19"/>
        <v/>
      </c>
      <c r="M585" s="2"/>
    </row>
    <row r="586" spans="2:13" ht="15.6" x14ac:dyDescent="0.3">
      <c r="B586" s="5" t="str">
        <f>IF(COUNTIF(data_val!$E$3:$E$5, sample_log!$E586), sample_log!$C586 &amp; "_" &amp; sample_log!$D586, "")</f>
        <v/>
      </c>
      <c r="C586" s="5" t="str">
        <f>IF(B586="", IF(F586="", "", C585), IF(sample_log!E586="Triennial SASS", "tri_params", "params"))</f>
        <v/>
      </c>
      <c r="D586" s="5" t="str">
        <f>IF(B586="", "", C586 &amp; "!" &amp; CHAR(65+MATCH(B586, params!$B$2:$R$2, 0)))</f>
        <v/>
      </c>
      <c r="E586" s="5" t="str">
        <f ca="1">IF(B586="", "", COUNTA(INDIRECT(D586 &amp; 3):INDIRECT(D586 &amp; 24)))</f>
        <v/>
      </c>
      <c r="F586" s="5" t="str">
        <f t="shared" si="20"/>
        <v/>
      </c>
      <c r="G586" s="5" t="str">
        <f>IF(F586="", "", IF(B586&lt;&gt;"", MATCH(B586, params!$B$2:$R$2, 0), G585))</f>
        <v/>
      </c>
      <c r="H586" s="5" t="str">
        <f t="shared" ca="1" si="19"/>
        <v/>
      </c>
      <c r="M586" s="2"/>
    </row>
    <row r="587" spans="2:13" ht="15.6" x14ac:dyDescent="0.3">
      <c r="B587" s="5" t="str">
        <f>IF(COUNTIF(data_val!$E$3:$E$5, sample_log!$E587), sample_log!$C587 &amp; "_" &amp; sample_log!$D587, "")</f>
        <v/>
      </c>
      <c r="C587" s="5" t="str">
        <f>IF(B587="", IF(F587="", "", C586), IF(sample_log!E587="Triennial SASS", "tri_params", "params"))</f>
        <v/>
      </c>
      <c r="D587" s="5" t="str">
        <f>IF(B587="", "", C587 &amp; "!" &amp; CHAR(65+MATCH(B587, params!$B$2:$R$2, 0)))</f>
        <v/>
      </c>
      <c r="E587" s="5" t="str">
        <f ca="1">IF(B587="", "", COUNTA(INDIRECT(D587 &amp; 3):INDIRECT(D587 &amp; 24)))</f>
        <v/>
      </c>
      <c r="F587" s="5" t="str">
        <f t="shared" si="20"/>
        <v/>
      </c>
      <c r="G587" s="5" t="str">
        <f>IF(F587="", "", IF(B587&lt;&gt;"", MATCH(B587, params!$B$2:$R$2, 0), G586))</f>
        <v/>
      </c>
      <c r="H587" s="5" t="str">
        <f t="shared" ca="1" si="19"/>
        <v/>
      </c>
      <c r="M587" s="2"/>
    </row>
    <row r="588" spans="2:13" ht="15.6" x14ac:dyDescent="0.3">
      <c r="B588" s="5" t="str">
        <f>IF(COUNTIF(data_val!$E$3:$E$5, sample_log!$E588), sample_log!$C588 &amp; "_" &amp; sample_log!$D588, "")</f>
        <v/>
      </c>
      <c r="C588" s="5" t="str">
        <f>IF(B588="", IF(F588="", "", C587), IF(sample_log!E588="Triennial SASS", "tri_params", "params"))</f>
        <v/>
      </c>
      <c r="D588" s="5" t="str">
        <f>IF(B588="", "", C588 &amp; "!" &amp; CHAR(65+MATCH(B588, params!$B$2:$R$2, 0)))</f>
        <v/>
      </c>
      <c r="E588" s="5" t="str">
        <f ca="1">IF(B588="", "", COUNTA(INDIRECT(D588 &amp; 3):INDIRECT(D588 &amp; 24)))</f>
        <v/>
      </c>
      <c r="F588" s="5" t="str">
        <f t="shared" si="20"/>
        <v/>
      </c>
      <c r="G588" s="5" t="str">
        <f>IF(F588="", "", IF(B588&lt;&gt;"", MATCH(B588, params!$B$2:$R$2, 0), G587))</f>
        <v/>
      </c>
      <c r="H588" s="5" t="str">
        <f t="shared" ca="1" si="19"/>
        <v/>
      </c>
      <c r="M588" s="2"/>
    </row>
    <row r="589" spans="2:13" ht="15.6" x14ac:dyDescent="0.3">
      <c r="B589" s="5" t="str">
        <f>IF(COUNTIF(data_val!$E$3:$E$5, sample_log!$E589), sample_log!$C589 &amp; "_" &amp; sample_log!$D589, "")</f>
        <v/>
      </c>
      <c r="C589" s="5" t="str">
        <f>IF(B589="", IF(F589="", "", C588), IF(sample_log!E589="Triennial SASS", "tri_params", "params"))</f>
        <v/>
      </c>
      <c r="D589" s="5" t="str">
        <f>IF(B589="", "", C589 &amp; "!" &amp; CHAR(65+MATCH(B589, params!$B$2:$R$2, 0)))</f>
        <v/>
      </c>
      <c r="E589" s="5" t="str">
        <f ca="1">IF(B589="", "", COUNTA(INDIRECT(D589 &amp; 3):INDIRECT(D589 &amp; 24)))</f>
        <v/>
      </c>
      <c r="F589" s="5" t="str">
        <f t="shared" si="20"/>
        <v/>
      </c>
      <c r="G589" s="5" t="str">
        <f>IF(F589="", "", IF(B589&lt;&gt;"", MATCH(B589, params!$B$2:$R$2, 0), G588))</f>
        <v/>
      </c>
      <c r="H589" s="5" t="str">
        <f t="shared" ca="1" si="19"/>
        <v/>
      </c>
      <c r="M589" s="2"/>
    </row>
    <row r="590" spans="2:13" ht="15.6" x14ac:dyDescent="0.3">
      <c r="B590" s="5" t="str">
        <f>IF(COUNTIF(data_val!$E$3:$E$5, sample_log!$E590), sample_log!$C590 &amp; "_" &amp; sample_log!$D590, "")</f>
        <v/>
      </c>
      <c r="C590" s="5" t="str">
        <f>IF(B590="", IF(F590="", "", C589), IF(sample_log!E590="Triennial SASS", "tri_params", "params"))</f>
        <v/>
      </c>
      <c r="D590" s="5" t="str">
        <f>IF(B590="", "", C590 &amp; "!" &amp; CHAR(65+MATCH(B590, params!$B$2:$R$2, 0)))</f>
        <v/>
      </c>
      <c r="E590" s="5" t="str">
        <f ca="1">IF(B590="", "", COUNTA(INDIRECT(D590 &amp; 3):INDIRECT(D590 &amp; 24)))</f>
        <v/>
      </c>
      <c r="F590" s="5" t="str">
        <f t="shared" si="20"/>
        <v/>
      </c>
      <c r="G590" s="5" t="str">
        <f>IF(F590="", "", IF(B590&lt;&gt;"", MATCH(B590, params!$B$2:$R$2, 0), G589))</f>
        <v/>
      </c>
      <c r="H590" s="5" t="str">
        <f t="shared" ca="1" si="19"/>
        <v/>
      </c>
      <c r="M590" s="2"/>
    </row>
    <row r="591" spans="2:13" ht="15.6" x14ac:dyDescent="0.3">
      <c r="B591" s="5" t="str">
        <f>IF(COUNTIF(data_val!$E$3:$E$5, sample_log!$E591), sample_log!$C591 &amp; "_" &amp; sample_log!$D591, "")</f>
        <v/>
      </c>
      <c r="C591" s="5" t="str">
        <f>IF(B591="", IF(F591="", "", C590), IF(sample_log!E591="Triennial SASS", "tri_params", "params"))</f>
        <v/>
      </c>
      <c r="D591" s="5" t="str">
        <f>IF(B591="", "", C591 &amp; "!" &amp; CHAR(65+MATCH(B591, params!$B$2:$R$2, 0)))</f>
        <v/>
      </c>
      <c r="E591" s="5" t="str">
        <f ca="1">IF(B591="", "", COUNTA(INDIRECT(D591 &amp; 3):INDIRECT(D591 &amp; 24)))</f>
        <v/>
      </c>
      <c r="F591" s="5" t="str">
        <f t="shared" si="20"/>
        <v/>
      </c>
      <c r="G591" s="5" t="str">
        <f>IF(F591="", "", IF(B591&lt;&gt;"", MATCH(B591, params!$B$2:$R$2, 0), G590))</f>
        <v/>
      </c>
      <c r="H591" s="5" t="str">
        <f t="shared" ca="1" si="19"/>
        <v/>
      </c>
      <c r="M591" s="2"/>
    </row>
    <row r="592" spans="2:13" ht="15.6" x14ac:dyDescent="0.3">
      <c r="B592" s="5" t="str">
        <f>IF(COUNTIF(data_val!$E$3:$E$5, sample_log!$E592), sample_log!$C592 &amp; "_" &amp; sample_log!$D592, "")</f>
        <v/>
      </c>
      <c r="C592" s="5" t="str">
        <f>IF(B592="", IF(F592="", "", C591), IF(sample_log!E592="Triennial SASS", "tri_params", "params"))</f>
        <v/>
      </c>
      <c r="D592" s="5" t="str">
        <f>IF(B592="", "", C592 &amp; "!" &amp; CHAR(65+MATCH(B592, params!$B$2:$R$2, 0)))</f>
        <v/>
      </c>
      <c r="E592" s="5" t="str">
        <f ca="1">IF(B592="", "", COUNTA(INDIRECT(D592 &amp; 3):INDIRECT(D592 &amp; 24)))</f>
        <v/>
      </c>
      <c r="F592" s="5" t="str">
        <f t="shared" si="20"/>
        <v/>
      </c>
      <c r="G592" s="5" t="str">
        <f>IF(F592="", "", IF(B592&lt;&gt;"", MATCH(B592, params!$B$2:$R$2, 0), G591))</f>
        <v/>
      </c>
      <c r="H592" s="5" t="str">
        <f t="shared" ca="1" si="19"/>
        <v/>
      </c>
      <c r="M592" s="2"/>
    </row>
    <row r="593" spans="2:13" ht="15.6" x14ac:dyDescent="0.3">
      <c r="B593" s="5" t="str">
        <f>IF(COUNTIF(data_val!$E$3:$E$5, sample_log!$E593), sample_log!$C593 &amp; "_" &amp; sample_log!$D593, "")</f>
        <v/>
      </c>
      <c r="C593" s="5" t="str">
        <f>IF(B593="", IF(F593="", "", C592), IF(sample_log!E593="Triennial SASS", "tri_params", "params"))</f>
        <v/>
      </c>
      <c r="D593" s="5" t="str">
        <f>IF(B593="", "", C593 &amp; "!" &amp; CHAR(65+MATCH(B593, params!$B$2:$R$2, 0)))</f>
        <v/>
      </c>
      <c r="E593" s="5" t="str">
        <f ca="1">IF(B593="", "", COUNTA(INDIRECT(D593 &amp; 3):INDIRECT(D593 &amp; 24)))</f>
        <v/>
      </c>
      <c r="F593" s="5" t="str">
        <f t="shared" si="20"/>
        <v/>
      </c>
      <c r="G593" s="5" t="str">
        <f>IF(F593="", "", IF(B593&lt;&gt;"", MATCH(B593, params!$B$2:$R$2, 0), G592))</f>
        <v/>
      </c>
      <c r="H593" s="5" t="str">
        <f t="shared" ca="1" si="19"/>
        <v/>
      </c>
      <c r="M593" s="2"/>
    </row>
    <row r="594" spans="2:13" ht="15.6" x14ac:dyDescent="0.3">
      <c r="B594" s="5" t="str">
        <f>IF(COUNTIF(data_val!$E$3:$E$5, sample_log!$E594), sample_log!$C594 &amp; "_" &amp; sample_log!$D594, "")</f>
        <v/>
      </c>
      <c r="C594" s="5" t="str">
        <f>IF(B594="", IF(F594="", "", C593), IF(sample_log!E594="Triennial SASS", "tri_params", "params"))</f>
        <v/>
      </c>
      <c r="D594" s="5" t="str">
        <f>IF(B594="", "", C594 &amp; "!" &amp; CHAR(65+MATCH(B594, params!$B$2:$R$2, 0)))</f>
        <v/>
      </c>
      <c r="E594" s="5" t="str">
        <f ca="1">IF(B594="", "", COUNTA(INDIRECT(D594 &amp; 3):INDIRECT(D594 &amp; 24)))</f>
        <v/>
      </c>
      <c r="F594" s="5" t="str">
        <f t="shared" si="20"/>
        <v/>
      </c>
      <c r="G594" s="5" t="str">
        <f>IF(F594="", "", IF(B594&lt;&gt;"", MATCH(B594, params!$B$2:$R$2, 0), G593))</f>
        <v/>
      </c>
      <c r="H594" s="5" t="str">
        <f t="shared" ca="1" si="19"/>
        <v/>
      </c>
      <c r="M594" s="2"/>
    </row>
    <row r="595" spans="2:13" ht="15.6" x14ac:dyDescent="0.3">
      <c r="B595" s="5" t="str">
        <f>IF(COUNTIF(data_val!$E$3:$E$5, sample_log!$E595), sample_log!$C595 &amp; "_" &amp; sample_log!$D595, "")</f>
        <v/>
      </c>
      <c r="C595" s="5" t="str">
        <f>IF(B595="", IF(F595="", "", C594), IF(sample_log!E595="Triennial SASS", "tri_params", "params"))</f>
        <v/>
      </c>
      <c r="D595" s="5" t="str">
        <f>IF(B595="", "", C595 &amp; "!" &amp; CHAR(65+MATCH(B595, params!$B$2:$R$2, 0)))</f>
        <v/>
      </c>
      <c r="E595" s="5" t="str">
        <f ca="1">IF(B595="", "", COUNTA(INDIRECT(D595 &amp; 3):INDIRECT(D595 &amp; 24)))</f>
        <v/>
      </c>
      <c r="F595" s="5" t="str">
        <f t="shared" si="20"/>
        <v/>
      </c>
      <c r="G595" s="5" t="str">
        <f>IF(F595="", "", IF(B595&lt;&gt;"", MATCH(B595, params!$B$2:$R$2, 0), G594))</f>
        <v/>
      </c>
      <c r="H595" s="5" t="str">
        <f t="shared" ca="1" si="19"/>
        <v/>
      </c>
      <c r="M595" s="2"/>
    </row>
    <row r="596" spans="2:13" ht="15.6" x14ac:dyDescent="0.3">
      <c r="B596" s="5" t="str">
        <f>IF(COUNTIF(data_val!$E$3:$E$5, sample_log!$E596), sample_log!$C596 &amp; "_" &amp; sample_log!$D596, "")</f>
        <v/>
      </c>
      <c r="C596" s="5" t="str">
        <f>IF(B596="", IF(F596="", "", C595), IF(sample_log!E596="Triennial SASS", "tri_params", "params"))</f>
        <v/>
      </c>
      <c r="D596" s="5" t="str">
        <f>IF(B596="", "", C596 &amp; "!" &amp; CHAR(65+MATCH(B596, params!$B$2:$R$2, 0)))</f>
        <v/>
      </c>
      <c r="E596" s="5" t="str">
        <f ca="1">IF(B596="", "", COUNTA(INDIRECT(D596 &amp; 3):INDIRECT(D596 &amp; 24)))</f>
        <v/>
      </c>
      <c r="F596" s="5" t="str">
        <f t="shared" si="20"/>
        <v/>
      </c>
      <c r="G596" s="5" t="str">
        <f>IF(F596="", "", IF(B596&lt;&gt;"", MATCH(B596, params!$B$2:$R$2, 0), G595))</f>
        <v/>
      </c>
      <c r="H596" s="5" t="str">
        <f t="shared" ca="1" si="19"/>
        <v/>
      </c>
      <c r="M596" s="2"/>
    </row>
    <row r="597" spans="2:13" ht="15.6" x14ac:dyDescent="0.3">
      <c r="B597" s="5" t="str">
        <f>IF(COUNTIF(data_val!$E$3:$E$5, sample_log!$E597), sample_log!$C597 &amp; "_" &amp; sample_log!$D597, "")</f>
        <v/>
      </c>
      <c r="C597" s="5" t="str">
        <f>IF(B597="", IF(F597="", "", C596), IF(sample_log!E597="Triennial SASS", "tri_params", "params"))</f>
        <v/>
      </c>
      <c r="D597" s="5" t="str">
        <f>IF(B597="", "", C597 &amp; "!" &amp; CHAR(65+MATCH(B597, params!$B$2:$R$2, 0)))</f>
        <v/>
      </c>
      <c r="E597" s="5" t="str">
        <f ca="1">IF(B597="", "", COUNTA(INDIRECT(D597 &amp; 3):INDIRECT(D597 &amp; 24)))</f>
        <v/>
      </c>
      <c r="F597" s="5" t="str">
        <f t="shared" si="20"/>
        <v/>
      </c>
      <c r="G597" s="5" t="str">
        <f>IF(F597="", "", IF(B597&lt;&gt;"", MATCH(B597, params!$B$2:$R$2, 0), G596))</f>
        <v/>
      </c>
      <c r="H597" s="5" t="str">
        <f t="shared" ca="1" si="19"/>
        <v/>
      </c>
      <c r="M597" s="2"/>
    </row>
    <row r="598" spans="2:13" ht="15.6" x14ac:dyDescent="0.3">
      <c r="B598" s="5" t="str">
        <f>IF(COUNTIF(data_val!$E$3:$E$5, sample_log!$E598), sample_log!$C598 &amp; "_" &amp; sample_log!$D598, "")</f>
        <v/>
      </c>
      <c r="C598" s="5" t="str">
        <f>IF(B598="", IF(F598="", "", C597), IF(sample_log!E598="Triennial SASS", "tri_params", "params"))</f>
        <v/>
      </c>
      <c r="D598" s="5" t="str">
        <f>IF(B598="", "", C598 &amp; "!" &amp; CHAR(65+MATCH(B598, params!$B$2:$R$2, 0)))</f>
        <v/>
      </c>
      <c r="E598" s="5" t="str">
        <f ca="1">IF(B598="", "", COUNTA(INDIRECT(D598 &amp; 3):INDIRECT(D598 &amp; 24)))</f>
        <v/>
      </c>
      <c r="F598" s="5" t="str">
        <f t="shared" si="20"/>
        <v/>
      </c>
      <c r="G598" s="5" t="str">
        <f>IF(F598="", "", IF(B598&lt;&gt;"", MATCH(B598, params!$B$2:$R$2, 0), G597))</f>
        <v/>
      </c>
      <c r="H598" s="5" t="str">
        <f t="shared" ca="1" si="19"/>
        <v/>
      </c>
      <c r="M598" s="2"/>
    </row>
    <row r="599" spans="2:13" ht="15.6" x14ac:dyDescent="0.3">
      <c r="B599" s="5" t="str">
        <f>IF(COUNTIF(data_val!$E$3:$E$5, sample_log!$E599), sample_log!$C599 &amp; "_" &amp; sample_log!$D599, "")</f>
        <v/>
      </c>
      <c r="C599" s="5" t="str">
        <f>IF(B599="", IF(F599="", "", C598), IF(sample_log!E599="Triennial SASS", "tri_params", "params"))</f>
        <v/>
      </c>
      <c r="D599" s="5" t="str">
        <f>IF(B599="", "", C599 &amp; "!" &amp; CHAR(65+MATCH(B599, params!$B$2:$R$2, 0)))</f>
        <v/>
      </c>
      <c r="E599" s="5" t="str">
        <f ca="1">IF(B599="", "", COUNTA(INDIRECT(D599 &amp; 3):INDIRECT(D599 &amp; 24)))</f>
        <v/>
      </c>
      <c r="F599" s="5" t="str">
        <f t="shared" si="20"/>
        <v/>
      </c>
      <c r="G599" s="5" t="str">
        <f>IF(F599="", "", IF(B599&lt;&gt;"", MATCH(B599, params!$B$2:$R$2, 0), G598))</f>
        <v/>
      </c>
      <c r="H599" s="5" t="str">
        <f t="shared" ca="1" si="19"/>
        <v/>
      </c>
      <c r="M599" s="2"/>
    </row>
    <row r="600" spans="2:13" ht="15.6" x14ac:dyDescent="0.3">
      <c r="B600" s="5" t="str">
        <f>IF(COUNTIF(data_val!$E$3:$E$5, sample_log!$E600), sample_log!$C600 &amp; "_" &amp; sample_log!$D600, "")</f>
        <v/>
      </c>
      <c r="C600" s="5" t="str">
        <f>IF(B600="", IF(F600="", "", C599), IF(sample_log!E600="Triennial SASS", "tri_params", "params"))</f>
        <v/>
      </c>
      <c r="D600" s="5" t="str">
        <f>IF(B600="", "", C600 &amp; "!" &amp; CHAR(65+MATCH(B600, params!$B$2:$R$2, 0)))</f>
        <v/>
      </c>
      <c r="E600" s="5" t="str">
        <f ca="1">IF(B600="", "", COUNTA(INDIRECT(D600 &amp; 3):INDIRECT(D600 &amp; 24)))</f>
        <v/>
      </c>
      <c r="F600" s="5" t="str">
        <f t="shared" si="20"/>
        <v/>
      </c>
      <c r="G600" s="5" t="str">
        <f>IF(F600="", "", IF(B600&lt;&gt;"", MATCH(B600, params!$B$2:$R$2, 0), G599))</f>
        <v/>
      </c>
      <c r="H600" s="5" t="str">
        <f t="shared" ca="1" si="19"/>
        <v/>
      </c>
      <c r="M600" s="2"/>
    </row>
    <row r="601" spans="2:13" ht="15.6" x14ac:dyDescent="0.3">
      <c r="B601" s="5" t="str">
        <f>IF(COUNTIF(data_val!$E$3:$E$5, sample_log!$E601), sample_log!$C601 &amp; "_" &amp; sample_log!$D601, "")</f>
        <v/>
      </c>
      <c r="C601" s="5" t="str">
        <f>IF(B601="", IF(F601="", "", C600), IF(sample_log!E601="Triennial SASS", "tri_params", "params"))</f>
        <v/>
      </c>
      <c r="D601" s="5" t="str">
        <f>IF(B601="", "", C601 &amp; "!" &amp; CHAR(65+MATCH(B601, params!$B$2:$R$2, 0)))</f>
        <v/>
      </c>
      <c r="E601" s="5" t="str">
        <f ca="1">IF(B601="", "", COUNTA(INDIRECT(D601 &amp; 3):INDIRECT(D601 &amp; 24)))</f>
        <v/>
      </c>
      <c r="F601" s="5" t="str">
        <f t="shared" si="20"/>
        <v/>
      </c>
      <c r="G601" s="5" t="str">
        <f>IF(F601="", "", IF(B601&lt;&gt;"", MATCH(B601, params!$B$2:$R$2, 0), G600))</f>
        <v/>
      </c>
      <c r="H601" s="5" t="str">
        <f t="shared" ref="H601:H664" ca="1" si="21">IF($F601="", "", INDEX(INDIRECT("'" &amp; C601 &amp; "'!$B$3:$R$24"), $F601, $G601))</f>
        <v/>
      </c>
      <c r="M601" s="2"/>
    </row>
    <row r="602" spans="2:13" ht="15.6" x14ac:dyDescent="0.3">
      <c r="B602" s="5" t="str">
        <f>IF(COUNTIF(data_val!$E$3:$E$5, sample_log!$E602), sample_log!$C602 &amp; "_" &amp; sample_log!$D602, "")</f>
        <v/>
      </c>
      <c r="C602" s="5" t="str">
        <f>IF(B602="", IF(F602="", "", C601), IF(sample_log!E602="Triennial SASS", "tri_params", "params"))</f>
        <v/>
      </c>
      <c r="D602" s="5" t="str">
        <f>IF(B602="", "", C602 &amp; "!" &amp; CHAR(65+MATCH(B602, params!$B$2:$R$2, 0)))</f>
        <v/>
      </c>
      <c r="E602" s="5" t="str">
        <f ca="1">IF(B602="", "", COUNTA(INDIRECT(D602 &amp; 3):INDIRECT(D602 &amp; 24)))</f>
        <v/>
      </c>
      <c r="F602" s="5" t="str">
        <f t="shared" si="20"/>
        <v/>
      </c>
      <c r="G602" s="5" t="str">
        <f>IF(F602="", "", IF(B602&lt;&gt;"", MATCH(B602, params!$B$2:$R$2, 0), G601))</f>
        <v/>
      </c>
      <c r="H602" s="5" t="str">
        <f t="shared" ca="1" si="21"/>
        <v/>
      </c>
      <c r="M602" s="2"/>
    </row>
    <row r="603" spans="2:13" ht="15.6" x14ac:dyDescent="0.3">
      <c r="B603" s="5" t="str">
        <f>IF(COUNTIF(data_val!$E$3:$E$5, sample_log!$E603), sample_log!$C603 &amp; "_" &amp; sample_log!$D603, "")</f>
        <v/>
      </c>
      <c r="C603" s="5" t="str">
        <f>IF(B603="", IF(F603="", "", C602), IF(sample_log!E603="Triennial SASS", "tri_params", "params"))</f>
        <v/>
      </c>
      <c r="D603" s="5" t="str">
        <f>IF(B603="", "", C603 &amp; "!" &amp; CHAR(65+MATCH(B603, params!$B$2:$R$2, 0)))</f>
        <v/>
      </c>
      <c r="E603" s="5" t="str">
        <f ca="1">IF(B603="", "", COUNTA(INDIRECT(D603 &amp; 3):INDIRECT(D603 &amp; 24)))</f>
        <v/>
      </c>
      <c r="F603" s="5" t="str">
        <f t="shared" si="20"/>
        <v/>
      </c>
      <c r="G603" s="5" t="str">
        <f>IF(F603="", "", IF(B603&lt;&gt;"", MATCH(B603, params!$B$2:$R$2, 0), G602))</f>
        <v/>
      </c>
      <c r="H603" s="5" t="str">
        <f t="shared" ca="1" si="21"/>
        <v/>
      </c>
      <c r="M603" s="2"/>
    </row>
    <row r="604" spans="2:13" ht="15.6" x14ac:dyDescent="0.3">
      <c r="B604" s="5" t="str">
        <f>IF(COUNTIF(data_val!$E$3:$E$5, sample_log!$E604), sample_log!$C604 &amp; "_" &amp; sample_log!$D604, "")</f>
        <v/>
      </c>
      <c r="C604" s="5" t="str">
        <f>IF(B604="", IF(F604="", "", C603), IF(sample_log!E604="Triennial SASS", "tri_params", "params"))</f>
        <v/>
      </c>
      <c r="D604" s="5" t="str">
        <f>IF(B604="", "", C604 &amp; "!" &amp; CHAR(65+MATCH(B604, params!$B$2:$R$2, 0)))</f>
        <v/>
      </c>
      <c r="E604" s="5" t="str">
        <f ca="1">IF(B604="", "", COUNTA(INDIRECT(D604 &amp; 3):INDIRECT(D604 &amp; 24)))</f>
        <v/>
      </c>
      <c r="F604" s="5" t="str">
        <f t="shared" si="20"/>
        <v/>
      </c>
      <c r="G604" s="5" t="str">
        <f>IF(F604="", "", IF(B604&lt;&gt;"", MATCH(B604, params!$B$2:$R$2, 0), G603))</f>
        <v/>
      </c>
      <c r="H604" s="5" t="str">
        <f t="shared" ca="1" si="21"/>
        <v/>
      </c>
      <c r="M604" s="2"/>
    </row>
    <row r="605" spans="2:13" ht="15.6" x14ac:dyDescent="0.3">
      <c r="B605" s="5" t="str">
        <f>IF(COUNTIF(data_val!$E$3:$E$5, sample_log!$E605), sample_log!$C605 &amp; "_" &amp; sample_log!$D605, "")</f>
        <v/>
      </c>
      <c r="C605" s="5" t="str">
        <f>IF(B605="", IF(F605="", "", C604), IF(sample_log!E605="Triennial SASS", "tri_params", "params"))</f>
        <v/>
      </c>
      <c r="D605" s="5" t="str">
        <f>IF(B605="", "", C605 &amp; "!" &amp; CHAR(65+MATCH(B605, params!$B$2:$R$2, 0)))</f>
        <v/>
      </c>
      <c r="E605" s="5" t="str">
        <f ca="1">IF(B605="", "", COUNTA(INDIRECT(D605 &amp; 3):INDIRECT(D605 &amp; 24)))</f>
        <v/>
      </c>
      <c r="F605" s="5" t="str">
        <f t="shared" si="20"/>
        <v/>
      </c>
      <c r="G605" s="5" t="str">
        <f>IF(F605="", "", IF(B605&lt;&gt;"", MATCH(B605, params!$B$2:$R$2, 0), G604))</f>
        <v/>
      </c>
      <c r="H605" s="5" t="str">
        <f t="shared" ca="1" si="21"/>
        <v/>
      </c>
      <c r="M605" s="2"/>
    </row>
    <row r="606" spans="2:13" ht="15.6" x14ac:dyDescent="0.3">
      <c r="B606" s="5" t="str">
        <f>IF(COUNTIF(data_val!$E$3:$E$5, sample_log!$E606), sample_log!$C606 &amp; "_" &amp; sample_log!$D606, "")</f>
        <v/>
      </c>
      <c r="C606" s="5" t="str">
        <f>IF(B606="", IF(F606="", "", C605), IF(sample_log!E606="Triennial SASS", "tri_params", "params"))</f>
        <v/>
      </c>
      <c r="D606" s="5" t="str">
        <f>IF(B606="", "", C606 &amp; "!" &amp; CHAR(65+MATCH(B606, params!$B$2:$R$2, 0)))</f>
        <v/>
      </c>
      <c r="E606" s="5" t="str">
        <f ca="1">IF(B606="", "", COUNTA(INDIRECT(D606 &amp; 3):INDIRECT(D606 &amp; 24)))</f>
        <v/>
      </c>
      <c r="F606" s="5" t="str">
        <f t="shared" si="20"/>
        <v/>
      </c>
      <c r="G606" s="5" t="str">
        <f>IF(F606="", "", IF(B606&lt;&gt;"", MATCH(B606, params!$B$2:$R$2, 0), G605))</f>
        <v/>
      </c>
      <c r="H606" s="5" t="str">
        <f t="shared" ca="1" si="21"/>
        <v/>
      </c>
      <c r="M606" s="2"/>
    </row>
    <row r="607" spans="2:13" ht="15.6" x14ac:dyDescent="0.3">
      <c r="B607" s="5" t="str">
        <f>IF(COUNTIF(data_val!$E$3:$E$5, sample_log!$E607), sample_log!$C607 &amp; "_" &amp; sample_log!$D607, "")</f>
        <v/>
      </c>
      <c r="C607" s="5" t="str">
        <f>IF(B607="", IF(F607="", "", C606), IF(sample_log!E607="Triennial SASS", "tri_params", "params"))</f>
        <v/>
      </c>
      <c r="D607" s="5" t="str">
        <f>IF(B607="", "", C607 &amp; "!" &amp; CHAR(65+MATCH(B607, params!$B$2:$R$2, 0)))</f>
        <v/>
      </c>
      <c r="E607" s="5" t="str">
        <f ca="1">IF(B607="", "", COUNTA(INDIRECT(D607 &amp; 3):INDIRECT(D607 &amp; 24)))</f>
        <v/>
      </c>
      <c r="F607" s="5" t="str">
        <f t="shared" si="20"/>
        <v/>
      </c>
      <c r="G607" s="5" t="str">
        <f>IF(F607="", "", IF(B607&lt;&gt;"", MATCH(B607, params!$B$2:$R$2, 0), G606))</f>
        <v/>
      </c>
      <c r="H607" s="5" t="str">
        <f t="shared" ca="1" si="21"/>
        <v/>
      </c>
      <c r="M607" s="2"/>
    </row>
    <row r="608" spans="2:13" ht="15.6" x14ac:dyDescent="0.3">
      <c r="B608" s="5" t="str">
        <f>IF(COUNTIF(data_val!$E$3:$E$5, sample_log!$E608), sample_log!$C608 &amp; "_" &amp; sample_log!$D608, "")</f>
        <v/>
      </c>
      <c r="C608" s="5" t="str">
        <f>IF(B608="", IF(F608="", "", C607), IF(sample_log!E608="Triennial SASS", "tri_params", "params"))</f>
        <v/>
      </c>
      <c r="D608" s="5" t="str">
        <f>IF(B608="", "", C608 &amp; "!" &amp; CHAR(65+MATCH(B608, params!$B$2:$R$2, 0)))</f>
        <v/>
      </c>
      <c r="E608" s="5" t="str">
        <f ca="1">IF(B608="", "", COUNTA(INDIRECT(D608 &amp; 3):INDIRECT(D608 &amp; 24)))</f>
        <v/>
      </c>
      <c r="F608" s="5" t="str">
        <f t="shared" si="20"/>
        <v/>
      </c>
      <c r="G608" s="5" t="str">
        <f>IF(F608="", "", IF(B608&lt;&gt;"", MATCH(B608, params!$B$2:$R$2, 0), G607))</f>
        <v/>
      </c>
      <c r="H608" s="5" t="str">
        <f t="shared" ca="1" si="21"/>
        <v/>
      </c>
      <c r="M608" s="2"/>
    </row>
    <row r="609" spans="2:13" ht="15.6" x14ac:dyDescent="0.3">
      <c r="B609" s="5" t="str">
        <f>IF(COUNTIF(data_val!$E$3:$E$5, sample_log!$E609), sample_log!$C609 &amp; "_" &amp; sample_log!$D609, "")</f>
        <v/>
      </c>
      <c r="C609" s="5" t="str">
        <f>IF(B609="", IF(F609="", "", C608), IF(sample_log!E609="Triennial SASS", "tri_params", "params"))</f>
        <v/>
      </c>
      <c r="D609" s="5" t="str">
        <f>IF(B609="", "", C609 &amp; "!" &amp; CHAR(65+MATCH(B609, params!$B$2:$R$2, 0)))</f>
        <v/>
      </c>
      <c r="E609" s="5" t="str">
        <f ca="1">IF(B609="", "", COUNTA(INDIRECT(D609 &amp; 3):INDIRECT(D609 &amp; 24)))</f>
        <v/>
      </c>
      <c r="F609" s="5" t="str">
        <f t="shared" si="20"/>
        <v/>
      </c>
      <c r="G609" s="5" t="str">
        <f>IF(F609="", "", IF(B609&lt;&gt;"", MATCH(B609, params!$B$2:$R$2, 0), G608))</f>
        <v/>
      </c>
      <c r="H609" s="5" t="str">
        <f t="shared" ca="1" si="21"/>
        <v/>
      </c>
      <c r="M609" s="2"/>
    </row>
    <row r="610" spans="2:13" ht="15.6" x14ac:dyDescent="0.3">
      <c r="B610" s="5" t="str">
        <f>IF(COUNTIF(data_val!$E$3:$E$5, sample_log!$E610), sample_log!$C610 &amp; "_" &amp; sample_log!$D610, "")</f>
        <v/>
      </c>
      <c r="C610" s="5" t="str">
        <f>IF(B610="", IF(F610="", "", C609), IF(sample_log!E610="Triennial SASS", "tri_params", "params"))</f>
        <v/>
      </c>
      <c r="D610" s="5" t="str">
        <f>IF(B610="", "", C610 &amp; "!" &amp; CHAR(65+MATCH(B610, params!$B$2:$R$2, 0)))</f>
        <v/>
      </c>
      <c r="E610" s="5" t="str">
        <f ca="1">IF(B610="", "", COUNTA(INDIRECT(D610 &amp; 3):INDIRECT(D610 &amp; 24)))</f>
        <v/>
      </c>
      <c r="F610" s="5" t="str">
        <f t="shared" si="20"/>
        <v/>
      </c>
      <c r="G610" s="5" t="str">
        <f>IF(F610="", "", IF(B610&lt;&gt;"", MATCH(B610, params!$B$2:$R$2, 0), G609))</f>
        <v/>
      </c>
      <c r="H610" s="5" t="str">
        <f t="shared" ca="1" si="21"/>
        <v/>
      </c>
      <c r="M610" s="2"/>
    </row>
    <row r="611" spans="2:13" ht="15.6" x14ac:dyDescent="0.3">
      <c r="B611" s="5" t="str">
        <f>IF(COUNTIF(data_val!$E$3:$E$5, sample_log!$E611), sample_log!$C611 &amp; "_" &amp; sample_log!$D611, "")</f>
        <v/>
      </c>
      <c r="C611" s="5" t="str">
        <f>IF(B611="", IF(F611="", "", C610), IF(sample_log!E611="Triennial SASS", "tri_params", "params"))</f>
        <v/>
      </c>
      <c r="D611" s="5" t="str">
        <f>IF(B611="", "", C611 &amp; "!" &amp; CHAR(65+MATCH(B611, params!$B$2:$R$2, 0)))</f>
        <v/>
      </c>
      <c r="E611" s="5" t="str">
        <f ca="1">IF(B611="", "", COUNTA(INDIRECT(D611 &amp; 3):INDIRECT(D611 &amp; 24)))</f>
        <v/>
      </c>
      <c r="F611" s="5" t="str">
        <f t="shared" si="20"/>
        <v/>
      </c>
      <c r="G611" s="5" t="str">
        <f>IF(F611="", "", IF(B611&lt;&gt;"", MATCH(B611, params!$B$2:$R$2, 0), G610))</f>
        <v/>
      </c>
      <c r="H611" s="5" t="str">
        <f t="shared" ca="1" si="21"/>
        <v/>
      </c>
      <c r="M611" s="2"/>
    </row>
    <row r="612" spans="2:13" ht="15.6" x14ac:dyDescent="0.3">
      <c r="B612" s="5" t="str">
        <f>IF(COUNTIF(data_val!$E$3:$E$5, sample_log!$E612), sample_log!$C612 &amp; "_" &amp; sample_log!$D612, "")</f>
        <v/>
      </c>
      <c r="C612" s="5" t="str">
        <f>IF(B612="", IF(F612="", "", C611), IF(sample_log!E612="Triennial SASS", "tri_params", "params"))</f>
        <v/>
      </c>
      <c r="D612" s="5" t="str">
        <f>IF(B612="", "", C612 &amp; "!" &amp; CHAR(65+MATCH(B612, params!$B$2:$R$2, 0)))</f>
        <v/>
      </c>
      <c r="E612" s="5" t="str">
        <f ca="1">IF(B612="", "", COUNTA(INDIRECT(D612 &amp; 3):INDIRECT(D612 &amp; 24)))</f>
        <v/>
      </c>
      <c r="F612" s="5" t="str">
        <f t="shared" si="20"/>
        <v/>
      </c>
      <c r="G612" s="5" t="str">
        <f>IF(F612="", "", IF(B612&lt;&gt;"", MATCH(B612, params!$B$2:$R$2, 0), G611))</f>
        <v/>
      </c>
      <c r="H612" s="5" t="str">
        <f t="shared" ca="1" si="21"/>
        <v/>
      </c>
      <c r="M612" s="2"/>
    </row>
    <row r="613" spans="2:13" ht="15.6" x14ac:dyDescent="0.3">
      <c r="B613" s="5" t="str">
        <f>IF(COUNTIF(data_val!$E$3:$E$5, sample_log!$E613), sample_log!$C613 &amp; "_" &amp; sample_log!$D613, "")</f>
        <v/>
      </c>
      <c r="C613" s="5" t="str">
        <f>IF(B613="", IF(F613="", "", C612), IF(sample_log!E613="Triennial SASS", "tri_params", "params"))</f>
        <v/>
      </c>
      <c r="D613" s="5" t="str">
        <f>IF(B613="", "", C613 &amp; "!" &amp; CHAR(65+MATCH(B613, params!$B$2:$R$2, 0)))</f>
        <v/>
      </c>
      <c r="E613" s="5" t="str">
        <f ca="1">IF(B613="", "", COUNTA(INDIRECT(D613 &amp; 3):INDIRECT(D613 &amp; 24)))</f>
        <v/>
      </c>
      <c r="F613" s="5" t="str">
        <f t="shared" si="20"/>
        <v/>
      </c>
      <c r="G613" s="5" t="str">
        <f>IF(F613="", "", IF(B613&lt;&gt;"", MATCH(B613, params!$B$2:$R$2, 0), G612))</f>
        <v/>
      </c>
      <c r="H613" s="5" t="str">
        <f t="shared" ca="1" si="21"/>
        <v/>
      </c>
      <c r="M613" s="2"/>
    </row>
    <row r="614" spans="2:13" ht="15.6" x14ac:dyDescent="0.3">
      <c r="B614" s="5" t="str">
        <f>IF(COUNTIF(data_val!$E$3:$E$5, sample_log!$E614), sample_log!$C614 &amp; "_" &amp; sample_log!$D614, "")</f>
        <v/>
      </c>
      <c r="C614" s="5" t="str">
        <f>IF(B614="", IF(F614="", "", C613), IF(sample_log!E614="Triennial SASS", "tri_params", "params"))</f>
        <v/>
      </c>
      <c r="D614" s="5" t="str">
        <f>IF(B614="", "", C614 &amp; "!" &amp; CHAR(65+MATCH(B614, params!$B$2:$R$2, 0)))</f>
        <v/>
      </c>
      <c r="E614" s="5" t="str">
        <f ca="1">IF(B614="", "", COUNTA(INDIRECT(D614 &amp; 3):INDIRECT(D614 &amp; 24)))</f>
        <v/>
      </c>
      <c r="F614" s="5" t="str">
        <f t="shared" si="20"/>
        <v/>
      </c>
      <c r="G614" s="5" t="str">
        <f>IF(F614="", "", IF(B614&lt;&gt;"", MATCH(B614, params!$B$2:$R$2, 0), G613))</f>
        <v/>
      </c>
      <c r="H614" s="5" t="str">
        <f t="shared" ca="1" si="21"/>
        <v/>
      </c>
      <c r="M614" s="2"/>
    </row>
    <row r="615" spans="2:13" ht="15.6" x14ac:dyDescent="0.3">
      <c r="B615" s="5" t="str">
        <f>IF(COUNTIF(data_val!$E$3:$E$5, sample_log!$E615), sample_log!$C615 &amp; "_" &amp; sample_log!$D615, "")</f>
        <v/>
      </c>
      <c r="C615" s="5" t="str">
        <f>IF(B615="", IF(F615="", "", C614), IF(sample_log!E615="Triennial SASS", "tri_params", "params"))</f>
        <v/>
      </c>
      <c r="D615" s="5" t="str">
        <f>IF(B615="", "", C615 &amp; "!" &amp; CHAR(65+MATCH(B615, params!$B$2:$R$2, 0)))</f>
        <v/>
      </c>
      <c r="E615" s="5" t="str">
        <f ca="1">IF(B615="", "", COUNTA(INDIRECT(D615 &amp; 3):INDIRECT(D615 &amp; 24)))</f>
        <v/>
      </c>
      <c r="F615" s="5" t="str">
        <f t="shared" si="20"/>
        <v/>
      </c>
      <c r="G615" s="5" t="str">
        <f>IF(F615="", "", IF(B615&lt;&gt;"", MATCH(B615, params!$B$2:$R$2, 0), G614))</f>
        <v/>
      </c>
      <c r="H615" s="5" t="str">
        <f t="shared" ca="1" si="21"/>
        <v/>
      </c>
      <c r="M615" s="2"/>
    </row>
    <row r="616" spans="2:13" ht="15.6" x14ac:dyDescent="0.3">
      <c r="B616" s="5" t="str">
        <f>IF(COUNTIF(data_val!$E$3:$E$5, sample_log!$E616), sample_log!$C616 &amp; "_" &amp; sample_log!$D616, "")</f>
        <v/>
      </c>
      <c r="C616" s="5" t="str">
        <f>IF(B616="", IF(F616="", "", C615), IF(sample_log!E616="Triennial SASS", "tri_params", "params"))</f>
        <v/>
      </c>
      <c r="D616" s="5" t="str">
        <f>IF(B616="", "", C616 &amp; "!" &amp; CHAR(65+MATCH(B616, params!$B$2:$R$2, 0)))</f>
        <v/>
      </c>
      <c r="E616" s="5" t="str">
        <f ca="1">IF(B616="", "", COUNTA(INDIRECT(D616 &amp; 3):INDIRECT(D616 &amp; 24)))</f>
        <v/>
      </c>
      <c r="F616" s="5" t="str">
        <f t="shared" si="20"/>
        <v/>
      </c>
      <c r="G616" s="5" t="str">
        <f>IF(F616="", "", IF(B616&lt;&gt;"", MATCH(B616, params!$B$2:$R$2, 0), G615))</f>
        <v/>
      </c>
      <c r="H616" s="5" t="str">
        <f t="shared" ca="1" si="21"/>
        <v/>
      </c>
      <c r="M616" s="2"/>
    </row>
    <row r="617" spans="2:13" ht="15.6" x14ac:dyDescent="0.3">
      <c r="B617" s="5" t="str">
        <f>IF(COUNTIF(data_val!$E$3:$E$5, sample_log!$E617), sample_log!$C617 &amp; "_" &amp; sample_log!$D617, "")</f>
        <v/>
      </c>
      <c r="C617" s="5" t="str">
        <f>IF(B617="", IF(F617="", "", C616), IF(sample_log!E617="Triennial SASS", "tri_params", "params"))</f>
        <v/>
      </c>
      <c r="D617" s="5" t="str">
        <f>IF(B617="", "", C617 &amp; "!" &amp; CHAR(65+MATCH(B617, params!$B$2:$R$2, 0)))</f>
        <v/>
      </c>
      <c r="E617" s="5" t="str">
        <f ca="1">IF(B617="", "", COUNTA(INDIRECT(D617 &amp; 3):INDIRECT(D617 &amp; 24)))</f>
        <v/>
      </c>
      <c r="F617" s="5" t="str">
        <f t="shared" si="20"/>
        <v/>
      </c>
      <c r="G617" s="5" t="str">
        <f>IF(F617="", "", IF(B617&lt;&gt;"", MATCH(B617, params!$B$2:$R$2, 0), G616))</f>
        <v/>
      </c>
      <c r="H617" s="5" t="str">
        <f t="shared" ca="1" si="21"/>
        <v/>
      </c>
      <c r="M617" s="2"/>
    </row>
    <row r="618" spans="2:13" ht="15.6" x14ac:dyDescent="0.3">
      <c r="B618" s="5" t="str">
        <f>IF(COUNTIF(data_val!$E$3:$E$5, sample_log!$E618), sample_log!$C618 &amp; "_" &amp; sample_log!$D618, "")</f>
        <v/>
      </c>
      <c r="C618" s="5" t="str">
        <f>IF(B618="", IF(F618="", "", C617), IF(sample_log!E618="Triennial SASS", "tri_params", "params"))</f>
        <v/>
      </c>
      <c r="D618" s="5" t="str">
        <f>IF(B618="", "", C618 &amp; "!" &amp; CHAR(65+MATCH(B618, params!$B$2:$R$2, 0)))</f>
        <v/>
      </c>
      <c r="E618" s="5" t="str">
        <f ca="1">IF(B618="", "", COUNTA(INDIRECT(D618 &amp; 3):INDIRECT(D618 &amp; 24)))</f>
        <v/>
      </c>
      <c r="F618" s="5" t="str">
        <f t="shared" si="20"/>
        <v/>
      </c>
      <c r="G618" s="5" t="str">
        <f>IF(F618="", "", IF(B618&lt;&gt;"", MATCH(B618, params!$B$2:$R$2, 0), G617))</f>
        <v/>
      </c>
      <c r="H618" s="5" t="str">
        <f t="shared" ca="1" si="21"/>
        <v/>
      </c>
      <c r="M618" s="2"/>
    </row>
    <row r="619" spans="2:13" ht="15.6" x14ac:dyDescent="0.3">
      <c r="B619" s="5" t="str">
        <f>IF(COUNTIF(data_val!$E$3:$E$5, sample_log!$E619), sample_log!$C619 &amp; "_" &amp; sample_log!$D619, "")</f>
        <v/>
      </c>
      <c r="C619" s="5" t="str">
        <f>IF(B619="", IF(F619="", "", C618), IF(sample_log!E619="Triennial SASS", "tri_params", "params"))</f>
        <v/>
      </c>
      <c r="D619" s="5" t="str">
        <f>IF(B619="", "", C619 &amp; "!" &amp; CHAR(65+MATCH(B619, params!$B$2:$R$2, 0)))</f>
        <v/>
      </c>
      <c r="E619" s="5" t="str">
        <f ca="1">IF(B619="", "", COUNTA(INDIRECT(D619 &amp; 3):INDIRECT(D619 &amp; 24)))</f>
        <v/>
      </c>
      <c r="F619" s="5" t="str">
        <f t="shared" si="20"/>
        <v/>
      </c>
      <c r="G619" s="5" t="str">
        <f>IF(F619="", "", IF(B619&lt;&gt;"", MATCH(B619, params!$B$2:$R$2, 0), G618))</f>
        <v/>
      </c>
      <c r="H619" s="5" t="str">
        <f t="shared" ca="1" si="21"/>
        <v/>
      </c>
      <c r="M619" s="2"/>
    </row>
    <row r="620" spans="2:13" ht="15.6" x14ac:dyDescent="0.3">
      <c r="B620" s="5" t="str">
        <f>IF(COUNTIF(data_val!$E$3:$E$5, sample_log!$E620), sample_log!$C620 &amp; "_" &amp; sample_log!$D620, "")</f>
        <v/>
      </c>
      <c r="C620" s="5" t="str">
        <f>IF(B620="", IF(F620="", "", C619), IF(sample_log!E620="Triennial SASS", "tri_params", "params"))</f>
        <v/>
      </c>
      <c r="D620" s="5" t="str">
        <f>IF(B620="", "", C620 &amp; "!" &amp; CHAR(65+MATCH(B620, params!$B$2:$R$2, 0)))</f>
        <v/>
      </c>
      <c r="E620" s="5" t="str">
        <f ca="1">IF(B620="", "", COUNTA(INDIRECT(D620 &amp; 3):INDIRECT(D620 &amp; 24)))</f>
        <v/>
      </c>
      <c r="F620" s="5" t="str">
        <f t="shared" si="20"/>
        <v/>
      </c>
      <c r="G620" s="5" t="str">
        <f>IF(F620="", "", IF(B620&lt;&gt;"", MATCH(B620, params!$B$2:$R$2, 0), G619))</f>
        <v/>
      </c>
      <c r="H620" s="5" t="str">
        <f t="shared" ca="1" si="21"/>
        <v/>
      </c>
      <c r="M620" s="2"/>
    </row>
    <row r="621" spans="2:13" ht="15.6" x14ac:dyDescent="0.3">
      <c r="B621" s="5" t="str">
        <f>IF(COUNTIF(data_val!$E$3:$E$5, sample_log!$E621), sample_log!$C621 &amp; "_" &amp; sample_log!$D621, "")</f>
        <v/>
      </c>
      <c r="C621" s="5" t="str">
        <f>IF(B621="", IF(F621="", "", C620), IF(sample_log!E621="Triennial SASS", "tri_params", "params"))</f>
        <v/>
      </c>
      <c r="D621" s="5" t="str">
        <f>IF(B621="", "", C621 &amp; "!" &amp; CHAR(65+MATCH(B621, params!$B$2:$R$2, 0)))</f>
        <v/>
      </c>
      <c r="E621" s="5" t="str">
        <f ca="1">IF(B621="", "", COUNTA(INDIRECT(D621 &amp; 3):INDIRECT(D621 &amp; 24)))</f>
        <v/>
      </c>
      <c r="F621" s="5" t="str">
        <f t="shared" si="20"/>
        <v/>
      </c>
      <c r="G621" s="5" t="str">
        <f>IF(F621="", "", IF(B621&lt;&gt;"", MATCH(B621, params!$B$2:$R$2, 0), G620))</f>
        <v/>
      </c>
      <c r="H621" s="5" t="str">
        <f t="shared" ca="1" si="21"/>
        <v/>
      </c>
      <c r="M621" s="2"/>
    </row>
    <row r="622" spans="2:13" ht="15.6" x14ac:dyDescent="0.3">
      <c r="B622" s="5" t="str">
        <f>IF(COUNTIF(data_val!$E$3:$E$5, sample_log!$E622), sample_log!$C622 &amp; "_" &amp; sample_log!$D622, "")</f>
        <v/>
      </c>
      <c r="C622" s="5" t="str">
        <f>IF(B622="", IF(F622="", "", C621), IF(sample_log!E622="Triennial SASS", "tri_params", "params"))</f>
        <v/>
      </c>
      <c r="D622" s="5" t="str">
        <f>IF(B622="", "", C622 &amp; "!" &amp; CHAR(65+MATCH(B622, params!$B$2:$R$2, 0)))</f>
        <v/>
      </c>
      <c r="E622" s="5" t="str">
        <f ca="1">IF(B622="", "", COUNTA(INDIRECT(D622 &amp; 3):INDIRECT(D622 &amp; 24)))</f>
        <v/>
      </c>
      <c r="F622" s="5" t="str">
        <f t="shared" si="20"/>
        <v/>
      </c>
      <c r="G622" s="5" t="str">
        <f>IF(F622="", "", IF(B622&lt;&gt;"", MATCH(B622, params!$B$2:$R$2, 0), G621))</f>
        <v/>
      </c>
      <c r="H622" s="5" t="str">
        <f t="shared" ca="1" si="21"/>
        <v/>
      </c>
      <c r="M622" s="2"/>
    </row>
    <row r="623" spans="2:13" ht="15.6" x14ac:dyDescent="0.3">
      <c r="B623" s="5" t="str">
        <f>IF(COUNTIF(data_val!$E$3:$E$5, sample_log!$E623), sample_log!$C623 &amp; "_" &amp; sample_log!$D623, "")</f>
        <v/>
      </c>
      <c r="C623" s="5" t="str">
        <f>IF(B623="", IF(F623="", "", C622), IF(sample_log!E623="Triennial SASS", "tri_params", "params"))</f>
        <v/>
      </c>
      <c r="D623" s="5" t="str">
        <f>IF(B623="", "", C623 &amp; "!" &amp; CHAR(65+MATCH(B623, params!$B$2:$R$2, 0)))</f>
        <v/>
      </c>
      <c r="E623" s="5" t="str">
        <f ca="1">IF(B623="", "", COUNTA(INDIRECT(D623 &amp; 3):INDIRECT(D623 &amp; 24)))</f>
        <v/>
      </c>
      <c r="F623" s="5" t="str">
        <f t="shared" si="20"/>
        <v/>
      </c>
      <c r="G623" s="5" t="str">
        <f>IF(F623="", "", IF(B623&lt;&gt;"", MATCH(B623, params!$B$2:$R$2, 0), G622))</f>
        <v/>
      </c>
      <c r="H623" s="5" t="str">
        <f t="shared" ca="1" si="21"/>
        <v/>
      </c>
      <c r="M623" s="2"/>
    </row>
    <row r="624" spans="2:13" ht="15.6" x14ac:dyDescent="0.3">
      <c r="B624" s="5" t="str">
        <f>IF(COUNTIF(data_val!$E$3:$E$5, sample_log!$E624), sample_log!$C624 &amp; "_" &amp; sample_log!$D624, "")</f>
        <v/>
      </c>
      <c r="C624" s="5" t="str">
        <f>IF(B624="", IF(F624="", "", C623), IF(sample_log!E624="Triennial SASS", "tri_params", "params"))</f>
        <v/>
      </c>
      <c r="D624" s="5" t="str">
        <f>IF(B624="", "", C624 &amp; "!" &amp; CHAR(65+MATCH(B624, params!$B$2:$R$2, 0)))</f>
        <v/>
      </c>
      <c r="E624" s="5" t="str">
        <f ca="1">IF(B624="", "", COUNTA(INDIRECT(D624 &amp; 3):INDIRECT(D624 &amp; 24)))</f>
        <v/>
      </c>
      <c r="F624" s="5" t="str">
        <f t="shared" si="20"/>
        <v/>
      </c>
      <c r="G624" s="5" t="str">
        <f>IF(F624="", "", IF(B624&lt;&gt;"", MATCH(B624, params!$B$2:$R$2, 0), G623))</f>
        <v/>
      </c>
      <c r="H624" s="5" t="str">
        <f t="shared" ca="1" si="21"/>
        <v/>
      </c>
      <c r="M624" s="2"/>
    </row>
    <row r="625" spans="2:13" ht="15.6" x14ac:dyDescent="0.3">
      <c r="B625" s="5" t="str">
        <f>IF(COUNTIF(data_val!$E$3:$E$5, sample_log!$E625), sample_log!$C625 &amp; "_" &amp; sample_log!$D625, "")</f>
        <v/>
      </c>
      <c r="C625" s="5" t="str">
        <f>IF(B625="", IF(F625="", "", C624), IF(sample_log!E625="Triennial SASS", "tri_params", "params"))</f>
        <v/>
      </c>
      <c r="D625" s="5" t="str">
        <f>IF(B625="", "", C625 &amp; "!" &amp; CHAR(65+MATCH(B625, params!$B$2:$R$2, 0)))</f>
        <v/>
      </c>
      <c r="E625" s="5" t="str">
        <f ca="1">IF(B625="", "", COUNTA(INDIRECT(D625 &amp; 3):INDIRECT(D625 &amp; 24)))</f>
        <v/>
      </c>
      <c r="F625" s="5" t="str">
        <f t="shared" si="20"/>
        <v/>
      </c>
      <c r="G625" s="5" t="str">
        <f>IF(F625="", "", IF(B625&lt;&gt;"", MATCH(B625, params!$B$2:$R$2, 0), G624))</f>
        <v/>
      </c>
      <c r="H625" s="5" t="str">
        <f t="shared" ca="1" si="21"/>
        <v/>
      </c>
      <c r="M625" s="2"/>
    </row>
    <row r="626" spans="2:13" ht="15.6" x14ac:dyDescent="0.3">
      <c r="B626" s="5" t="str">
        <f>IF(COUNTIF(data_val!$E$3:$E$5, sample_log!$E626), sample_log!$C626 &amp; "_" &amp; sample_log!$D626, "")</f>
        <v/>
      </c>
      <c r="C626" s="5" t="str">
        <f>IF(B626="", IF(F626="", "", C625), IF(sample_log!E626="Triennial SASS", "tri_params", "params"))</f>
        <v/>
      </c>
      <c r="D626" s="5" t="str">
        <f>IF(B626="", "", C626 &amp; "!" &amp; CHAR(65+MATCH(B626, params!$B$2:$R$2, 0)))</f>
        <v/>
      </c>
      <c r="E626" s="5" t="str">
        <f ca="1">IF(B626="", "", COUNTA(INDIRECT(D626 &amp; 3):INDIRECT(D626 &amp; 24)))</f>
        <v/>
      </c>
      <c r="F626" s="5" t="str">
        <f t="shared" si="20"/>
        <v/>
      </c>
      <c r="G626" s="5" t="str">
        <f>IF(F626="", "", IF(B626&lt;&gt;"", MATCH(B626, params!$B$2:$R$2, 0), G625))</f>
        <v/>
      </c>
      <c r="H626" s="5" t="str">
        <f t="shared" ca="1" si="21"/>
        <v/>
      </c>
      <c r="M626" s="2"/>
    </row>
    <row r="627" spans="2:13" ht="15.6" x14ac:dyDescent="0.3">
      <c r="B627" s="5" t="str">
        <f>IF(COUNTIF(data_val!$E$3:$E$5, sample_log!$E627), sample_log!$C627 &amp; "_" &amp; sample_log!$D627, "")</f>
        <v/>
      </c>
      <c r="C627" s="5" t="str">
        <f>IF(B627="", IF(F627="", "", C626), IF(sample_log!E627="Triennial SASS", "tri_params", "params"))</f>
        <v/>
      </c>
      <c r="D627" s="5" t="str">
        <f>IF(B627="", "", C627 &amp; "!" &amp; CHAR(65+MATCH(B627, params!$B$2:$R$2, 0)))</f>
        <v/>
      </c>
      <c r="E627" s="5" t="str">
        <f ca="1">IF(B627="", "", COUNTA(INDIRECT(D627 &amp; 3):INDIRECT(D627 &amp; 24)))</f>
        <v/>
      </c>
      <c r="F627" s="5" t="str">
        <f t="shared" si="20"/>
        <v/>
      </c>
      <c r="G627" s="5" t="str">
        <f>IF(F627="", "", IF(B627&lt;&gt;"", MATCH(B627, params!$B$2:$R$2, 0), G626))</f>
        <v/>
      </c>
      <c r="H627" s="5" t="str">
        <f t="shared" ca="1" si="21"/>
        <v/>
      </c>
      <c r="M627" s="2"/>
    </row>
    <row r="628" spans="2:13" ht="15.6" x14ac:dyDescent="0.3">
      <c r="B628" s="5" t="str">
        <f>IF(COUNTIF(data_val!$E$3:$E$5, sample_log!$E628), sample_log!$C628 &amp; "_" &amp; sample_log!$D628, "")</f>
        <v/>
      </c>
      <c r="C628" s="5" t="str">
        <f>IF(B628="", IF(F628="", "", C627), IF(sample_log!E628="Triennial SASS", "tri_params", "params"))</f>
        <v/>
      </c>
      <c r="D628" s="5" t="str">
        <f>IF(B628="", "", C628 &amp; "!" &amp; CHAR(65+MATCH(B628, params!$B$2:$R$2, 0)))</f>
        <v/>
      </c>
      <c r="E628" s="5" t="str">
        <f ca="1">IF(B628="", "", COUNTA(INDIRECT(D628 &amp; 3):INDIRECT(D628 &amp; 24)))</f>
        <v/>
      </c>
      <c r="F628" s="5" t="str">
        <f t="shared" si="20"/>
        <v/>
      </c>
      <c r="G628" s="5" t="str">
        <f>IF(F628="", "", IF(B628&lt;&gt;"", MATCH(B628, params!$B$2:$R$2, 0), G627))</f>
        <v/>
      </c>
      <c r="H628" s="5" t="str">
        <f t="shared" ca="1" si="21"/>
        <v/>
      </c>
      <c r="M628" s="2"/>
    </row>
    <row r="629" spans="2:13" ht="15.6" x14ac:dyDescent="0.3">
      <c r="B629" s="5" t="str">
        <f>IF(COUNTIF(data_val!$E$3:$E$5, sample_log!$E629), sample_log!$C629 &amp; "_" &amp; sample_log!$D629, "")</f>
        <v/>
      </c>
      <c r="C629" s="5" t="str">
        <f>IF(B629="", IF(F629="", "", C628), IF(sample_log!E629="Triennial SASS", "tri_params", "params"))</f>
        <v/>
      </c>
      <c r="D629" s="5" t="str">
        <f>IF(B629="", "", C629 &amp; "!" &amp; CHAR(65+MATCH(B629, params!$B$2:$R$2, 0)))</f>
        <v/>
      </c>
      <c r="E629" s="5" t="str">
        <f ca="1">IF(B629="", "", COUNTA(INDIRECT(D629 &amp; 3):INDIRECT(D629 &amp; 24)))</f>
        <v/>
      </c>
      <c r="F629" s="5" t="str">
        <f t="shared" si="20"/>
        <v/>
      </c>
      <c r="G629" s="5" t="str">
        <f>IF(F629="", "", IF(B629&lt;&gt;"", MATCH(B629, params!$B$2:$R$2, 0), G628))</f>
        <v/>
      </c>
      <c r="H629" s="5" t="str">
        <f t="shared" ca="1" si="21"/>
        <v/>
      </c>
      <c r="M629" s="2"/>
    </row>
    <row r="630" spans="2:13" ht="15.6" x14ac:dyDescent="0.3">
      <c r="B630" s="5" t="str">
        <f>IF(COUNTIF(data_val!$E$3:$E$5, sample_log!$E630), sample_log!$C630 &amp; "_" &amp; sample_log!$D630, "")</f>
        <v/>
      </c>
      <c r="C630" s="5" t="str">
        <f>IF(B630="", IF(F630="", "", C629), IF(sample_log!E630="Triennial SASS", "tri_params", "params"))</f>
        <v/>
      </c>
      <c r="D630" s="5" t="str">
        <f>IF(B630="", "", C630 &amp; "!" &amp; CHAR(65+MATCH(B630, params!$B$2:$R$2, 0)))</f>
        <v/>
      </c>
      <c r="E630" s="5" t="str">
        <f ca="1">IF(B630="", "", COUNTA(INDIRECT(D630 &amp; 3):INDIRECT(D630 &amp; 24)))</f>
        <v/>
      </c>
      <c r="F630" s="5" t="str">
        <f t="shared" si="20"/>
        <v/>
      </c>
      <c r="G630" s="5" t="str">
        <f>IF(F630="", "", IF(B630&lt;&gt;"", MATCH(B630, params!$B$2:$R$2, 0), G629))</f>
        <v/>
      </c>
      <c r="H630" s="5" t="str">
        <f t="shared" ca="1" si="21"/>
        <v/>
      </c>
      <c r="M630" s="2"/>
    </row>
    <row r="631" spans="2:13" ht="15.6" x14ac:dyDescent="0.3">
      <c r="B631" s="5" t="str">
        <f>IF(COUNTIF(data_val!$E$3:$E$5, sample_log!$E631), sample_log!$C631 &amp; "_" &amp; sample_log!$D631, "")</f>
        <v/>
      </c>
      <c r="C631" s="5" t="str">
        <f>IF(B631="", IF(F631="", "", C630), IF(sample_log!E631="Triennial SASS", "tri_params", "params"))</f>
        <v/>
      </c>
      <c r="D631" s="5" t="str">
        <f>IF(B631="", "", C631 &amp; "!" &amp; CHAR(65+MATCH(B631, params!$B$2:$R$2, 0)))</f>
        <v/>
      </c>
      <c r="E631" s="5" t="str">
        <f ca="1">IF(B631="", "", COUNTA(INDIRECT(D631 &amp; 3):INDIRECT(D631 &amp; 24)))</f>
        <v/>
      </c>
      <c r="F631" s="5" t="str">
        <f t="shared" si="20"/>
        <v/>
      </c>
      <c r="G631" s="5" t="str">
        <f>IF(F631="", "", IF(B631&lt;&gt;"", MATCH(B631, params!$B$2:$R$2, 0), G630))</f>
        <v/>
      </c>
      <c r="H631" s="5" t="str">
        <f t="shared" ca="1" si="21"/>
        <v/>
      </c>
      <c r="M631" s="2"/>
    </row>
    <row r="632" spans="2:13" ht="15.6" x14ac:dyDescent="0.3">
      <c r="B632" s="5" t="str">
        <f>IF(COUNTIF(data_val!$E$3:$E$5, sample_log!$E632), sample_log!$C632 &amp; "_" &amp; sample_log!$D632, "")</f>
        <v/>
      </c>
      <c r="C632" s="5" t="str">
        <f>IF(B632="", IF(F632="", "", C631), IF(sample_log!E632="Triennial SASS", "tri_params", "params"))</f>
        <v/>
      </c>
      <c r="D632" s="5" t="str">
        <f>IF(B632="", "", C632 &amp; "!" &amp; CHAR(65+MATCH(B632, params!$B$2:$R$2, 0)))</f>
        <v/>
      </c>
      <c r="E632" s="5" t="str">
        <f ca="1">IF(B632="", "", COUNTA(INDIRECT(D632 &amp; 3):INDIRECT(D632 &amp; 24)))</f>
        <v/>
      </c>
      <c r="F632" s="5" t="str">
        <f t="shared" si="20"/>
        <v/>
      </c>
      <c r="G632" s="5" t="str">
        <f>IF(F632="", "", IF(B632&lt;&gt;"", MATCH(B632, params!$B$2:$R$2, 0), G631))</f>
        <v/>
      </c>
      <c r="H632" s="5" t="str">
        <f t="shared" ca="1" si="21"/>
        <v/>
      </c>
      <c r="M632" s="2"/>
    </row>
    <row r="633" spans="2:13" ht="15.6" x14ac:dyDescent="0.3">
      <c r="B633" s="5" t="str">
        <f>IF(COUNTIF(data_val!$E$3:$E$5, sample_log!$E633), sample_log!$C633 &amp; "_" &amp; sample_log!$D633, "")</f>
        <v/>
      </c>
      <c r="C633" s="5" t="str">
        <f>IF(B633="", IF(F633="", "", C632), IF(sample_log!E633="Triennial SASS", "tri_params", "params"))</f>
        <v/>
      </c>
      <c r="D633" s="5" t="str">
        <f>IF(B633="", "", C633 &amp; "!" &amp; CHAR(65+MATCH(B633, params!$B$2:$R$2, 0)))</f>
        <v/>
      </c>
      <c r="E633" s="5" t="str">
        <f ca="1">IF(B633="", "", COUNTA(INDIRECT(D633 &amp; 3):INDIRECT(D633 &amp; 24)))</f>
        <v/>
      </c>
      <c r="F633" s="5" t="str">
        <f t="shared" si="20"/>
        <v/>
      </c>
      <c r="G633" s="5" t="str">
        <f>IF(F633="", "", IF(B633&lt;&gt;"", MATCH(B633, params!$B$2:$R$2, 0), G632))</f>
        <v/>
      </c>
      <c r="H633" s="5" t="str">
        <f t="shared" ca="1" si="21"/>
        <v/>
      </c>
      <c r="M633" s="2"/>
    </row>
    <row r="634" spans="2:13" ht="15.6" x14ac:dyDescent="0.3">
      <c r="B634" s="5" t="str">
        <f>IF(COUNTIF(data_val!$E$3:$E$5, sample_log!$E634), sample_log!$C634 &amp; "_" &amp; sample_log!$D634, "")</f>
        <v/>
      </c>
      <c r="C634" s="5" t="str">
        <f>IF(B634="", IF(F634="", "", C633), IF(sample_log!E634="Triennial SASS", "tri_params", "params"))</f>
        <v/>
      </c>
      <c r="D634" s="5" t="str">
        <f>IF(B634="", "", C634 &amp; "!" &amp; CHAR(65+MATCH(B634, params!$B$2:$R$2, 0)))</f>
        <v/>
      </c>
      <c r="E634" s="5" t="str">
        <f ca="1">IF(B634="", "", COUNTA(INDIRECT(D634 &amp; 3):INDIRECT(D634 &amp; 24)))</f>
        <v/>
      </c>
      <c r="F634" s="5" t="str">
        <f t="shared" si="20"/>
        <v/>
      </c>
      <c r="G634" s="5" t="str">
        <f>IF(F634="", "", IF(B634&lt;&gt;"", MATCH(B634, params!$B$2:$R$2, 0), G633))</f>
        <v/>
      </c>
      <c r="H634" s="5" t="str">
        <f t="shared" ca="1" si="21"/>
        <v/>
      </c>
      <c r="M634" s="2"/>
    </row>
    <row r="635" spans="2:13" ht="15.6" x14ac:dyDescent="0.3">
      <c r="B635" s="5" t="str">
        <f>IF(COUNTIF(data_val!$E$3:$E$5, sample_log!$E635), sample_log!$C635 &amp; "_" &amp; sample_log!$D635, "")</f>
        <v/>
      </c>
      <c r="C635" s="5" t="str">
        <f>IF(B635="", IF(F635="", "", C634), IF(sample_log!E635="Triennial SASS", "tri_params", "params"))</f>
        <v/>
      </c>
      <c r="D635" s="5" t="str">
        <f>IF(B635="", "", C635 &amp; "!" &amp; CHAR(65+MATCH(B635, params!$B$2:$R$2, 0)))</f>
        <v/>
      </c>
      <c r="E635" s="5" t="str">
        <f ca="1">IF(B635="", "", COUNTA(INDIRECT(D635 &amp; 3):INDIRECT(D635 &amp; 24)))</f>
        <v/>
      </c>
      <c r="F635" s="5" t="str">
        <f t="shared" si="20"/>
        <v/>
      </c>
      <c r="G635" s="5" t="str">
        <f>IF(F635="", "", IF(B635&lt;&gt;"", MATCH(B635, params!$B$2:$R$2, 0), G634))</f>
        <v/>
      </c>
      <c r="H635" s="5" t="str">
        <f t="shared" ca="1" si="21"/>
        <v/>
      </c>
      <c r="M635" s="2"/>
    </row>
    <row r="636" spans="2:13" ht="15.6" x14ac:dyDescent="0.3">
      <c r="B636" s="5" t="str">
        <f>IF(COUNTIF(data_val!$E$3:$E$5, sample_log!$E636), sample_log!$C636 &amp; "_" &amp; sample_log!$D636, "")</f>
        <v/>
      </c>
      <c r="C636" s="5" t="str">
        <f>IF(B636="", IF(F636="", "", C635), IF(sample_log!E636="Triennial SASS", "tri_params", "params"))</f>
        <v/>
      </c>
      <c r="D636" s="5" t="str">
        <f>IF(B636="", "", C636 &amp; "!" &amp; CHAR(65+MATCH(B636, params!$B$2:$R$2, 0)))</f>
        <v/>
      </c>
      <c r="E636" s="5" t="str">
        <f ca="1">IF(B636="", "", COUNTA(INDIRECT(D636 &amp; 3):INDIRECT(D636 &amp; 24)))</f>
        <v/>
      </c>
      <c r="F636" s="5" t="str">
        <f t="shared" si="20"/>
        <v/>
      </c>
      <c r="G636" s="5" t="str">
        <f>IF(F636="", "", IF(B636&lt;&gt;"", MATCH(B636, params!$B$2:$R$2, 0), G635))</f>
        <v/>
      </c>
      <c r="H636" s="5" t="str">
        <f t="shared" ca="1" si="21"/>
        <v/>
      </c>
      <c r="M636" s="2"/>
    </row>
    <row r="637" spans="2:13" ht="15.6" x14ac:dyDescent="0.3">
      <c r="B637" s="5" t="str">
        <f>IF(COUNTIF(data_val!$E$3:$E$5, sample_log!$E637), sample_log!$C637 &amp; "_" &amp; sample_log!$D637, "")</f>
        <v/>
      </c>
      <c r="C637" s="5" t="str">
        <f>IF(B637="", IF(F637="", "", C636), IF(sample_log!E637="Triennial SASS", "tri_params", "params"))</f>
        <v/>
      </c>
      <c r="D637" s="5" t="str">
        <f>IF(B637="", "", C637 &amp; "!" &amp; CHAR(65+MATCH(B637, params!$B$2:$R$2, 0)))</f>
        <v/>
      </c>
      <c r="E637" s="5" t="str">
        <f ca="1">IF(B637="", "", COUNTA(INDIRECT(D637 &amp; 3):INDIRECT(D637 &amp; 24)))</f>
        <v/>
      </c>
      <c r="F637" s="5" t="str">
        <f t="shared" si="20"/>
        <v/>
      </c>
      <c r="G637" s="5" t="str">
        <f>IF(F637="", "", IF(B637&lt;&gt;"", MATCH(B637, params!$B$2:$R$2, 0), G636))</f>
        <v/>
      </c>
      <c r="H637" s="5" t="str">
        <f t="shared" ca="1" si="21"/>
        <v/>
      </c>
      <c r="M637" s="2"/>
    </row>
    <row r="638" spans="2:13" ht="15.6" x14ac:dyDescent="0.3">
      <c r="B638" s="5" t="str">
        <f>IF(COUNTIF(data_val!$E$3:$E$5, sample_log!$E638), sample_log!$C638 &amp; "_" &amp; sample_log!$D638, "")</f>
        <v/>
      </c>
      <c r="C638" s="5" t="str">
        <f>IF(B638="", IF(F638="", "", C637), IF(sample_log!E638="Triennial SASS", "tri_params", "params"))</f>
        <v/>
      </c>
      <c r="D638" s="5" t="str">
        <f>IF(B638="", "", C638 &amp; "!" &amp; CHAR(65+MATCH(B638, params!$B$2:$R$2, 0)))</f>
        <v/>
      </c>
      <c r="E638" s="5" t="str">
        <f ca="1">IF(B638="", "", COUNTA(INDIRECT(D638 &amp; 3):INDIRECT(D638 &amp; 24)))</f>
        <v/>
      </c>
      <c r="F638" s="5" t="str">
        <f t="shared" si="20"/>
        <v/>
      </c>
      <c r="G638" s="5" t="str">
        <f>IF(F638="", "", IF(B638&lt;&gt;"", MATCH(B638, params!$B$2:$R$2, 0), G637))</f>
        <v/>
      </c>
      <c r="H638" s="5" t="str">
        <f t="shared" ca="1" si="21"/>
        <v/>
      </c>
      <c r="M638" s="2"/>
    </row>
    <row r="639" spans="2:13" ht="15.6" x14ac:dyDescent="0.3">
      <c r="B639" s="5" t="str">
        <f>IF(COUNTIF(data_val!$E$3:$E$5, sample_log!$E639), sample_log!$C639 &amp; "_" &amp; sample_log!$D639, "")</f>
        <v/>
      </c>
      <c r="C639" s="5" t="str">
        <f>IF(B639="", IF(F639="", "", C638), IF(sample_log!E639="Triennial SASS", "tri_params", "params"))</f>
        <v/>
      </c>
      <c r="D639" s="5" t="str">
        <f>IF(B639="", "", C639 &amp; "!" &amp; CHAR(65+MATCH(B639, params!$B$2:$R$2, 0)))</f>
        <v/>
      </c>
      <c r="E639" s="5" t="str">
        <f ca="1">IF(B639="", "", COUNTA(INDIRECT(D639 &amp; 3):INDIRECT(D639 &amp; 24)))</f>
        <v/>
      </c>
      <c r="F639" s="5" t="str">
        <f t="shared" si="20"/>
        <v/>
      </c>
      <c r="G639" s="5" t="str">
        <f>IF(F639="", "", IF(B639&lt;&gt;"", MATCH(B639, params!$B$2:$R$2, 0), G638))</f>
        <v/>
      </c>
      <c r="H639" s="5" t="str">
        <f t="shared" ca="1" si="21"/>
        <v/>
      </c>
      <c r="M639" s="2"/>
    </row>
    <row r="640" spans="2:13" ht="15.6" x14ac:dyDescent="0.3">
      <c r="B640" s="5" t="str">
        <f>IF(COUNTIF(data_val!$E$3:$E$5, sample_log!$E640), sample_log!$C640 &amp; "_" &amp; sample_log!$D640, "")</f>
        <v/>
      </c>
      <c r="C640" s="5" t="str">
        <f>IF(B640="", IF(F640="", "", C639), IF(sample_log!E640="Triennial SASS", "tri_params", "params"))</f>
        <v/>
      </c>
      <c r="D640" s="5" t="str">
        <f>IF(B640="", "", C640 &amp; "!" &amp; CHAR(65+MATCH(B640, params!$B$2:$R$2, 0)))</f>
        <v/>
      </c>
      <c r="E640" s="5" t="str">
        <f ca="1">IF(B640="", "", COUNTA(INDIRECT(D640 &amp; 3):INDIRECT(D640 &amp; 24)))</f>
        <v/>
      </c>
      <c r="F640" s="5" t="str">
        <f t="shared" si="20"/>
        <v/>
      </c>
      <c r="G640" s="5" t="str">
        <f>IF(F640="", "", IF(B640&lt;&gt;"", MATCH(B640, params!$B$2:$R$2, 0), G639))</f>
        <v/>
      </c>
      <c r="H640" s="5" t="str">
        <f t="shared" ca="1" si="21"/>
        <v/>
      </c>
      <c r="M640" s="2"/>
    </row>
    <row r="641" spans="2:13" ht="15.6" x14ac:dyDescent="0.3">
      <c r="B641" s="5" t="str">
        <f>IF(COUNTIF(data_val!$E$3:$E$5, sample_log!$E641), sample_log!$C641 &amp; "_" &amp; sample_log!$D641, "")</f>
        <v/>
      </c>
      <c r="C641" s="5" t="str">
        <f>IF(B641="", IF(F641="", "", C640), IF(sample_log!E641="Triennial SASS", "tri_params", "params"))</f>
        <v/>
      </c>
      <c r="D641" s="5" t="str">
        <f>IF(B641="", "", C641 &amp; "!" &amp; CHAR(65+MATCH(B641, params!$B$2:$R$2, 0)))</f>
        <v/>
      </c>
      <c r="E641" s="5" t="str">
        <f ca="1">IF(B641="", "", COUNTA(INDIRECT(D641 &amp; 3):INDIRECT(D641 &amp; 24)))</f>
        <v/>
      </c>
      <c r="F641" s="5" t="str">
        <f t="shared" si="20"/>
        <v/>
      </c>
      <c r="G641" s="5" t="str">
        <f>IF(F641="", "", IF(B641&lt;&gt;"", MATCH(B641, params!$B$2:$R$2, 0), G640))</f>
        <v/>
      </c>
      <c r="H641" s="5" t="str">
        <f t="shared" ca="1" si="21"/>
        <v/>
      </c>
      <c r="M641" s="2"/>
    </row>
    <row r="642" spans="2:13" ht="15.6" x14ac:dyDescent="0.3">
      <c r="B642" s="5" t="str">
        <f>IF(COUNTIF(data_val!$E$3:$E$5, sample_log!$E642), sample_log!$C642 &amp; "_" &amp; sample_log!$D642, "")</f>
        <v/>
      </c>
      <c r="C642" s="5" t="str">
        <f>IF(B642="", IF(F642="", "", C641), IF(sample_log!E642="Triennial SASS", "tri_params", "params"))</f>
        <v/>
      </c>
      <c r="D642" s="5" t="str">
        <f>IF(B642="", "", C642 &amp; "!" &amp; CHAR(65+MATCH(B642, params!$B$2:$R$2, 0)))</f>
        <v/>
      </c>
      <c r="E642" s="5" t="str">
        <f ca="1">IF(B642="", "", COUNTA(INDIRECT(D642 &amp; 3):INDIRECT(D642 &amp; 24)))</f>
        <v/>
      </c>
      <c r="F642" s="5" t="str">
        <f t="shared" si="20"/>
        <v/>
      </c>
      <c r="G642" s="5" t="str">
        <f>IF(F642="", "", IF(B642&lt;&gt;"", MATCH(B642, params!$B$2:$R$2, 0), G641))</f>
        <v/>
      </c>
      <c r="H642" s="5" t="str">
        <f t="shared" ca="1" si="21"/>
        <v/>
      </c>
      <c r="M642" s="2"/>
    </row>
    <row r="643" spans="2:13" ht="15.6" x14ac:dyDescent="0.3">
      <c r="B643" s="5" t="str">
        <f>IF(COUNTIF(data_val!$E$3:$E$5, sample_log!$E643), sample_log!$C643 &amp; "_" &amp; sample_log!$D643, "")</f>
        <v/>
      </c>
      <c r="C643" s="5" t="str">
        <f>IF(B643="", IF(F643="", "", C642), IF(sample_log!E643="Triennial SASS", "tri_params", "params"))</f>
        <v/>
      </c>
      <c r="D643" s="5" t="str">
        <f>IF(B643="", "", C643 &amp; "!" &amp; CHAR(65+MATCH(B643, params!$B$2:$R$2, 0)))</f>
        <v/>
      </c>
      <c r="E643" s="5" t="str">
        <f ca="1">IF(B643="", "", COUNTA(INDIRECT(D643 &amp; 3):INDIRECT(D643 &amp; 24)))</f>
        <v/>
      </c>
      <c r="F643" s="5" t="str">
        <f t="shared" ref="F643:F706" si="22">IF(B643="", IF(NOT(ISNUMBER(F642)), "", IF(F642-1&gt;0, F642-1, "")), E643)</f>
        <v/>
      </c>
      <c r="G643" s="5" t="str">
        <f>IF(F643="", "", IF(B643&lt;&gt;"", MATCH(B643, params!$B$2:$R$2, 0), G642))</f>
        <v/>
      </c>
      <c r="H643" s="5" t="str">
        <f t="shared" ca="1" si="21"/>
        <v/>
      </c>
      <c r="M643" s="2"/>
    </row>
    <row r="644" spans="2:13" ht="15.6" x14ac:dyDescent="0.3">
      <c r="B644" s="5" t="str">
        <f>IF(COUNTIF(data_val!$E$3:$E$5, sample_log!$E644), sample_log!$C644 &amp; "_" &amp; sample_log!$D644, "")</f>
        <v/>
      </c>
      <c r="C644" s="5" t="str">
        <f>IF(B644="", IF(F644="", "", C643), IF(sample_log!E644="Triennial SASS", "tri_params", "params"))</f>
        <v/>
      </c>
      <c r="D644" s="5" t="str">
        <f>IF(B644="", "", C644 &amp; "!" &amp; CHAR(65+MATCH(B644, params!$B$2:$R$2, 0)))</f>
        <v/>
      </c>
      <c r="E644" s="5" t="str">
        <f ca="1">IF(B644="", "", COUNTA(INDIRECT(D644 &amp; 3):INDIRECT(D644 &amp; 24)))</f>
        <v/>
      </c>
      <c r="F644" s="5" t="str">
        <f t="shared" si="22"/>
        <v/>
      </c>
      <c r="G644" s="5" t="str">
        <f>IF(F644="", "", IF(B644&lt;&gt;"", MATCH(B644, params!$B$2:$R$2, 0), G643))</f>
        <v/>
      </c>
      <c r="H644" s="5" t="str">
        <f t="shared" ca="1" si="21"/>
        <v/>
      </c>
      <c r="M644" s="2"/>
    </row>
    <row r="645" spans="2:13" ht="15.6" x14ac:dyDescent="0.3">
      <c r="B645" s="5" t="str">
        <f>IF(COUNTIF(data_val!$E$3:$E$5, sample_log!$E645), sample_log!$C645 &amp; "_" &amp; sample_log!$D645, "")</f>
        <v/>
      </c>
      <c r="C645" s="5" t="str">
        <f>IF(B645="", IF(F645="", "", C644), IF(sample_log!E645="Triennial SASS", "tri_params", "params"))</f>
        <v/>
      </c>
      <c r="D645" s="5" t="str">
        <f>IF(B645="", "", C645 &amp; "!" &amp; CHAR(65+MATCH(B645, params!$B$2:$R$2, 0)))</f>
        <v/>
      </c>
      <c r="E645" s="5" t="str">
        <f ca="1">IF(B645="", "", COUNTA(INDIRECT(D645 &amp; 3):INDIRECT(D645 &amp; 24)))</f>
        <v/>
      </c>
      <c r="F645" s="5" t="str">
        <f t="shared" si="22"/>
        <v/>
      </c>
      <c r="G645" s="5" t="str">
        <f>IF(F645="", "", IF(B645&lt;&gt;"", MATCH(B645, params!$B$2:$R$2, 0), G644))</f>
        <v/>
      </c>
      <c r="H645" s="5" t="str">
        <f t="shared" ca="1" si="21"/>
        <v/>
      </c>
      <c r="M645" s="2"/>
    </row>
    <row r="646" spans="2:13" ht="15.6" x14ac:dyDescent="0.3">
      <c r="B646" s="5" t="str">
        <f>IF(COUNTIF(data_val!$E$3:$E$5, sample_log!$E646), sample_log!$C646 &amp; "_" &amp; sample_log!$D646, "")</f>
        <v/>
      </c>
      <c r="C646" s="5" t="str">
        <f>IF(B646="", IF(F646="", "", C645), IF(sample_log!E646="Triennial SASS", "tri_params", "params"))</f>
        <v/>
      </c>
      <c r="D646" s="5" t="str">
        <f>IF(B646="", "", C646 &amp; "!" &amp; CHAR(65+MATCH(B646, params!$B$2:$R$2, 0)))</f>
        <v/>
      </c>
      <c r="E646" s="5" t="str">
        <f ca="1">IF(B646="", "", COUNTA(INDIRECT(D646 &amp; 3):INDIRECT(D646 &amp; 24)))</f>
        <v/>
      </c>
      <c r="F646" s="5" t="str">
        <f t="shared" si="22"/>
        <v/>
      </c>
      <c r="G646" s="5" t="str">
        <f>IF(F646="", "", IF(B646&lt;&gt;"", MATCH(B646, params!$B$2:$R$2, 0), G645))</f>
        <v/>
      </c>
      <c r="H646" s="5" t="str">
        <f t="shared" ca="1" si="21"/>
        <v/>
      </c>
      <c r="M646" s="2"/>
    </row>
    <row r="647" spans="2:13" ht="15.6" x14ac:dyDescent="0.3">
      <c r="B647" s="5" t="str">
        <f>IF(COUNTIF(data_val!$E$3:$E$5, sample_log!$E647), sample_log!$C647 &amp; "_" &amp; sample_log!$D647, "")</f>
        <v/>
      </c>
      <c r="C647" s="5" t="str">
        <f>IF(B647="", IF(F647="", "", C646), IF(sample_log!E647="Triennial SASS", "tri_params", "params"))</f>
        <v/>
      </c>
      <c r="D647" s="5" t="str">
        <f>IF(B647="", "", C647 &amp; "!" &amp; CHAR(65+MATCH(B647, params!$B$2:$R$2, 0)))</f>
        <v/>
      </c>
      <c r="E647" s="5" t="str">
        <f ca="1">IF(B647="", "", COUNTA(INDIRECT(D647 &amp; 3):INDIRECT(D647 &amp; 24)))</f>
        <v/>
      </c>
      <c r="F647" s="5" t="str">
        <f t="shared" si="22"/>
        <v/>
      </c>
      <c r="G647" s="5" t="str">
        <f>IF(F647="", "", IF(B647&lt;&gt;"", MATCH(B647, params!$B$2:$R$2, 0), G646))</f>
        <v/>
      </c>
      <c r="H647" s="5" t="str">
        <f t="shared" ca="1" si="21"/>
        <v/>
      </c>
      <c r="M647" s="2"/>
    </row>
    <row r="648" spans="2:13" ht="15.6" x14ac:dyDescent="0.3">
      <c r="B648" s="5" t="str">
        <f>IF(COUNTIF(data_val!$E$3:$E$5, sample_log!$E648), sample_log!$C648 &amp; "_" &amp; sample_log!$D648, "")</f>
        <v/>
      </c>
      <c r="C648" s="5" t="str">
        <f>IF(B648="", IF(F648="", "", C647), IF(sample_log!E648="Triennial SASS", "tri_params", "params"))</f>
        <v/>
      </c>
      <c r="D648" s="5" t="str">
        <f>IF(B648="", "", C648 &amp; "!" &amp; CHAR(65+MATCH(B648, params!$B$2:$R$2, 0)))</f>
        <v/>
      </c>
      <c r="E648" s="5" t="str">
        <f ca="1">IF(B648="", "", COUNTA(INDIRECT(D648 &amp; 3):INDIRECT(D648 &amp; 24)))</f>
        <v/>
      </c>
      <c r="F648" s="5" t="str">
        <f t="shared" si="22"/>
        <v/>
      </c>
      <c r="G648" s="5" t="str">
        <f>IF(F648="", "", IF(B648&lt;&gt;"", MATCH(B648, params!$B$2:$R$2, 0), G647))</f>
        <v/>
      </c>
      <c r="H648" s="5" t="str">
        <f t="shared" ca="1" si="21"/>
        <v/>
      </c>
      <c r="M648" s="2"/>
    </row>
    <row r="649" spans="2:13" ht="15.6" x14ac:dyDescent="0.3">
      <c r="B649" s="5" t="str">
        <f>IF(COUNTIF(data_val!$E$3:$E$5, sample_log!$E649), sample_log!$C649 &amp; "_" &amp; sample_log!$D649, "")</f>
        <v/>
      </c>
      <c r="C649" s="5" t="str">
        <f>IF(B649="", IF(F649="", "", C648), IF(sample_log!E649="Triennial SASS", "tri_params", "params"))</f>
        <v/>
      </c>
      <c r="D649" s="5" t="str">
        <f>IF(B649="", "", C649 &amp; "!" &amp; CHAR(65+MATCH(B649, params!$B$2:$R$2, 0)))</f>
        <v/>
      </c>
      <c r="E649" s="5" t="str">
        <f ca="1">IF(B649="", "", COUNTA(INDIRECT(D649 &amp; 3):INDIRECT(D649 &amp; 24)))</f>
        <v/>
      </c>
      <c r="F649" s="5" t="str">
        <f t="shared" si="22"/>
        <v/>
      </c>
      <c r="G649" s="5" t="str">
        <f>IF(F649="", "", IF(B649&lt;&gt;"", MATCH(B649, params!$B$2:$R$2, 0), G648))</f>
        <v/>
      </c>
      <c r="H649" s="5" t="str">
        <f t="shared" ca="1" si="21"/>
        <v/>
      </c>
      <c r="M649" s="2"/>
    </row>
    <row r="650" spans="2:13" ht="15.6" x14ac:dyDescent="0.3">
      <c r="B650" s="5" t="str">
        <f>IF(COUNTIF(data_val!$E$3:$E$5, sample_log!$E650), sample_log!$C650 &amp; "_" &amp; sample_log!$D650, "")</f>
        <v/>
      </c>
      <c r="C650" s="5" t="str">
        <f>IF(B650="", IF(F650="", "", C649), IF(sample_log!E650="Triennial SASS", "tri_params", "params"))</f>
        <v/>
      </c>
      <c r="D650" s="5" t="str">
        <f>IF(B650="", "", C650 &amp; "!" &amp; CHAR(65+MATCH(B650, params!$B$2:$R$2, 0)))</f>
        <v/>
      </c>
      <c r="E650" s="5" t="str">
        <f ca="1">IF(B650="", "", COUNTA(INDIRECT(D650 &amp; 3):INDIRECT(D650 &amp; 24)))</f>
        <v/>
      </c>
      <c r="F650" s="5" t="str">
        <f t="shared" si="22"/>
        <v/>
      </c>
      <c r="G650" s="5" t="str">
        <f>IF(F650="", "", IF(B650&lt;&gt;"", MATCH(B650, params!$B$2:$R$2, 0), G649))</f>
        <v/>
      </c>
      <c r="H650" s="5" t="str">
        <f t="shared" ca="1" si="21"/>
        <v/>
      </c>
      <c r="M650" s="2"/>
    </row>
    <row r="651" spans="2:13" ht="15.6" x14ac:dyDescent="0.3">
      <c r="B651" s="5" t="str">
        <f>IF(COUNTIF(data_val!$E$3:$E$5, sample_log!$E651), sample_log!$C651 &amp; "_" &amp; sample_log!$D651, "")</f>
        <v/>
      </c>
      <c r="C651" s="5" t="str">
        <f>IF(B651="", IF(F651="", "", C650), IF(sample_log!E651="Triennial SASS", "tri_params", "params"))</f>
        <v/>
      </c>
      <c r="D651" s="5" t="str">
        <f>IF(B651="", "", C651 &amp; "!" &amp; CHAR(65+MATCH(B651, params!$B$2:$R$2, 0)))</f>
        <v/>
      </c>
      <c r="E651" s="5" t="str">
        <f ca="1">IF(B651="", "", COUNTA(INDIRECT(D651 &amp; 3):INDIRECT(D651 &amp; 24)))</f>
        <v/>
      </c>
      <c r="F651" s="5" t="str">
        <f t="shared" si="22"/>
        <v/>
      </c>
      <c r="G651" s="5" t="str">
        <f>IF(F651="", "", IF(B651&lt;&gt;"", MATCH(B651, params!$B$2:$R$2, 0), G650))</f>
        <v/>
      </c>
      <c r="H651" s="5" t="str">
        <f t="shared" ca="1" si="21"/>
        <v/>
      </c>
      <c r="M651" s="2"/>
    </row>
    <row r="652" spans="2:13" ht="15.6" x14ac:dyDescent="0.3">
      <c r="B652" s="5" t="str">
        <f>IF(COUNTIF(data_val!$E$3:$E$5, sample_log!$E652), sample_log!$C652 &amp; "_" &amp; sample_log!$D652, "")</f>
        <v/>
      </c>
      <c r="C652" s="5" t="str">
        <f>IF(B652="", IF(F652="", "", C651), IF(sample_log!E652="Triennial SASS", "tri_params", "params"))</f>
        <v/>
      </c>
      <c r="D652" s="5" t="str">
        <f>IF(B652="", "", C652 &amp; "!" &amp; CHAR(65+MATCH(B652, params!$B$2:$R$2, 0)))</f>
        <v/>
      </c>
      <c r="E652" s="5" t="str">
        <f ca="1">IF(B652="", "", COUNTA(INDIRECT(D652 &amp; 3):INDIRECT(D652 &amp; 24)))</f>
        <v/>
      </c>
      <c r="F652" s="5" t="str">
        <f t="shared" si="22"/>
        <v/>
      </c>
      <c r="G652" s="5" t="str">
        <f>IF(F652="", "", IF(B652&lt;&gt;"", MATCH(B652, params!$B$2:$R$2, 0), G651))</f>
        <v/>
      </c>
      <c r="H652" s="5" t="str">
        <f t="shared" ca="1" si="21"/>
        <v/>
      </c>
      <c r="M652" s="2"/>
    </row>
    <row r="653" spans="2:13" ht="15.6" x14ac:dyDescent="0.3">
      <c r="B653" s="5" t="str">
        <f>IF(COUNTIF(data_val!$E$3:$E$5, sample_log!$E653), sample_log!$C653 &amp; "_" &amp; sample_log!$D653, "")</f>
        <v/>
      </c>
      <c r="C653" s="5" t="str">
        <f>IF(B653="", IF(F653="", "", C652), IF(sample_log!E653="Triennial SASS", "tri_params", "params"))</f>
        <v/>
      </c>
      <c r="D653" s="5" t="str">
        <f>IF(B653="", "", C653 &amp; "!" &amp; CHAR(65+MATCH(B653, params!$B$2:$R$2, 0)))</f>
        <v/>
      </c>
      <c r="E653" s="5" t="str">
        <f ca="1">IF(B653="", "", COUNTA(INDIRECT(D653 &amp; 3):INDIRECT(D653 &amp; 24)))</f>
        <v/>
      </c>
      <c r="F653" s="5" t="str">
        <f t="shared" si="22"/>
        <v/>
      </c>
      <c r="G653" s="5" t="str">
        <f>IF(F653="", "", IF(B653&lt;&gt;"", MATCH(B653, params!$B$2:$R$2, 0), G652))</f>
        <v/>
      </c>
      <c r="H653" s="5" t="str">
        <f t="shared" ca="1" si="21"/>
        <v/>
      </c>
      <c r="M653" s="2"/>
    </row>
    <row r="654" spans="2:13" ht="15.6" x14ac:dyDescent="0.3">
      <c r="B654" s="5" t="str">
        <f>IF(COUNTIF(data_val!$E$3:$E$5, sample_log!$E654), sample_log!$C654 &amp; "_" &amp; sample_log!$D654, "")</f>
        <v/>
      </c>
      <c r="C654" s="5" t="str">
        <f>IF(B654="", IF(F654="", "", C653), IF(sample_log!E654="Triennial SASS", "tri_params", "params"))</f>
        <v/>
      </c>
      <c r="D654" s="5" t="str">
        <f>IF(B654="", "", C654 &amp; "!" &amp; CHAR(65+MATCH(B654, params!$B$2:$R$2, 0)))</f>
        <v/>
      </c>
      <c r="E654" s="5" t="str">
        <f ca="1">IF(B654="", "", COUNTA(INDIRECT(D654 &amp; 3):INDIRECT(D654 &amp; 24)))</f>
        <v/>
      </c>
      <c r="F654" s="5" t="str">
        <f t="shared" si="22"/>
        <v/>
      </c>
      <c r="G654" s="5" t="str">
        <f>IF(F654="", "", IF(B654&lt;&gt;"", MATCH(B654, params!$B$2:$R$2, 0), G653))</f>
        <v/>
      </c>
      <c r="H654" s="5" t="str">
        <f t="shared" ca="1" si="21"/>
        <v/>
      </c>
      <c r="M654" s="2"/>
    </row>
    <row r="655" spans="2:13" ht="15.6" x14ac:dyDescent="0.3">
      <c r="B655" s="5" t="str">
        <f>IF(COUNTIF(data_val!$E$3:$E$5, sample_log!$E655), sample_log!$C655 &amp; "_" &amp; sample_log!$D655, "")</f>
        <v/>
      </c>
      <c r="C655" s="5" t="str">
        <f>IF(B655="", IF(F655="", "", C654), IF(sample_log!E655="Triennial SASS", "tri_params", "params"))</f>
        <v/>
      </c>
      <c r="D655" s="5" t="str">
        <f>IF(B655="", "", C655 &amp; "!" &amp; CHAR(65+MATCH(B655, params!$B$2:$R$2, 0)))</f>
        <v/>
      </c>
      <c r="E655" s="5" t="str">
        <f ca="1">IF(B655="", "", COUNTA(INDIRECT(D655 &amp; 3):INDIRECT(D655 &amp; 24)))</f>
        <v/>
      </c>
      <c r="F655" s="5" t="str">
        <f t="shared" si="22"/>
        <v/>
      </c>
      <c r="G655" s="5" t="str">
        <f>IF(F655="", "", IF(B655&lt;&gt;"", MATCH(B655, params!$B$2:$R$2, 0), G654))</f>
        <v/>
      </c>
      <c r="H655" s="5" t="str">
        <f t="shared" ca="1" si="21"/>
        <v/>
      </c>
      <c r="M655" s="2"/>
    </row>
    <row r="656" spans="2:13" ht="15.6" x14ac:dyDescent="0.3">
      <c r="B656" s="5" t="str">
        <f>IF(COUNTIF(data_val!$E$3:$E$5, sample_log!$E656), sample_log!$C656 &amp; "_" &amp; sample_log!$D656, "")</f>
        <v/>
      </c>
      <c r="C656" s="5" t="str">
        <f>IF(B656="", IF(F656="", "", C655), IF(sample_log!E656="Triennial SASS", "tri_params", "params"))</f>
        <v/>
      </c>
      <c r="D656" s="5" t="str">
        <f>IF(B656="", "", C656 &amp; "!" &amp; CHAR(65+MATCH(B656, params!$B$2:$R$2, 0)))</f>
        <v/>
      </c>
      <c r="E656" s="5" t="str">
        <f ca="1">IF(B656="", "", COUNTA(INDIRECT(D656 &amp; 3):INDIRECT(D656 &amp; 24)))</f>
        <v/>
      </c>
      <c r="F656" s="5" t="str">
        <f t="shared" si="22"/>
        <v/>
      </c>
      <c r="G656" s="5" t="str">
        <f>IF(F656="", "", IF(B656&lt;&gt;"", MATCH(B656, params!$B$2:$R$2, 0), G655))</f>
        <v/>
      </c>
      <c r="H656" s="5" t="str">
        <f t="shared" ca="1" si="21"/>
        <v/>
      </c>
      <c r="M656" s="2"/>
    </row>
    <row r="657" spans="2:13" ht="15.6" x14ac:dyDescent="0.3">
      <c r="B657" s="5" t="str">
        <f>IF(COUNTIF(data_val!$E$3:$E$5, sample_log!$E657), sample_log!$C657 &amp; "_" &amp; sample_log!$D657, "")</f>
        <v/>
      </c>
      <c r="C657" s="5" t="str">
        <f>IF(B657="", IF(F657="", "", C656), IF(sample_log!E657="Triennial SASS", "tri_params", "params"))</f>
        <v/>
      </c>
      <c r="D657" s="5" t="str">
        <f>IF(B657="", "", C657 &amp; "!" &amp; CHAR(65+MATCH(B657, params!$B$2:$R$2, 0)))</f>
        <v/>
      </c>
      <c r="E657" s="5" t="str">
        <f ca="1">IF(B657="", "", COUNTA(INDIRECT(D657 &amp; 3):INDIRECT(D657 &amp; 24)))</f>
        <v/>
      </c>
      <c r="F657" s="5" t="str">
        <f t="shared" si="22"/>
        <v/>
      </c>
      <c r="G657" s="5" t="str">
        <f>IF(F657="", "", IF(B657&lt;&gt;"", MATCH(B657, params!$B$2:$R$2, 0), G656))</f>
        <v/>
      </c>
      <c r="H657" s="5" t="str">
        <f t="shared" ca="1" si="21"/>
        <v/>
      </c>
      <c r="M657" s="2"/>
    </row>
    <row r="658" spans="2:13" ht="15.6" x14ac:dyDescent="0.3">
      <c r="B658" s="5" t="str">
        <f>IF(COUNTIF(data_val!$E$3:$E$5, sample_log!$E658), sample_log!$C658 &amp; "_" &amp; sample_log!$D658, "")</f>
        <v/>
      </c>
      <c r="C658" s="5" t="str">
        <f>IF(B658="", IF(F658="", "", C657), IF(sample_log!E658="Triennial SASS", "tri_params", "params"))</f>
        <v/>
      </c>
      <c r="D658" s="5" t="str">
        <f>IF(B658="", "", C658 &amp; "!" &amp; CHAR(65+MATCH(B658, params!$B$2:$R$2, 0)))</f>
        <v/>
      </c>
      <c r="E658" s="5" t="str">
        <f ca="1">IF(B658="", "", COUNTA(INDIRECT(D658 &amp; 3):INDIRECT(D658 &amp; 24)))</f>
        <v/>
      </c>
      <c r="F658" s="5" t="str">
        <f t="shared" si="22"/>
        <v/>
      </c>
      <c r="G658" s="5" t="str">
        <f>IF(F658="", "", IF(B658&lt;&gt;"", MATCH(B658, params!$B$2:$R$2, 0), G657))</f>
        <v/>
      </c>
      <c r="H658" s="5" t="str">
        <f t="shared" ca="1" si="21"/>
        <v/>
      </c>
      <c r="M658" s="2"/>
    </row>
    <row r="659" spans="2:13" ht="15.6" x14ac:dyDescent="0.3">
      <c r="B659" s="5" t="str">
        <f>IF(COUNTIF(data_val!$E$3:$E$5, sample_log!$E659), sample_log!$C659 &amp; "_" &amp; sample_log!$D659, "")</f>
        <v/>
      </c>
      <c r="C659" s="5" t="str">
        <f>IF(B659="", IF(F659="", "", C658), IF(sample_log!E659="Triennial SASS", "tri_params", "params"))</f>
        <v/>
      </c>
      <c r="D659" s="5" t="str">
        <f>IF(B659="", "", C659 &amp; "!" &amp; CHAR(65+MATCH(B659, params!$B$2:$R$2, 0)))</f>
        <v/>
      </c>
      <c r="E659" s="5" t="str">
        <f ca="1">IF(B659="", "", COUNTA(INDIRECT(D659 &amp; 3):INDIRECT(D659 &amp; 24)))</f>
        <v/>
      </c>
      <c r="F659" s="5" t="str">
        <f t="shared" si="22"/>
        <v/>
      </c>
      <c r="G659" s="5" t="str">
        <f>IF(F659="", "", IF(B659&lt;&gt;"", MATCH(B659, params!$B$2:$R$2, 0), G658))</f>
        <v/>
      </c>
      <c r="H659" s="5" t="str">
        <f t="shared" ca="1" si="21"/>
        <v/>
      </c>
      <c r="M659" s="2"/>
    </row>
    <row r="660" spans="2:13" ht="15.6" x14ac:dyDescent="0.3">
      <c r="B660" s="5" t="str">
        <f>IF(COUNTIF(data_val!$E$3:$E$5, sample_log!$E660), sample_log!$C660 &amp; "_" &amp; sample_log!$D660, "")</f>
        <v/>
      </c>
      <c r="C660" s="5" t="str">
        <f>IF(B660="", IF(F660="", "", C659), IF(sample_log!E660="Triennial SASS", "tri_params", "params"))</f>
        <v/>
      </c>
      <c r="D660" s="5" t="str">
        <f>IF(B660="", "", C660 &amp; "!" &amp; CHAR(65+MATCH(B660, params!$B$2:$R$2, 0)))</f>
        <v/>
      </c>
      <c r="E660" s="5" t="str">
        <f ca="1">IF(B660="", "", COUNTA(INDIRECT(D660 &amp; 3):INDIRECT(D660 &amp; 24)))</f>
        <v/>
      </c>
      <c r="F660" s="5" t="str">
        <f t="shared" si="22"/>
        <v/>
      </c>
      <c r="G660" s="5" t="str">
        <f>IF(F660="", "", IF(B660&lt;&gt;"", MATCH(B660, params!$B$2:$R$2, 0), G659))</f>
        <v/>
      </c>
      <c r="H660" s="5" t="str">
        <f t="shared" ca="1" si="21"/>
        <v/>
      </c>
      <c r="M660" s="2"/>
    </row>
    <row r="661" spans="2:13" ht="15.6" x14ac:dyDescent="0.3">
      <c r="B661" s="5" t="str">
        <f>IF(COUNTIF(data_val!$E$3:$E$5, sample_log!$E661), sample_log!$C661 &amp; "_" &amp; sample_log!$D661, "")</f>
        <v/>
      </c>
      <c r="C661" s="5" t="str">
        <f>IF(B661="", IF(F661="", "", C660), IF(sample_log!E661="Triennial SASS", "tri_params", "params"))</f>
        <v/>
      </c>
      <c r="D661" s="5" t="str">
        <f>IF(B661="", "", C661 &amp; "!" &amp; CHAR(65+MATCH(B661, params!$B$2:$R$2, 0)))</f>
        <v/>
      </c>
      <c r="E661" s="5" t="str">
        <f ca="1">IF(B661="", "", COUNTA(INDIRECT(D661 &amp; 3):INDIRECT(D661 &amp; 24)))</f>
        <v/>
      </c>
      <c r="F661" s="5" t="str">
        <f t="shared" si="22"/>
        <v/>
      </c>
      <c r="G661" s="5" t="str">
        <f>IF(F661="", "", IF(B661&lt;&gt;"", MATCH(B661, params!$B$2:$R$2, 0), G660))</f>
        <v/>
      </c>
      <c r="H661" s="5" t="str">
        <f t="shared" ca="1" si="21"/>
        <v/>
      </c>
      <c r="M661" s="2"/>
    </row>
    <row r="662" spans="2:13" ht="15.6" x14ac:dyDescent="0.3">
      <c r="B662" s="5" t="str">
        <f>IF(COUNTIF(data_val!$E$3:$E$5, sample_log!$E662), sample_log!$C662 &amp; "_" &amp; sample_log!$D662, "")</f>
        <v/>
      </c>
      <c r="C662" s="5" t="str">
        <f>IF(B662="", IF(F662="", "", C661), IF(sample_log!E662="Triennial SASS", "tri_params", "params"))</f>
        <v/>
      </c>
      <c r="D662" s="5" t="str">
        <f>IF(B662="", "", C662 &amp; "!" &amp; CHAR(65+MATCH(B662, params!$B$2:$R$2, 0)))</f>
        <v/>
      </c>
      <c r="E662" s="5" t="str">
        <f ca="1">IF(B662="", "", COUNTA(INDIRECT(D662 &amp; 3):INDIRECT(D662 &amp; 24)))</f>
        <v/>
      </c>
      <c r="F662" s="5" t="str">
        <f t="shared" si="22"/>
        <v/>
      </c>
      <c r="G662" s="5" t="str">
        <f>IF(F662="", "", IF(B662&lt;&gt;"", MATCH(B662, params!$B$2:$R$2, 0), G661))</f>
        <v/>
      </c>
      <c r="H662" s="5" t="str">
        <f t="shared" ca="1" si="21"/>
        <v/>
      </c>
      <c r="M662" s="2"/>
    </row>
    <row r="663" spans="2:13" ht="15.6" x14ac:dyDescent="0.3">
      <c r="B663" s="5" t="str">
        <f>IF(COUNTIF(data_val!$E$3:$E$5, sample_log!$E663), sample_log!$C663 &amp; "_" &amp; sample_log!$D663, "")</f>
        <v/>
      </c>
      <c r="C663" s="5" t="str">
        <f>IF(B663="", IF(F663="", "", C662), IF(sample_log!E663="Triennial SASS", "tri_params", "params"))</f>
        <v/>
      </c>
      <c r="D663" s="5" t="str">
        <f>IF(B663="", "", C663 &amp; "!" &amp; CHAR(65+MATCH(B663, params!$B$2:$R$2, 0)))</f>
        <v/>
      </c>
      <c r="E663" s="5" t="str">
        <f ca="1">IF(B663="", "", COUNTA(INDIRECT(D663 &amp; 3):INDIRECT(D663 &amp; 24)))</f>
        <v/>
      </c>
      <c r="F663" s="5" t="str">
        <f t="shared" si="22"/>
        <v/>
      </c>
      <c r="G663" s="5" t="str">
        <f>IF(F663="", "", IF(B663&lt;&gt;"", MATCH(B663, params!$B$2:$R$2, 0), G662))</f>
        <v/>
      </c>
      <c r="H663" s="5" t="str">
        <f t="shared" ca="1" si="21"/>
        <v/>
      </c>
      <c r="M663" s="2"/>
    </row>
    <row r="664" spans="2:13" ht="15.6" x14ac:dyDescent="0.3">
      <c r="B664" s="5" t="str">
        <f>IF(COUNTIF(data_val!$E$3:$E$5, sample_log!$E664), sample_log!$C664 &amp; "_" &amp; sample_log!$D664, "")</f>
        <v/>
      </c>
      <c r="C664" s="5" t="str">
        <f>IF(B664="", IF(F664="", "", C663), IF(sample_log!E664="Triennial SASS", "tri_params", "params"))</f>
        <v/>
      </c>
      <c r="D664" s="5" t="str">
        <f>IF(B664="", "", C664 &amp; "!" &amp; CHAR(65+MATCH(B664, params!$B$2:$R$2, 0)))</f>
        <v/>
      </c>
      <c r="E664" s="5" t="str">
        <f ca="1">IF(B664="", "", COUNTA(INDIRECT(D664 &amp; 3):INDIRECT(D664 &amp; 24)))</f>
        <v/>
      </c>
      <c r="F664" s="5" t="str">
        <f t="shared" si="22"/>
        <v/>
      </c>
      <c r="G664" s="5" t="str">
        <f>IF(F664="", "", IF(B664&lt;&gt;"", MATCH(B664, params!$B$2:$R$2, 0), G663))</f>
        <v/>
      </c>
      <c r="H664" s="5" t="str">
        <f t="shared" ca="1" si="21"/>
        <v/>
      </c>
      <c r="M664" s="2"/>
    </row>
    <row r="665" spans="2:13" ht="15.6" x14ac:dyDescent="0.3">
      <c r="B665" s="5" t="str">
        <f>IF(COUNTIF(data_val!$E$3:$E$5, sample_log!$E665), sample_log!$C665 &amp; "_" &amp; sample_log!$D665, "")</f>
        <v/>
      </c>
      <c r="C665" s="5" t="str">
        <f>IF(B665="", IF(F665="", "", C664), IF(sample_log!E665="Triennial SASS", "tri_params", "params"))</f>
        <v/>
      </c>
      <c r="D665" s="5" t="str">
        <f>IF(B665="", "", C665 &amp; "!" &amp; CHAR(65+MATCH(B665, params!$B$2:$R$2, 0)))</f>
        <v/>
      </c>
      <c r="E665" s="5" t="str">
        <f ca="1">IF(B665="", "", COUNTA(INDIRECT(D665 &amp; 3):INDIRECT(D665 &amp; 24)))</f>
        <v/>
      </c>
      <c r="F665" s="5" t="str">
        <f t="shared" si="22"/>
        <v/>
      </c>
      <c r="G665" s="5" t="str">
        <f>IF(F665="", "", IF(B665&lt;&gt;"", MATCH(B665, params!$B$2:$R$2, 0), G664))</f>
        <v/>
      </c>
      <c r="H665" s="5" t="str">
        <f t="shared" ref="H665:H728" ca="1" si="23">IF($F665="", "", INDEX(INDIRECT("'" &amp; C665 &amp; "'!$B$3:$R$24"), $F665, $G665))</f>
        <v/>
      </c>
      <c r="M665" s="2"/>
    </row>
    <row r="666" spans="2:13" ht="15.6" x14ac:dyDescent="0.3">
      <c r="B666" s="5" t="str">
        <f>IF(COUNTIF(data_val!$E$3:$E$5, sample_log!$E666), sample_log!$C666 &amp; "_" &amp; sample_log!$D666, "")</f>
        <v/>
      </c>
      <c r="C666" s="5" t="str">
        <f>IF(B666="", IF(F666="", "", C665), IF(sample_log!E666="Triennial SASS", "tri_params", "params"))</f>
        <v/>
      </c>
      <c r="D666" s="5" t="str">
        <f>IF(B666="", "", C666 &amp; "!" &amp; CHAR(65+MATCH(B666, params!$B$2:$R$2, 0)))</f>
        <v/>
      </c>
      <c r="E666" s="5" t="str">
        <f ca="1">IF(B666="", "", COUNTA(INDIRECT(D666 &amp; 3):INDIRECT(D666 &amp; 24)))</f>
        <v/>
      </c>
      <c r="F666" s="5" t="str">
        <f t="shared" si="22"/>
        <v/>
      </c>
      <c r="G666" s="5" t="str">
        <f>IF(F666="", "", IF(B666&lt;&gt;"", MATCH(B666, params!$B$2:$R$2, 0), G665))</f>
        <v/>
      </c>
      <c r="H666" s="5" t="str">
        <f t="shared" ca="1" si="23"/>
        <v/>
      </c>
      <c r="M666" s="2"/>
    </row>
    <row r="667" spans="2:13" ht="15.6" x14ac:dyDescent="0.3">
      <c r="B667" s="5" t="str">
        <f>IF(COUNTIF(data_val!$E$3:$E$5, sample_log!$E667), sample_log!$C667 &amp; "_" &amp; sample_log!$D667, "")</f>
        <v/>
      </c>
      <c r="C667" s="5" t="str">
        <f>IF(B667="", IF(F667="", "", C666), IF(sample_log!E667="Triennial SASS", "tri_params", "params"))</f>
        <v/>
      </c>
      <c r="D667" s="5" t="str">
        <f>IF(B667="", "", C667 &amp; "!" &amp; CHAR(65+MATCH(B667, params!$B$2:$R$2, 0)))</f>
        <v/>
      </c>
      <c r="E667" s="5" t="str">
        <f ca="1">IF(B667="", "", COUNTA(INDIRECT(D667 &amp; 3):INDIRECT(D667 &amp; 24)))</f>
        <v/>
      </c>
      <c r="F667" s="5" t="str">
        <f t="shared" si="22"/>
        <v/>
      </c>
      <c r="G667" s="5" t="str">
        <f>IF(F667="", "", IF(B667&lt;&gt;"", MATCH(B667, params!$B$2:$R$2, 0), G666))</f>
        <v/>
      </c>
      <c r="H667" s="5" t="str">
        <f t="shared" ca="1" si="23"/>
        <v/>
      </c>
      <c r="M667" s="2"/>
    </row>
    <row r="668" spans="2:13" ht="15.6" x14ac:dyDescent="0.3">
      <c r="B668" s="5" t="str">
        <f>IF(COUNTIF(data_val!$E$3:$E$5, sample_log!$E668), sample_log!$C668 &amp; "_" &amp; sample_log!$D668, "")</f>
        <v/>
      </c>
      <c r="C668" s="5" t="str">
        <f>IF(B668="", IF(F668="", "", C667), IF(sample_log!E668="Triennial SASS", "tri_params", "params"))</f>
        <v/>
      </c>
      <c r="D668" s="5" t="str">
        <f>IF(B668="", "", C668 &amp; "!" &amp; CHAR(65+MATCH(B668, params!$B$2:$R$2, 0)))</f>
        <v/>
      </c>
      <c r="E668" s="5" t="str">
        <f ca="1">IF(B668="", "", COUNTA(INDIRECT(D668 &amp; 3):INDIRECT(D668 &amp; 24)))</f>
        <v/>
      </c>
      <c r="F668" s="5" t="str">
        <f t="shared" si="22"/>
        <v/>
      </c>
      <c r="G668" s="5" t="str">
        <f>IF(F668="", "", IF(B668&lt;&gt;"", MATCH(B668, params!$B$2:$R$2, 0), G667))</f>
        <v/>
      </c>
      <c r="H668" s="5" t="str">
        <f t="shared" ca="1" si="23"/>
        <v/>
      </c>
      <c r="M668" s="2"/>
    </row>
    <row r="669" spans="2:13" ht="15.6" x14ac:dyDescent="0.3">
      <c r="B669" s="5" t="str">
        <f>IF(COUNTIF(data_val!$E$3:$E$5, sample_log!$E669), sample_log!$C669 &amp; "_" &amp; sample_log!$D669, "")</f>
        <v/>
      </c>
      <c r="C669" s="5" t="str">
        <f>IF(B669="", IF(F669="", "", C668), IF(sample_log!E669="Triennial SASS", "tri_params", "params"))</f>
        <v/>
      </c>
      <c r="D669" s="5" t="str">
        <f>IF(B669="", "", C669 &amp; "!" &amp; CHAR(65+MATCH(B669, params!$B$2:$R$2, 0)))</f>
        <v/>
      </c>
      <c r="E669" s="5" t="str">
        <f ca="1">IF(B669="", "", COUNTA(INDIRECT(D669 &amp; 3):INDIRECT(D669 &amp; 24)))</f>
        <v/>
      </c>
      <c r="F669" s="5" t="str">
        <f t="shared" si="22"/>
        <v/>
      </c>
      <c r="G669" s="5" t="str">
        <f>IF(F669="", "", IF(B669&lt;&gt;"", MATCH(B669, params!$B$2:$R$2, 0), G668))</f>
        <v/>
      </c>
      <c r="H669" s="5" t="str">
        <f t="shared" ca="1" si="23"/>
        <v/>
      </c>
      <c r="M669" s="2"/>
    </row>
    <row r="670" spans="2:13" ht="15.6" x14ac:dyDescent="0.3">
      <c r="B670" s="5" t="str">
        <f>IF(COUNTIF(data_val!$E$3:$E$5, sample_log!$E670), sample_log!$C670 &amp; "_" &amp; sample_log!$D670, "")</f>
        <v/>
      </c>
      <c r="C670" s="5" t="str">
        <f>IF(B670="", IF(F670="", "", C669), IF(sample_log!E670="Triennial SASS", "tri_params", "params"))</f>
        <v/>
      </c>
      <c r="D670" s="5" t="str">
        <f>IF(B670="", "", C670 &amp; "!" &amp; CHAR(65+MATCH(B670, params!$B$2:$R$2, 0)))</f>
        <v/>
      </c>
      <c r="E670" s="5" t="str">
        <f ca="1">IF(B670="", "", COUNTA(INDIRECT(D670 &amp; 3):INDIRECT(D670 &amp; 24)))</f>
        <v/>
      </c>
      <c r="F670" s="5" t="str">
        <f t="shared" si="22"/>
        <v/>
      </c>
      <c r="G670" s="5" t="str">
        <f>IF(F670="", "", IF(B670&lt;&gt;"", MATCH(B670, params!$B$2:$R$2, 0), G669))</f>
        <v/>
      </c>
      <c r="H670" s="5" t="str">
        <f t="shared" ca="1" si="23"/>
        <v/>
      </c>
      <c r="M670" s="2"/>
    </row>
    <row r="671" spans="2:13" ht="15.6" x14ac:dyDescent="0.3">
      <c r="B671" s="5" t="str">
        <f>IF(COUNTIF(data_val!$E$3:$E$5, sample_log!$E671), sample_log!$C671 &amp; "_" &amp; sample_log!$D671, "")</f>
        <v/>
      </c>
      <c r="C671" s="5" t="str">
        <f>IF(B671="", IF(F671="", "", C670), IF(sample_log!E671="Triennial SASS", "tri_params", "params"))</f>
        <v/>
      </c>
      <c r="D671" s="5" t="str">
        <f>IF(B671="", "", C671 &amp; "!" &amp; CHAR(65+MATCH(B671, params!$B$2:$R$2, 0)))</f>
        <v/>
      </c>
      <c r="E671" s="5" t="str">
        <f ca="1">IF(B671="", "", COUNTA(INDIRECT(D671 &amp; 3):INDIRECT(D671 &amp; 24)))</f>
        <v/>
      </c>
      <c r="F671" s="5" t="str">
        <f t="shared" si="22"/>
        <v/>
      </c>
      <c r="G671" s="5" t="str">
        <f>IF(F671="", "", IF(B671&lt;&gt;"", MATCH(B671, params!$B$2:$R$2, 0), G670))</f>
        <v/>
      </c>
      <c r="H671" s="5" t="str">
        <f t="shared" ca="1" si="23"/>
        <v/>
      </c>
      <c r="M671" s="2"/>
    </row>
    <row r="672" spans="2:13" ht="15.6" x14ac:dyDescent="0.3">
      <c r="B672" s="5" t="str">
        <f>IF(COUNTIF(data_val!$E$3:$E$5, sample_log!$E672), sample_log!$C672 &amp; "_" &amp; sample_log!$D672, "")</f>
        <v/>
      </c>
      <c r="C672" s="5" t="str">
        <f>IF(B672="", IF(F672="", "", C671), IF(sample_log!E672="Triennial SASS", "tri_params", "params"))</f>
        <v/>
      </c>
      <c r="D672" s="5" t="str">
        <f>IF(B672="", "", C672 &amp; "!" &amp; CHAR(65+MATCH(B672, params!$B$2:$R$2, 0)))</f>
        <v/>
      </c>
      <c r="E672" s="5" t="str">
        <f ca="1">IF(B672="", "", COUNTA(INDIRECT(D672 &amp; 3):INDIRECT(D672 &amp; 24)))</f>
        <v/>
      </c>
      <c r="F672" s="5" t="str">
        <f t="shared" si="22"/>
        <v/>
      </c>
      <c r="G672" s="5" t="str">
        <f>IF(F672="", "", IF(B672&lt;&gt;"", MATCH(B672, params!$B$2:$R$2, 0), G671))</f>
        <v/>
      </c>
      <c r="H672" s="5" t="str">
        <f t="shared" ca="1" si="23"/>
        <v/>
      </c>
      <c r="M672" s="2"/>
    </row>
    <row r="673" spans="2:13" ht="15.6" x14ac:dyDescent="0.3">
      <c r="B673" s="5" t="str">
        <f>IF(COUNTIF(data_val!$E$3:$E$5, sample_log!$E673), sample_log!$C673 &amp; "_" &amp; sample_log!$D673, "")</f>
        <v/>
      </c>
      <c r="C673" s="5" t="str">
        <f>IF(B673="", IF(F673="", "", C672), IF(sample_log!E673="Triennial SASS", "tri_params", "params"))</f>
        <v/>
      </c>
      <c r="D673" s="5" t="str">
        <f>IF(B673="", "", C673 &amp; "!" &amp; CHAR(65+MATCH(B673, params!$B$2:$R$2, 0)))</f>
        <v/>
      </c>
      <c r="E673" s="5" t="str">
        <f ca="1">IF(B673="", "", COUNTA(INDIRECT(D673 &amp; 3):INDIRECT(D673 &amp; 24)))</f>
        <v/>
      </c>
      <c r="F673" s="5" t="str">
        <f t="shared" si="22"/>
        <v/>
      </c>
      <c r="G673" s="5" t="str">
        <f>IF(F673="", "", IF(B673&lt;&gt;"", MATCH(B673, params!$B$2:$R$2, 0), G672))</f>
        <v/>
      </c>
      <c r="H673" s="5" t="str">
        <f t="shared" ca="1" si="23"/>
        <v/>
      </c>
      <c r="M673" s="2"/>
    </row>
    <row r="674" spans="2:13" ht="15.6" x14ac:dyDescent="0.3">
      <c r="B674" s="5" t="str">
        <f>IF(COUNTIF(data_val!$E$3:$E$5, sample_log!$E674), sample_log!$C674 &amp; "_" &amp; sample_log!$D674, "")</f>
        <v/>
      </c>
      <c r="C674" s="5" t="str">
        <f>IF(B674="", IF(F674="", "", C673), IF(sample_log!E674="Triennial SASS", "tri_params", "params"))</f>
        <v/>
      </c>
      <c r="D674" s="5" t="str">
        <f>IF(B674="", "", C674 &amp; "!" &amp; CHAR(65+MATCH(B674, params!$B$2:$R$2, 0)))</f>
        <v/>
      </c>
      <c r="E674" s="5" t="str">
        <f ca="1">IF(B674="", "", COUNTA(INDIRECT(D674 &amp; 3):INDIRECT(D674 &amp; 24)))</f>
        <v/>
      </c>
      <c r="F674" s="5" t="str">
        <f t="shared" si="22"/>
        <v/>
      </c>
      <c r="G674" s="5" t="str">
        <f>IF(F674="", "", IF(B674&lt;&gt;"", MATCH(B674, params!$B$2:$R$2, 0), G673))</f>
        <v/>
      </c>
      <c r="H674" s="5" t="str">
        <f t="shared" ca="1" si="23"/>
        <v/>
      </c>
      <c r="M674" s="2"/>
    </row>
    <row r="675" spans="2:13" ht="15.6" x14ac:dyDescent="0.3">
      <c r="B675" s="5" t="str">
        <f>IF(COUNTIF(data_val!$E$3:$E$5, sample_log!$E675), sample_log!$C675 &amp; "_" &amp; sample_log!$D675, "")</f>
        <v/>
      </c>
      <c r="C675" s="5" t="str">
        <f>IF(B675="", IF(F675="", "", C674), IF(sample_log!E675="Triennial SASS", "tri_params", "params"))</f>
        <v/>
      </c>
      <c r="D675" s="5" t="str">
        <f>IF(B675="", "", C675 &amp; "!" &amp; CHAR(65+MATCH(B675, params!$B$2:$R$2, 0)))</f>
        <v/>
      </c>
      <c r="E675" s="5" t="str">
        <f ca="1">IF(B675="", "", COUNTA(INDIRECT(D675 &amp; 3):INDIRECT(D675 &amp; 24)))</f>
        <v/>
      </c>
      <c r="F675" s="5" t="str">
        <f t="shared" si="22"/>
        <v/>
      </c>
      <c r="G675" s="5" t="str">
        <f>IF(F675="", "", IF(B675&lt;&gt;"", MATCH(B675, params!$B$2:$R$2, 0), G674))</f>
        <v/>
      </c>
      <c r="H675" s="5" t="str">
        <f t="shared" ca="1" si="23"/>
        <v/>
      </c>
      <c r="M675" s="2"/>
    </row>
    <row r="676" spans="2:13" ht="15.6" x14ac:dyDescent="0.3">
      <c r="B676" s="5" t="str">
        <f>IF(COUNTIF(data_val!$E$3:$E$5, sample_log!$E676), sample_log!$C676 &amp; "_" &amp; sample_log!$D676, "")</f>
        <v/>
      </c>
      <c r="C676" s="5" t="str">
        <f>IF(B676="", IF(F676="", "", C675), IF(sample_log!E676="Triennial SASS", "tri_params", "params"))</f>
        <v/>
      </c>
      <c r="D676" s="5" t="str">
        <f>IF(B676="", "", C676 &amp; "!" &amp; CHAR(65+MATCH(B676, params!$B$2:$R$2, 0)))</f>
        <v/>
      </c>
      <c r="E676" s="5" t="str">
        <f ca="1">IF(B676="", "", COUNTA(INDIRECT(D676 &amp; 3):INDIRECT(D676 &amp; 24)))</f>
        <v/>
      </c>
      <c r="F676" s="5" t="str">
        <f t="shared" si="22"/>
        <v/>
      </c>
      <c r="G676" s="5" t="str">
        <f>IF(F676="", "", IF(B676&lt;&gt;"", MATCH(B676, params!$B$2:$R$2, 0), G675))</f>
        <v/>
      </c>
      <c r="H676" s="5" t="str">
        <f t="shared" ca="1" si="23"/>
        <v/>
      </c>
      <c r="M676" s="2"/>
    </row>
    <row r="677" spans="2:13" ht="15.6" x14ac:dyDescent="0.3">
      <c r="B677" s="5" t="str">
        <f>IF(COUNTIF(data_val!$E$3:$E$5, sample_log!$E677), sample_log!$C677 &amp; "_" &amp; sample_log!$D677, "")</f>
        <v/>
      </c>
      <c r="C677" s="5" t="str">
        <f>IF(B677="", IF(F677="", "", C676), IF(sample_log!E677="Triennial SASS", "tri_params", "params"))</f>
        <v/>
      </c>
      <c r="D677" s="5" t="str">
        <f>IF(B677="", "", C677 &amp; "!" &amp; CHAR(65+MATCH(B677, params!$B$2:$R$2, 0)))</f>
        <v/>
      </c>
      <c r="E677" s="5" t="str">
        <f ca="1">IF(B677="", "", COUNTA(INDIRECT(D677 &amp; 3):INDIRECT(D677 &amp; 24)))</f>
        <v/>
      </c>
      <c r="F677" s="5" t="str">
        <f t="shared" si="22"/>
        <v/>
      </c>
      <c r="G677" s="5" t="str">
        <f>IF(F677="", "", IF(B677&lt;&gt;"", MATCH(B677, params!$B$2:$R$2, 0), G676))</f>
        <v/>
      </c>
      <c r="H677" s="5" t="str">
        <f t="shared" ca="1" si="23"/>
        <v/>
      </c>
      <c r="M677" s="2"/>
    </row>
    <row r="678" spans="2:13" ht="15.6" x14ac:dyDescent="0.3">
      <c r="B678" s="5" t="str">
        <f>IF(COUNTIF(data_val!$E$3:$E$5, sample_log!$E678), sample_log!$C678 &amp; "_" &amp; sample_log!$D678, "")</f>
        <v/>
      </c>
      <c r="C678" s="5" t="str">
        <f>IF(B678="", IF(F678="", "", C677), IF(sample_log!E678="Triennial SASS", "tri_params", "params"))</f>
        <v/>
      </c>
      <c r="D678" s="5" t="str">
        <f>IF(B678="", "", C678 &amp; "!" &amp; CHAR(65+MATCH(B678, params!$B$2:$R$2, 0)))</f>
        <v/>
      </c>
      <c r="E678" s="5" t="str">
        <f ca="1">IF(B678="", "", COUNTA(INDIRECT(D678 &amp; 3):INDIRECT(D678 &amp; 24)))</f>
        <v/>
      </c>
      <c r="F678" s="5" t="str">
        <f t="shared" si="22"/>
        <v/>
      </c>
      <c r="G678" s="5" t="str">
        <f>IF(F678="", "", IF(B678&lt;&gt;"", MATCH(B678, params!$B$2:$R$2, 0), G677))</f>
        <v/>
      </c>
      <c r="H678" s="5" t="str">
        <f t="shared" ca="1" si="23"/>
        <v/>
      </c>
      <c r="M678" s="2"/>
    </row>
    <row r="679" spans="2:13" ht="15.6" x14ac:dyDescent="0.3">
      <c r="B679" s="5" t="str">
        <f>IF(COUNTIF(data_val!$E$3:$E$5, sample_log!$E679), sample_log!$C679 &amp; "_" &amp; sample_log!$D679, "")</f>
        <v/>
      </c>
      <c r="C679" s="5" t="str">
        <f>IF(B679="", IF(F679="", "", C678), IF(sample_log!E679="Triennial SASS", "tri_params", "params"))</f>
        <v/>
      </c>
      <c r="D679" s="5" t="str">
        <f>IF(B679="", "", C679 &amp; "!" &amp; CHAR(65+MATCH(B679, params!$B$2:$R$2, 0)))</f>
        <v/>
      </c>
      <c r="E679" s="5" t="str">
        <f ca="1">IF(B679="", "", COUNTA(INDIRECT(D679 &amp; 3):INDIRECT(D679 &amp; 24)))</f>
        <v/>
      </c>
      <c r="F679" s="5" t="str">
        <f t="shared" si="22"/>
        <v/>
      </c>
      <c r="G679" s="5" t="str">
        <f>IF(F679="", "", IF(B679&lt;&gt;"", MATCH(B679, params!$B$2:$R$2, 0), G678))</f>
        <v/>
      </c>
      <c r="H679" s="5" t="str">
        <f t="shared" ca="1" si="23"/>
        <v/>
      </c>
      <c r="M679" s="2"/>
    </row>
    <row r="680" spans="2:13" ht="15.6" x14ac:dyDescent="0.3">
      <c r="B680" s="5" t="str">
        <f>IF(COUNTIF(data_val!$E$3:$E$5, sample_log!$E680), sample_log!$C680 &amp; "_" &amp; sample_log!$D680, "")</f>
        <v/>
      </c>
      <c r="C680" s="5" t="str">
        <f>IF(B680="", IF(F680="", "", C679), IF(sample_log!E680="Triennial SASS", "tri_params", "params"))</f>
        <v/>
      </c>
      <c r="D680" s="5" t="str">
        <f>IF(B680="", "", C680 &amp; "!" &amp; CHAR(65+MATCH(B680, params!$B$2:$R$2, 0)))</f>
        <v/>
      </c>
      <c r="E680" s="5" t="str">
        <f ca="1">IF(B680="", "", COUNTA(INDIRECT(D680 &amp; 3):INDIRECT(D680 &amp; 24)))</f>
        <v/>
      </c>
      <c r="F680" s="5" t="str">
        <f t="shared" si="22"/>
        <v/>
      </c>
      <c r="G680" s="5" t="str">
        <f>IF(F680="", "", IF(B680&lt;&gt;"", MATCH(B680, params!$B$2:$R$2, 0), G679))</f>
        <v/>
      </c>
      <c r="H680" s="5" t="str">
        <f t="shared" ca="1" si="23"/>
        <v/>
      </c>
      <c r="M680" s="2"/>
    </row>
    <row r="681" spans="2:13" ht="15.6" x14ac:dyDescent="0.3">
      <c r="B681" s="5" t="str">
        <f>IF(COUNTIF(data_val!$E$3:$E$5, sample_log!$E681), sample_log!$C681 &amp; "_" &amp; sample_log!$D681, "")</f>
        <v/>
      </c>
      <c r="C681" s="5" t="str">
        <f>IF(B681="", IF(F681="", "", C680), IF(sample_log!E681="Triennial SASS", "tri_params", "params"))</f>
        <v/>
      </c>
      <c r="D681" s="5" t="str">
        <f>IF(B681="", "", C681 &amp; "!" &amp; CHAR(65+MATCH(B681, params!$B$2:$R$2, 0)))</f>
        <v/>
      </c>
      <c r="E681" s="5" t="str">
        <f ca="1">IF(B681="", "", COUNTA(INDIRECT(D681 &amp; 3):INDIRECT(D681 &amp; 24)))</f>
        <v/>
      </c>
      <c r="F681" s="5" t="str">
        <f t="shared" si="22"/>
        <v/>
      </c>
      <c r="G681" s="5" t="str">
        <f>IF(F681="", "", IF(B681&lt;&gt;"", MATCH(B681, params!$B$2:$R$2, 0), G680))</f>
        <v/>
      </c>
      <c r="H681" s="5" t="str">
        <f t="shared" ca="1" si="23"/>
        <v/>
      </c>
      <c r="M681" s="2"/>
    </row>
    <row r="682" spans="2:13" ht="15.6" x14ac:dyDescent="0.3">
      <c r="B682" s="5" t="str">
        <f>IF(COUNTIF(data_val!$E$3:$E$5, sample_log!$E682), sample_log!$C682 &amp; "_" &amp; sample_log!$D682, "")</f>
        <v/>
      </c>
      <c r="C682" s="5" t="str">
        <f>IF(B682="", IF(F682="", "", C681), IF(sample_log!E682="Triennial SASS", "tri_params", "params"))</f>
        <v/>
      </c>
      <c r="D682" s="5" t="str">
        <f>IF(B682="", "", C682 &amp; "!" &amp; CHAR(65+MATCH(B682, params!$B$2:$R$2, 0)))</f>
        <v/>
      </c>
      <c r="E682" s="5" t="str">
        <f ca="1">IF(B682="", "", COUNTA(INDIRECT(D682 &amp; 3):INDIRECT(D682 &amp; 24)))</f>
        <v/>
      </c>
      <c r="F682" s="5" t="str">
        <f t="shared" si="22"/>
        <v/>
      </c>
      <c r="G682" s="5" t="str">
        <f>IF(F682="", "", IF(B682&lt;&gt;"", MATCH(B682, params!$B$2:$R$2, 0), G681))</f>
        <v/>
      </c>
      <c r="H682" s="5" t="str">
        <f t="shared" ca="1" si="23"/>
        <v/>
      </c>
      <c r="M682" s="2"/>
    </row>
    <row r="683" spans="2:13" ht="15.6" x14ac:dyDescent="0.3">
      <c r="B683" s="5" t="str">
        <f>IF(COUNTIF(data_val!$E$3:$E$5, sample_log!$E683), sample_log!$C683 &amp; "_" &amp; sample_log!$D683, "")</f>
        <v/>
      </c>
      <c r="C683" s="5" t="str">
        <f>IF(B683="", IF(F683="", "", C682), IF(sample_log!E683="Triennial SASS", "tri_params", "params"))</f>
        <v/>
      </c>
      <c r="D683" s="5" t="str">
        <f>IF(B683="", "", C683 &amp; "!" &amp; CHAR(65+MATCH(B683, params!$B$2:$R$2, 0)))</f>
        <v/>
      </c>
      <c r="E683" s="5" t="str">
        <f ca="1">IF(B683="", "", COUNTA(INDIRECT(D683 &amp; 3):INDIRECT(D683 &amp; 24)))</f>
        <v/>
      </c>
      <c r="F683" s="5" t="str">
        <f t="shared" si="22"/>
        <v/>
      </c>
      <c r="G683" s="5" t="str">
        <f>IF(F683="", "", IF(B683&lt;&gt;"", MATCH(B683, params!$B$2:$R$2, 0), G682))</f>
        <v/>
      </c>
      <c r="H683" s="5" t="str">
        <f t="shared" ca="1" si="23"/>
        <v/>
      </c>
      <c r="M683" s="2"/>
    </row>
    <row r="684" spans="2:13" ht="15.6" x14ac:dyDescent="0.3">
      <c r="B684" s="5" t="str">
        <f>IF(COUNTIF(data_val!$E$3:$E$5, sample_log!$E684), sample_log!$C684 &amp; "_" &amp; sample_log!$D684, "")</f>
        <v/>
      </c>
      <c r="C684" s="5" t="str">
        <f>IF(B684="", IF(F684="", "", C683), IF(sample_log!E684="Triennial SASS", "tri_params", "params"))</f>
        <v/>
      </c>
      <c r="D684" s="5" t="str">
        <f>IF(B684="", "", C684 &amp; "!" &amp; CHAR(65+MATCH(B684, params!$B$2:$R$2, 0)))</f>
        <v/>
      </c>
      <c r="E684" s="5" t="str">
        <f ca="1">IF(B684="", "", COUNTA(INDIRECT(D684 &amp; 3):INDIRECT(D684 &amp; 24)))</f>
        <v/>
      </c>
      <c r="F684" s="5" t="str">
        <f t="shared" si="22"/>
        <v/>
      </c>
      <c r="G684" s="5" t="str">
        <f>IF(F684="", "", IF(B684&lt;&gt;"", MATCH(B684, params!$B$2:$R$2, 0), G683))</f>
        <v/>
      </c>
      <c r="H684" s="5" t="str">
        <f t="shared" ca="1" si="23"/>
        <v/>
      </c>
      <c r="M684" s="2"/>
    </row>
    <row r="685" spans="2:13" ht="15.6" x14ac:dyDescent="0.3">
      <c r="B685" s="5" t="str">
        <f>IF(COUNTIF(data_val!$E$3:$E$5, sample_log!$E685), sample_log!$C685 &amp; "_" &amp; sample_log!$D685, "")</f>
        <v/>
      </c>
      <c r="C685" s="5" t="str">
        <f>IF(B685="", IF(F685="", "", C684), IF(sample_log!E685="Triennial SASS", "tri_params", "params"))</f>
        <v/>
      </c>
      <c r="D685" s="5" t="str">
        <f>IF(B685="", "", C685 &amp; "!" &amp; CHAR(65+MATCH(B685, params!$B$2:$R$2, 0)))</f>
        <v/>
      </c>
      <c r="E685" s="5" t="str">
        <f ca="1">IF(B685="", "", COUNTA(INDIRECT(D685 &amp; 3):INDIRECT(D685 &amp; 24)))</f>
        <v/>
      </c>
      <c r="F685" s="5" t="str">
        <f t="shared" si="22"/>
        <v/>
      </c>
      <c r="G685" s="5" t="str">
        <f>IF(F685="", "", IF(B685&lt;&gt;"", MATCH(B685, params!$B$2:$R$2, 0), G684))</f>
        <v/>
      </c>
      <c r="H685" s="5" t="str">
        <f t="shared" ca="1" si="23"/>
        <v/>
      </c>
      <c r="M685" s="2"/>
    </row>
    <row r="686" spans="2:13" ht="15.6" x14ac:dyDescent="0.3">
      <c r="B686" s="5" t="str">
        <f>IF(COUNTIF(data_val!$E$3:$E$5, sample_log!$E686), sample_log!$C686 &amp; "_" &amp; sample_log!$D686, "")</f>
        <v/>
      </c>
      <c r="C686" s="5" t="str">
        <f>IF(B686="", IF(F686="", "", C685), IF(sample_log!E686="Triennial SASS", "tri_params", "params"))</f>
        <v/>
      </c>
      <c r="D686" s="5" t="str">
        <f>IF(B686="", "", C686 &amp; "!" &amp; CHAR(65+MATCH(B686, params!$B$2:$R$2, 0)))</f>
        <v/>
      </c>
      <c r="E686" s="5" t="str">
        <f ca="1">IF(B686="", "", COUNTA(INDIRECT(D686 &amp; 3):INDIRECT(D686 &amp; 24)))</f>
        <v/>
      </c>
      <c r="F686" s="5" t="str">
        <f t="shared" si="22"/>
        <v/>
      </c>
      <c r="G686" s="5" t="str">
        <f>IF(F686="", "", IF(B686&lt;&gt;"", MATCH(B686, params!$B$2:$R$2, 0), G685))</f>
        <v/>
      </c>
      <c r="H686" s="5" t="str">
        <f t="shared" ca="1" si="23"/>
        <v/>
      </c>
      <c r="M686" s="2"/>
    </row>
    <row r="687" spans="2:13" ht="15.6" x14ac:dyDescent="0.3">
      <c r="B687" s="5" t="str">
        <f>IF(COUNTIF(data_val!$E$3:$E$5, sample_log!$E687), sample_log!$C687 &amp; "_" &amp; sample_log!$D687, "")</f>
        <v/>
      </c>
      <c r="C687" s="5" t="str">
        <f>IF(B687="", IF(F687="", "", C686), IF(sample_log!E687="Triennial SASS", "tri_params", "params"))</f>
        <v/>
      </c>
      <c r="D687" s="5" t="str">
        <f>IF(B687="", "", C687 &amp; "!" &amp; CHAR(65+MATCH(B687, params!$B$2:$R$2, 0)))</f>
        <v/>
      </c>
      <c r="E687" s="5" t="str">
        <f ca="1">IF(B687="", "", COUNTA(INDIRECT(D687 &amp; 3):INDIRECT(D687 &amp; 24)))</f>
        <v/>
      </c>
      <c r="F687" s="5" t="str">
        <f t="shared" si="22"/>
        <v/>
      </c>
      <c r="G687" s="5" t="str">
        <f>IF(F687="", "", IF(B687&lt;&gt;"", MATCH(B687, params!$B$2:$R$2, 0), G686))</f>
        <v/>
      </c>
      <c r="H687" s="5" t="str">
        <f t="shared" ca="1" si="23"/>
        <v/>
      </c>
      <c r="M687" s="2"/>
    </row>
    <row r="688" spans="2:13" ht="15.6" x14ac:dyDescent="0.3">
      <c r="B688" s="5" t="str">
        <f>IF(COUNTIF(data_val!$E$3:$E$5, sample_log!$E688), sample_log!$C688 &amp; "_" &amp; sample_log!$D688, "")</f>
        <v/>
      </c>
      <c r="C688" s="5" t="str">
        <f>IF(B688="", IF(F688="", "", C687), IF(sample_log!E688="Triennial SASS", "tri_params", "params"))</f>
        <v/>
      </c>
      <c r="D688" s="5" t="str">
        <f>IF(B688="", "", C688 &amp; "!" &amp; CHAR(65+MATCH(B688, params!$B$2:$R$2, 0)))</f>
        <v/>
      </c>
      <c r="E688" s="5" t="str">
        <f ca="1">IF(B688="", "", COUNTA(INDIRECT(D688 &amp; 3):INDIRECT(D688 &amp; 24)))</f>
        <v/>
      </c>
      <c r="F688" s="5" t="str">
        <f t="shared" si="22"/>
        <v/>
      </c>
      <c r="G688" s="5" t="str">
        <f>IF(F688="", "", IF(B688&lt;&gt;"", MATCH(B688, params!$B$2:$R$2, 0), G687))</f>
        <v/>
      </c>
      <c r="H688" s="5" t="str">
        <f t="shared" ca="1" si="23"/>
        <v/>
      </c>
      <c r="M688" s="2"/>
    </row>
    <row r="689" spans="2:13" ht="15.6" x14ac:dyDescent="0.3">
      <c r="B689" s="5" t="str">
        <f>IF(COUNTIF(data_val!$E$3:$E$5, sample_log!$E689), sample_log!$C689 &amp; "_" &amp; sample_log!$D689, "")</f>
        <v/>
      </c>
      <c r="C689" s="5" t="str">
        <f>IF(B689="", IF(F689="", "", C688), IF(sample_log!E689="Triennial SASS", "tri_params", "params"))</f>
        <v/>
      </c>
      <c r="D689" s="5" t="str">
        <f>IF(B689="", "", C689 &amp; "!" &amp; CHAR(65+MATCH(B689, params!$B$2:$R$2, 0)))</f>
        <v/>
      </c>
      <c r="E689" s="5" t="str">
        <f ca="1">IF(B689="", "", COUNTA(INDIRECT(D689 &amp; 3):INDIRECT(D689 &amp; 24)))</f>
        <v/>
      </c>
      <c r="F689" s="5" t="str">
        <f t="shared" si="22"/>
        <v/>
      </c>
      <c r="G689" s="5" t="str">
        <f>IF(F689="", "", IF(B689&lt;&gt;"", MATCH(B689, params!$B$2:$R$2, 0), G688))</f>
        <v/>
      </c>
      <c r="H689" s="5" t="str">
        <f t="shared" ca="1" si="23"/>
        <v/>
      </c>
      <c r="M689" s="2"/>
    </row>
    <row r="690" spans="2:13" ht="15.6" x14ac:dyDescent="0.3">
      <c r="B690" s="5" t="str">
        <f>IF(COUNTIF(data_val!$E$3:$E$5, sample_log!$E690), sample_log!$C690 &amp; "_" &amp; sample_log!$D690, "")</f>
        <v/>
      </c>
      <c r="C690" s="5" t="str">
        <f>IF(B690="", IF(F690="", "", C689), IF(sample_log!E690="Triennial SASS", "tri_params", "params"))</f>
        <v/>
      </c>
      <c r="D690" s="5" t="str">
        <f>IF(B690="", "", C690 &amp; "!" &amp; CHAR(65+MATCH(B690, params!$B$2:$R$2, 0)))</f>
        <v/>
      </c>
      <c r="E690" s="5" t="str">
        <f ca="1">IF(B690="", "", COUNTA(INDIRECT(D690 &amp; 3):INDIRECT(D690 &amp; 24)))</f>
        <v/>
      </c>
      <c r="F690" s="5" t="str">
        <f t="shared" si="22"/>
        <v/>
      </c>
      <c r="G690" s="5" t="str">
        <f>IF(F690="", "", IF(B690&lt;&gt;"", MATCH(B690, params!$B$2:$R$2, 0), G689))</f>
        <v/>
      </c>
      <c r="H690" s="5" t="str">
        <f t="shared" ca="1" si="23"/>
        <v/>
      </c>
      <c r="M690" s="2"/>
    </row>
    <row r="691" spans="2:13" ht="15.6" x14ac:dyDescent="0.3">
      <c r="B691" s="5" t="str">
        <f>IF(COUNTIF(data_val!$E$3:$E$5, sample_log!$E691), sample_log!$C691 &amp; "_" &amp; sample_log!$D691, "")</f>
        <v/>
      </c>
      <c r="C691" s="5" t="str">
        <f>IF(B691="", IF(F691="", "", C690), IF(sample_log!E691="Triennial SASS", "tri_params", "params"))</f>
        <v/>
      </c>
      <c r="D691" s="5" t="str">
        <f>IF(B691="", "", C691 &amp; "!" &amp; CHAR(65+MATCH(B691, params!$B$2:$R$2, 0)))</f>
        <v/>
      </c>
      <c r="E691" s="5" t="str">
        <f ca="1">IF(B691="", "", COUNTA(INDIRECT(D691 &amp; 3):INDIRECT(D691 &amp; 24)))</f>
        <v/>
      </c>
      <c r="F691" s="5" t="str">
        <f t="shared" si="22"/>
        <v/>
      </c>
      <c r="G691" s="5" t="str">
        <f>IF(F691="", "", IF(B691&lt;&gt;"", MATCH(B691, params!$B$2:$R$2, 0), G690))</f>
        <v/>
      </c>
      <c r="H691" s="5" t="str">
        <f t="shared" ca="1" si="23"/>
        <v/>
      </c>
      <c r="M691" s="2"/>
    </row>
    <row r="692" spans="2:13" ht="15.6" x14ac:dyDescent="0.3">
      <c r="B692" s="5" t="str">
        <f>IF(COUNTIF(data_val!$E$3:$E$5, sample_log!$E692), sample_log!$C692 &amp; "_" &amp; sample_log!$D692, "")</f>
        <v/>
      </c>
      <c r="C692" s="5" t="str">
        <f>IF(B692="", IF(F692="", "", C691), IF(sample_log!E692="Triennial SASS", "tri_params", "params"))</f>
        <v/>
      </c>
      <c r="D692" s="5" t="str">
        <f>IF(B692="", "", C692 &amp; "!" &amp; CHAR(65+MATCH(B692, params!$B$2:$R$2, 0)))</f>
        <v/>
      </c>
      <c r="E692" s="5" t="str">
        <f ca="1">IF(B692="", "", COUNTA(INDIRECT(D692 &amp; 3):INDIRECT(D692 &amp; 24)))</f>
        <v/>
      </c>
      <c r="F692" s="5" t="str">
        <f t="shared" si="22"/>
        <v/>
      </c>
      <c r="G692" s="5" t="str">
        <f>IF(F692="", "", IF(B692&lt;&gt;"", MATCH(B692, params!$B$2:$R$2, 0), G691))</f>
        <v/>
      </c>
      <c r="H692" s="5" t="str">
        <f t="shared" ca="1" si="23"/>
        <v/>
      </c>
      <c r="M692" s="2"/>
    </row>
    <row r="693" spans="2:13" ht="15.6" x14ac:dyDescent="0.3">
      <c r="B693" s="5" t="str">
        <f>IF(COUNTIF(data_val!$E$3:$E$5, sample_log!$E693), sample_log!$C693 &amp; "_" &amp; sample_log!$D693, "")</f>
        <v/>
      </c>
      <c r="C693" s="5" t="str">
        <f>IF(B693="", IF(F693="", "", C692), IF(sample_log!E693="Triennial SASS", "tri_params", "params"))</f>
        <v/>
      </c>
      <c r="D693" s="5" t="str">
        <f>IF(B693="", "", C693 &amp; "!" &amp; CHAR(65+MATCH(B693, params!$B$2:$R$2, 0)))</f>
        <v/>
      </c>
      <c r="E693" s="5" t="str">
        <f ca="1">IF(B693="", "", COUNTA(INDIRECT(D693 &amp; 3):INDIRECT(D693 &amp; 24)))</f>
        <v/>
      </c>
      <c r="F693" s="5" t="str">
        <f t="shared" si="22"/>
        <v/>
      </c>
      <c r="G693" s="5" t="str">
        <f>IF(F693="", "", IF(B693&lt;&gt;"", MATCH(B693, params!$B$2:$R$2, 0), G692))</f>
        <v/>
      </c>
      <c r="H693" s="5" t="str">
        <f t="shared" ca="1" si="23"/>
        <v/>
      </c>
      <c r="M693" s="2"/>
    </row>
    <row r="694" spans="2:13" ht="15.6" x14ac:dyDescent="0.3">
      <c r="B694" s="5" t="str">
        <f>IF(COUNTIF(data_val!$E$3:$E$5, sample_log!$E694), sample_log!$C694 &amp; "_" &amp; sample_log!$D694, "")</f>
        <v/>
      </c>
      <c r="C694" s="5" t="str">
        <f>IF(B694="", IF(F694="", "", C693), IF(sample_log!E694="Triennial SASS", "tri_params", "params"))</f>
        <v/>
      </c>
      <c r="D694" s="5" t="str">
        <f>IF(B694="", "", C694 &amp; "!" &amp; CHAR(65+MATCH(B694, params!$B$2:$R$2, 0)))</f>
        <v/>
      </c>
      <c r="E694" s="5" t="str">
        <f ca="1">IF(B694="", "", COUNTA(INDIRECT(D694 &amp; 3):INDIRECT(D694 &amp; 24)))</f>
        <v/>
      </c>
      <c r="F694" s="5" t="str">
        <f t="shared" si="22"/>
        <v/>
      </c>
      <c r="G694" s="5" t="str">
        <f>IF(F694="", "", IF(B694&lt;&gt;"", MATCH(B694, params!$B$2:$R$2, 0), G693))</f>
        <v/>
      </c>
      <c r="H694" s="5" t="str">
        <f t="shared" ca="1" si="23"/>
        <v/>
      </c>
      <c r="M694" s="2"/>
    </row>
    <row r="695" spans="2:13" ht="15.6" x14ac:dyDescent="0.3">
      <c r="B695" s="5" t="str">
        <f>IF(COUNTIF(data_val!$E$3:$E$5, sample_log!$E695), sample_log!$C695 &amp; "_" &amp; sample_log!$D695, "")</f>
        <v/>
      </c>
      <c r="C695" s="5" t="str">
        <f>IF(B695="", IF(F695="", "", C694), IF(sample_log!E695="Triennial SASS", "tri_params", "params"))</f>
        <v/>
      </c>
      <c r="D695" s="5" t="str">
        <f>IF(B695="", "", C695 &amp; "!" &amp; CHAR(65+MATCH(B695, params!$B$2:$R$2, 0)))</f>
        <v/>
      </c>
      <c r="E695" s="5" t="str">
        <f ca="1">IF(B695="", "", COUNTA(INDIRECT(D695 &amp; 3):INDIRECT(D695 &amp; 24)))</f>
        <v/>
      </c>
      <c r="F695" s="5" t="str">
        <f t="shared" si="22"/>
        <v/>
      </c>
      <c r="G695" s="5" t="str">
        <f>IF(F695="", "", IF(B695&lt;&gt;"", MATCH(B695, params!$B$2:$R$2, 0), G694))</f>
        <v/>
      </c>
      <c r="H695" s="5" t="str">
        <f t="shared" ca="1" si="23"/>
        <v/>
      </c>
      <c r="M695" s="2"/>
    </row>
    <row r="696" spans="2:13" ht="15.6" x14ac:dyDescent="0.3">
      <c r="B696" s="5" t="str">
        <f>IF(COUNTIF(data_val!$E$3:$E$5, sample_log!$E696), sample_log!$C696 &amp; "_" &amp; sample_log!$D696, "")</f>
        <v/>
      </c>
      <c r="C696" s="5" t="str">
        <f>IF(B696="", IF(F696="", "", C695), IF(sample_log!E696="Triennial SASS", "tri_params", "params"))</f>
        <v/>
      </c>
      <c r="D696" s="5" t="str">
        <f>IF(B696="", "", C696 &amp; "!" &amp; CHAR(65+MATCH(B696, params!$B$2:$R$2, 0)))</f>
        <v/>
      </c>
      <c r="E696" s="5" t="str">
        <f ca="1">IF(B696="", "", COUNTA(INDIRECT(D696 &amp; 3):INDIRECT(D696 &amp; 24)))</f>
        <v/>
      </c>
      <c r="F696" s="5" t="str">
        <f t="shared" si="22"/>
        <v/>
      </c>
      <c r="G696" s="5" t="str">
        <f>IF(F696="", "", IF(B696&lt;&gt;"", MATCH(B696, params!$B$2:$R$2, 0), G695))</f>
        <v/>
      </c>
      <c r="H696" s="5" t="str">
        <f t="shared" ca="1" si="23"/>
        <v/>
      </c>
      <c r="M696" s="2"/>
    </row>
    <row r="697" spans="2:13" ht="15.6" x14ac:dyDescent="0.3">
      <c r="B697" s="5" t="str">
        <f>IF(COUNTIF(data_val!$E$3:$E$5, sample_log!$E697), sample_log!$C697 &amp; "_" &amp; sample_log!$D697, "")</f>
        <v/>
      </c>
      <c r="C697" s="5" t="str">
        <f>IF(B697="", IF(F697="", "", C696), IF(sample_log!E697="Triennial SASS", "tri_params", "params"))</f>
        <v/>
      </c>
      <c r="D697" s="5" t="str">
        <f>IF(B697="", "", C697 &amp; "!" &amp; CHAR(65+MATCH(B697, params!$B$2:$R$2, 0)))</f>
        <v/>
      </c>
      <c r="E697" s="5" t="str">
        <f ca="1">IF(B697="", "", COUNTA(INDIRECT(D697 &amp; 3):INDIRECT(D697 &amp; 24)))</f>
        <v/>
      </c>
      <c r="F697" s="5" t="str">
        <f t="shared" si="22"/>
        <v/>
      </c>
      <c r="G697" s="5" t="str">
        <f>IF(F697="", "", IF(B697&lt;&gt;"", MATCH(B697, params!$B$2:$R$2, 0), G696))</f>
        <v/>
      </c>
      <c r="H697" s="5" t="str">
        <f t="shared" ca="1" si="23"/>
        <v/>
      </c>
      <c r="M697" s="2"/>
    </row>
    <row r="698" spans="2:13" ht="15.6" x14ac:dyDescent="0.3">
      <c r="B698" s="5" t="str">
        <f>IF(COUNTIF(data_val!$E$3:$E$5, sample_log!$E698), sample_log!$C698 &amp; "_" &amp; sample_log!$D698, "")</f>
        <v/>
      </c>
      <c r="C698" s="5" t="str">
        <f>IF(B698="", IF(F698="", "", C697), IF(sample_log!E698="Triennial SASS", "tri_params", "params"))</f>
        <v/>
      </c>
      <c r="D698" s="5" t="str">
        <f>IF(B698="", "", C698 &amp; "!" &amp; CHAR(65+MATCH(B698, params!$B$2:$R$2, 0)))</f>
        <v/>
      </c>
      <c r="E698" s="5" t="str">
        <f ca="1">IF(B698="", "", COUNTA(INDIRECT(D698 &amp; 3):INDIRECT(D698 &amp; 24)))</f>
        <v/>
      </c>
      <c r="F698" s="5" t="str">
        <f t="shared" si="22"/>
        <v/>
      </c>
      <c r="G698" s="5" t="str">
        <f>IF(F698="", "", IF(B698&lt;&gt;"", MATCH(B698, params!$B$2:$R$2, 0), G697))</f>
        <v/>
      </c>
      <c r="H698" s="5" t="str">
        <f t="shared" ca="1" si="23"/>
        <v/>
      </c>
      <c r="M698" s="2"/>
    </row>
    <row r="699" spans="2:13" ht="15.6" x14ac:dyDescent="0.3">
      <c r="B699" s="5" t="str">
        <f>IF(COUNTIF(data_val!$E$3:$E$5, sample_log!$E699), sample_log!$C699 &amp; "_" &amp; sample_log!$D699, "")</f>
        <v/>
      </c>
      <c r="C699" s="5" t="str">
        <f>IF(B699="", IF(F699="", "", C698), IF(sample_log!E699="Triennial SASS", "tri_params", "params"))</f>
        <v/>
      </c>
      <c r="D699" s="5" t="str">
        <f>IF(B699="", "", C699 &amp; "!" &amp; CHAR(65+MATCH(B699, params!$B$2:$R$2, 0)))</f>
        <v/>
      </c>
      <c r="E699" s="5" t="str">
        <f ca="1">IF(B699="", "", COUNTA(INDIRECT(D699 &amp; 3):INDIRECT(D699 &amp; 24)))</f>
        <v/>
      </c>
      <c r="F699" s="5" t="str">
        <f t="shared" si="22"/>
        <v/>
      </c>
      <c r="G699" s="5" t="str">
        <f>IF(F699="", "", IF(B699&lt;&gt;"", MATCH(B699, params!$B$2:$R$2, 0), G698))</f>
        <v/>
      </c>
      <c r="H699" s="5" t="str">
        <f t="shared" ca="1" si="23"/>
        <v/>
      </c>
      <c r="M699" s="2"/>
    </row>
    <row r="700" spans="2:13" ht="15.6" x14ac:dyDescent="0.3">
      <c r="B700" s="5" t="str">
        <f>IF(COUNTIF(data_val!$E$3:$E$5, sample_log!$E700), sample_log!$C700 &amp; "_" &amp; sample_log!$D700, "")</f>
        <v/>
      </c>
      <c r="C700" s="5" t="str">
        <f>IF(B700="", IF(F700="", "", C699), IF(sample_log!E700="Triennial SASS", "tri_params", "params"))</f>
        <v/>
      </c>
      <c r="D700" s="5" t="str">
        <f>IF(B700="", "", C700 &amp; "!" &amp; CHAR(65+MATCH(B700, params!$B$2:$R$2, 0)))</f>
        <v/>
      </c>
      <c r="E700" s="5" t="str">
        <f ca="1">IF(B700="", "", COUNTA(INDIRECT(D700 &amp; 3):INDIRECT(D700 &amp; 24)))</f>
        <v/>
      </c>
      <c r="F700" s="5" t="str">
        <f t="shared" si="22"/>
        <v/>
      </c>
      <c r="G700" s="5" t="str">
        <f>IF(F700="", "", IF(B700&lt;&gt;"", MATCH(B700, params!$B$2:$R$2, 0), G699))</f>
        <v/>
      </c>
      <c r="H700" s="5" t="str">
        <f t="shared" ca="1" si="23"/>
        <v/>
      </c>
      <c r="M700" s="2"/>
    </row>
    <row r="701" spans="2:13" ht="15.6" x14ac:dyDescent="0.3">
      <c r="B701" s="5" t="str">
        <f>IF(COUNTIF(data_val!$E$3:$E$5, sample_log!$E701), sample_log!$C701 &amp; "_" &amp; sample_log!$D701, "")</f>
        <v/>
      </c>
      <c r="C701" s="5" t="str">
        <f>IF(B701="", IF(F701="", "", C700), IF(sample_log!E701="Triennial SASS", "tri_params", "params"))</f>
        <v/>
      </c>
      <c r="D701" s="5" t="str">
        <f>IF(B701="", "", C701 &amp; "!" &amp; CHAR(65+MATCH(B701, params!$B$2:$R$2, 0)))</f>
        <v/>
      </c>
      <c r="E701" s="5" t="str">
        <f ca="1">IF(B701="", "", COUNTA(INDIRECT(D701 &amp; 3):INDIRECT(D701 &amp; 24)))</f>
        <v/>
      </c>
      <c r="F701" s="5" t="str">
        <f t="shared" si="22"/>
        <v/>
      </c>
      <c r="G701" s="5" t="str">
        <f>IF(F701="", "", IF(B701&lt;&gt;"", MATCH(B701, params!$B$2:$R$2, 0), G700))</f>
        <v/>
      </c>
      <c r="H701" s="5" t="str">
        <f t="shared" ca="1" si="23"/>
        <v/>
      </c>
      <c r="M701" s="2"/>
    </row>
    <row r="702" spans="2:13" ht="15.6" x14ac:dyDescent="0.3">
      <c r="B702" s="5" t="str">
        <f>IF(COUNTIF(data_val!$E$3:$E$5, sample_log!$E702), sample_log!$C702 &amp; "_" &amp; sample_log!$D702, "")</f>
        <v/>
      </c>
      <c r="C702" s="5" t="str">
        <f>IF(B702="", IF(F702="", "", C701), IF(sample_log!E702="Triennial SASS", "tri_params", "params"))</f>
        <v/>
      </c>
      <c r="D702" s="5" t="str">
        <f>IF(B702="", "", C702 &amp; "!" &amp; CHAR(65+MATCH(B702, params!$B$2:$R$2, 0)))</f>
        <v/>
      </c>
      <c r="E702" s="5" t="str">
        <f ca="1">IF(B702="", "", COUNTA(INDIRECT(D702 &amp; 3):INDIRECT(D702 &amp; 24)))</f>
        <v/>
      </c>
      <c r="F702" s="5" t="str">
        <f t="shared" si="22"/>
        <v/>
      </c>
      <c r="G702" s="5" t="str">
        <f>IF(F702="", "", IF(B702&lt;&gt;"", MATCH(B702, params!$B$2:$R$2, 0), G701))</f>
        <v/>
      </c>
      <c r="H702" s="5" t="str">
        <f t="shared" ca="1" si="23"/>
        <v/>
      </c>
      <c r="M702" s="2"/>
    </row>
    <row r="703" spans="2:13" ht="15.6" x14ac:dyDescent="0.3">
      <c r="B703" s="5" t="str">
        <f>IF(COUNTIF(data_val!$E$3:$E$5, sample_log!$E703), sample_log!$C703 &amp; "_" &amp; sample_log!$D703, "")</f>
        <v/>
      </c>
      <c r="C703" s="5" t="str">
        <f>IF(B703="", IF(F703="", "", C702), IF(sample_log!E703="Triennial SASS", "tri_params", "params"))</f>
        <v/>
      </c>
      <c r="D703" s="5" t="str">
        <f>IF(B703="", "", C703 &amp; "!" &amp; CHAR(65+MATCH(B703, params!$B$2:$R$2, 0)))</f>
        <v/>
      </c>
      <c r="E703" s="5" t="str">
        <f ca="1">IF(B703="", "", COUNTA(INDIRECT(D703 &amp; 3):INDIRECT(D703 &amp; 24)))</f>
        <v/>
      </c>
      <c r="F703" s="5" t="str">
        <f t="shared" si="22"/>
        <v/>
      </c>
      <c r="G703" s="5" t="str">
        <f>IF(F703="", "", IF(B703&lt;&gt;"", MATCH(B703, params!$B$2:$R$2, 0), G702))</f>
        <v/>
      </c>
      <c r="H703" s="5" t="str">
        <f t="shared" ca="1" si="23"/>
        <v/>
      </c>
      <c r="M703" s="2"/>
    </row>
    <row r="704" spans="2:13" ht="15.6" x14ac:dyDescent="0.3">
      <c r="B704" s="5" t="str">
        <f>IF(COUNTIF(data_val!$E$3:$E$5, sample_log!$E704), sample_log!$C704 &amp; "_" &amp; sample_log!$D704, "")</f>
        <v/>
      </c>
      <c r="C704" s="5" t="str">
        <f>IF(B704="", IF(F704="", "", C703), IF(sample_log!E704="Triennial SASS", "tri_params", "params"))</f>
        <v/>
      </c>
      <c r="D704" s="5" t="str">
        <f>IF(B704="", "", C704 &amp; "!" &amp; CHAR(65+MATCH(B704, params!$B$2:$R$2, 0)))</f>
        <v/>
      </c>
      <c r="E704" s="5" t="str">
        <f ca="1">IF(B704="", "", COUNTA(INDIRECT(D704 &amp; 3):INDIRECT(D704 &amp; 24)))</f>
        <v/>
      </c>
      <c r="F704" s="5" t="str">
        <f t="shared" si="22"/>
        <v/>
      </c>
      <c r="G704" s="5" t="str">
        <f>IF(F704="", "", IF(B704&lt;&gt;"", MATCH(B704, params!$B$2:$R$2, 0), G703))</f>
        <v/>
      </c>
      <c r="H704" s="5" t="str">
        <f t="shared" ca="1" si="23"/>
        <v/>
      </c>
      <c r="M704" s="2"/>
    </row>
    <row r="705" spans="2:13" ht="15.6" x14ac:dyDescent="0.3">
      <c r="B705" s="5" t="str">
        <f>IF(COUNTIF(data_val!$E$3:$E$5, sample_log!$E705), sample_log!$C705 &amp; "_" &amp; sample_log!$D705, "")</f>
        <v/>
      </c>
      <c r="C705" s="5" t="str">
        <f>IF(B705="", IF(F705="", "", C704), IF(sample_log!E705="Triennial SASS", "tri_params", "params"))</f>
        <v/>
      </c>
      <c r="D705" s="5" t="str">
        <f>IF(B705="", "", C705 &amp; "!" &amp; CHAR(65+MATCH(B705, params!$B$2:$R$2, 0)))</f>
        <v/>
      </c>
      <c r="E705" s="5" t="str">
        <f ca="1">IF(B705="", "", COUNTA(INDIRECT(D705 &amp; 3):INDIRECT(D705 &amp; 24)))</f>
        <v/>
      </c>
      <c r="F705" s="5" t="str">
        <f t="shared" si="22"/>
        <v/>
      </c>
      <c r="G705" s="5" t="str">
        <f>IF(F705="", "", IF(B705&lt;&gt;"", MATCH(B705, params!$B$2:$R$2, 0), G704))</f>
        <v/>
      </c>
      <c r="H705" s="5" t="str">
        <f t="shared" ca="1" si="23"/>
        <v/>
      </c>
      <c r="M705" s="2"/>
    </row>
    <row r="706" spans="2:13" ht="15.6" x14ac:dyDescent="0.3">
      <c r="B706" s="5" t="str">
        <f>IF(COUNTIF(data_val!$E$3:$E$5, sample_log!$E706), sample_log!$C706 &amp; "_" &amp; sample_log!$D706, "")</f>
        <v/>
      </c>
      <c r="C706" s="5" t="str">
        <f>IF(B706="", IF(F706="", "", C705), IF(sample_log!E706="Triennial SASS", "tri_params", "params"))</f>
        <v/>
      </c>
      <c r="D706" s="5" t="str">
        <f>IF(B706="", "", C706 &amp; "!" &amp; CHAR(65+MATCH(B706, params!$B$2:$R$2, 0)))</f>
        <v/>
      </c>
      <c r="E706" s="5" t="str">
        <f ca="1">IF(B706="", "", COUNTA(INDIRECT(D706 &amp; 3):INDIRECT(D706 &amp; 24)))</f>
        <v/>
      </c>
      <c r="F706" s="5" t="str">
        <f t="shared" si="22"/>
        <v/>
      </c>
      <c r="G706" s="5" t="str">
        <f>IF(F706="", "", IF(B706&lt;&gt;"", MATCH(B706, params!$B$2:$R$2, 0), G705))</f>
        <v/>
      </c>
      <c r="H706" s="5" t="str">
        <f t="shared" ca="1" si="23"/>
        <v/>
      </c>
      <c r="M706" s="2"/>
    </row>
    <row r="707" spans="2:13" ht="15.6" x14ac:dyDescent="0.3">
      <c r="B707" s="5" t="str">
        <f>IF(COUNTIF(data_val!$E$3:$E$5, sample_log!$E707), sample_log!$C707 &amp; "_" &amp; sample_log!$D707, "")</f>
        <v/>
      </c>
      <c r="C707" s="5" t="str">
        <f>IF(B707="", IF(F707="", "", C706), IF(sample_log!E707="Triennial SASS", "tri_params", "params"))</f>
        <v/>
      </c>
      <c r="D707" s="5" t="str">
        <f>IF(B707="", "", C707 &amp; "!" &amp; CHAR(65+MATCH(B707, params!$B$2:$R$2, 0)))</f>
        <v/>
      </c>
      <c r="E707" s="5" t="str">
        <f ca="1">IF(B707="", "", COUNTA(INDIRECT(D707 &amp; 3):INDIRECT(D707 &amp; 24)))</f>
        <v/>
      </c>
      <c r="F707" s="5" t="str">
        <f t="shared" ref="F707:F770" si="24">IF(B707="", IF(NOT(ISNUMBER(F706)), "", IF(F706-1&gt;0, F706-1, "")), E707)</f>
        <v/>
      </c>
      <c r="G707" s="5" t="str">
        <f>IF(F707="", "", IF(B707&lt;&gt;"", MATCH(B707, params!$B$2:$R$2, 0), G706))</f>
        <v/>
      </c>
      <c r="H707" s="5" t="str">
        <f t="shared" ca="1" si="23"/>
        <v/>
      </c>
      <c r="M707" s="2"/>
    </row>
    <row r="708" spans="2:13" ht="15.6" x14ac:dyDescent="0.3">
      <c r="B708" s="5" t="str">
        <f>IF(COUNTIF(data_val!$E$3:$E$5, sample_log!$E708), sample_log!$C708 &amp; "_" &amp; sample_log!$D708, "")</f>
        <v/>
      </c>
      <c r="C708" s="5" t="str">
        <f>IF(B708="", IF(F708="", "", C707), IF(sample_log!E708="Triennial SASS", "tri_params", "params"))</f>
        <v/>
      </c>
      <c r="D708" s="5" t="str">
        <f>IF(B708="", "", C708 &amp; "!" &amp; CHAR(65+MATCH(B708, params!$B$2:$R$2, 0)))</f>
        <v/>
      </c>
      <c r="E708" s="5" t="str">
        <f ca="1">IF(B708="", "", COUNTA(INDIRECT(D708 &amp; 3):INDIRECT(D708 &amp; 24)))</f>
        <v/>
      </c>
      <c r="F708" s="5" t="str">
        <f t="shared" si="24"/>
        <v/>
      </c>
      <c r="G708" s="5" t="str">
        <f>IF(F708="", "", IF(B708&lt;&gt;"", MATCH(B708, params!$B$2:$R$2, 0), G707))</f>
        <v/>
      </c>
      <c r="H708" s="5" t="str">
        <f t="shared" ca="1" si="23"/>
        <v/>
      </c>
      <c r="M708" s="2"/>
    </row>
    <row r="709" spans="2:13" ht="15.6" x14ac:dyDescent="0.3">
      <c r="B709" s="5" t="str">
        <f>IF(COUNTIF(data_val!$E$3:$E$5, sample_log!$E709), sample_log!$C709 &amp; "_" &amp; sample_log!$D709, "")</f>
        <v/>
      </c>
      <c r="C709" s="5" t="str">
        <f>IF(B709="", IF(F709="", "", C708), IF(sample_log!E709="Triennial SASS", "tri_params", "params"))</f>
        <v/>
      </c>
      <c r="D709" s="5" t="str">
        <f>IF(B709="", "", C709 &amp; "!" &amp; CHAR(65+MATCH(B709, params!$B$2:$R$2, 0)))</f>
        <v/>
      </c>
      <c r="E709" s="5" t="str">
        <f ca="1">IF(B709="", "", COUNTA(INDIRECT(D709 &amp; 3):INDIRECT(D709 &amp; 24)))</f>
        <v/>
      </c>
      <c r="F709" s="5" t="str">
        <f t="shared" si="24"/>
        <v/>
      </c>
      <c r="G709" s="5" t="str">
        <f>IF(F709="", "", IF(B709&lt;&gt;"", MATCH(B709, params!$B$2:$R$2, 0), G708))</f>
        <v/>
      </c>
      <c r="H709" s="5" t="str">
        <f t="shared" ca="1" si="23"/>
        <v/>
      </c>
      <c r="M709" s="2"/>
    </row>
    <row r="710" spans="2:13" ht="15.6" x14ac:dyDescent="0.3">
      <c r="B710" s="5" t="str">
        <f>IF(COUNTIF(data_val!$E$3:$E$5, sample_log!$E710), sample_log!$C710 &amp; "_" &amp; sample_log!$D710, "")</f>
        <v/>
      </c>
      <c r="C710" s="5" t="str">
        <f>IF(B710="", IF(F710="", "", C709), IF(sample_log!E710="Triennial SASS", "tri_params", "params"))</f>
        <v/>
      </c>
      <c r="D710" s="5" t="str">
        <f>IF(B710="", "", C710 &amp; "!" &amp; CHAR(65+MATCH(B710, params!$B$2:$R$2, 0)))</f>
        <v/>
      </c>
      <c r="E710" s="5" t="str">
        <f ca="1">IF(B710="", "", COUNTA(INDIRECT(D710 &amp; 3):INDIRECT(D710 &amp; 24)))</f>
        <v/>
      </c>
      <c r="F710" s="5" t="str">
        <f t="shared" si="24"/>
        <v/>
      </c>
      <c r="G710" s="5" t="str">
        <f>IF(F710="", "", IF(B710&lt;&gt;"", MATCH(B710, params!$B$2:$R$2, 0), G709))</f>
        <v/>
      </c>
      <c r="H710" s="5" t="str">
        <f t="shared" ca="1" si="23"/>
        <v/>
      </c>
      <c r="M710" s="2"/>
    </row>
    <row r="711" spans="2:13" ht="15.6" x14ac:dyDescent="0.3">
      <c r="B711" s="5" t="str">
        <f>IF(COUNTIF(data_val!$E$3:$E$5, sample_log!$E711), sample_log!$C711 &amp; "_" &amp; sample_log!$D711, "")</f>
        <v/>
      </c>
      <c r="C711" s="5" t="str">
        <f>IF(B711="", IF(F711="", "", C710), IF(sample_log!E711="Triennial SASS", "tri_params", "params"))</f>
        <v/>
      </c>
      <c r="D711" s="5" t="str">
        <f>IF(B711="", "", C711 &amp; "!" &amp; CHAR(65+MATCH(B711, params!$B$2:$R$2, 0)))</f>
        <v/>
      </c>
      <c r="E711" s="5" t="str">
        <f ca="1">IF(B711="", "", COUNTA(INDIRECT(D711 &amp; 3):INDIRECT(D711 &amp; 24)))</f>
        <v/>
      </c>
      <c r="F711" s="5" t="str">
        <f t="shared" si="24"/>
        <v/>
      </c>
      <c r="G711" s="5" t="str">
        <f>IF(F711="", "", IF(B711&lt;&gt;"", MATCH(B711, params!$B$2:$R$2, 0), G710))</f>
        <v/>
      </c>
      <c r="H711" s="5" t="str">
        <f t="shared" ca="1" si="23"/>
        <v/>
      </c>
      <c r="M711" s="2"/>
    </row>
    <row r="712" spans="2:13" ht="15.6" x14ac:dyDescent="0.3">
      <c r="B712" s="5" t="str">
        <f>IF(COUNTIF(data_val!$E$3:$E$5, sample_log!$E712), sample_log!$C712 &amp; "_" &amp; sample_log!$D712, "")</f>
        <v/>
      </c>
      <c r="C712" s="5" t="str">
        <f>IF(B712="", IF(F712="", "", C711), IF(sample_log!E712="Triennial SASS", "tri_params", "params"))</f>
        <v/>
      </c>
      <c r="D712" s="5" t="str">
        <f>IF(B712="", "", C712 &amp; "!" &amp; CHAR(65+MATCH(B712, params!$B$2:$R$2, 0)))</f>
        <v/>
      </c>
      <c r="E712" s="5" t="str">
        <f ca="1">IF(B712="", "", COUNTA(INDIRECT(D712 &amp; 3):INDIRECT(D712 &amp; 24)))</f>
        <v/>
      </c>
      <c r="F712" s="5" t="str">
        <f t="shared" si="24"/>
        <v/>
      </c>
      <c r="G712" s="5" t="str">
        <f>IF(F712="", "", IF(B712&lt;&gt;"", MATCH(B712, params!$B$2:$R$2, 0), G711))</f>
        <v/>
      </c>
      <c r="H712" s="5" t="str">
        <f t="shared" ca="1" si="23"/>
        <v/>
      </c>
      <c r="M712" s="2"/>
    </row>
    <row r="713" spans="2:13" ht="15.6" x14ac:dyDescent="0.3">
      <c r="B713" s="5" t="str">
        <f>IF(COUNTIF(data_val!$E$3:$E$5, sample_log!$E713), sample_log!$C713 &amp; "_" &amp; sample_log!$D713, "")</f>
        <v/>
      </c>
      <c r="C713" s="5" t="str">
        <f>IF(B713="", IF(F713="", "", C712), IF(sample_log!E713="Triennial SASS", "tri_params", "params"))</f>
        <v/>
      </c>
      <c r="D713" s="5" t="str">
        <f>IF(B713="", "", C713 &amp; "!" &amp; CHAR(65+MATCH(B713, params!$B$2:$R$2, 0)))</f>
        <v/>
      </c>
      <c r="E713" s="5" t="str">
        <f ca="1">IF(B713="", "", COUNTA(INDIRECT(D713 &amp; 3):INDIRECT(D713 &amp; 24)))</f>
        <v/>
      </c>
      <c r="F713" s="5" t="str">
        <f t="shared" si="24"/>
        <v/>
      </c>
      <c r="G713" s="5" t="str">
        <f>IF(F713="", "", IF(B713&lt;&gt;"", MATCH(B713, params!$B$2:$R$2, 0), G712))</f>
        <v/>
      </c>
      <c r="H713" s="5" t="str">
        <f t="shared" ca="1" si="23"/>
        <v/>
      </c>
      <c r="M713" s="2"/>
    </row>
    <row r="714" spans="2:13" ht="15.6" x14ac:dyDescent="0.3">
      <c r="B714" s="5" t="str">
        <f>IF(COUNTIF(data_val!$E$3:$E$5, sample_log!$E714), sample_log!$C714 &amp; "_" &amp; sample_log!$D714, "")</f>
        <v/>
      </c>
      <c r="C714" s="5" t="str">
        <f>IF(B714="", IF(F714="", "", C713), IF(sample_log!E714="Triennial SASS", "tri_params", "params"))</f>
        <v/>
      </c>
      <c r="D714" s="5" t="str">
        <f>IF(B714="", "", C714 &amp; "!" &amp; CHAR(65+MATCH(B714, params!$B$2:$R$2, 0)))</f>
        <v/>
      </c>
      <c r="E714" s="5" t="str">
        <f ca="1">IF(B714="", "", COUNTA(INDIRECT(D714 &amp; 3):INDIRECT(D714 &amp; 24)))</f>
        <v/>
      </c>
      <c r="F714" s="5" t="str">
        <f t="shared" si="24"/>
        <v/>
      </c>
      <c r="G714" s="5" t="str">
        <f>IF(F714="", "", IF(B714&lt;&gt;"", MATCH(B714, params!$B$2:$R$2, 0), G713))</f>
        <v/>
      </c>
      <c r="H714" s="5" t="str">
        <f t="shared" ca="1" si="23"/>
        <v/>
      </c>
      <c r="M714" s="2"/>
    </row>
    <row r="715" spans="2:13" ht="15.6" x14ac:dyDescent="0.3">
      <c r="B715" s="5" t="str">
        <f>IF(COUNTIF(data_val!$E$3:$E$5, sample_log!$E715), sample_log!$C715 &amp; "_" &amp; sample_log!$D715, "")</f>
        <v/>
      </c>
      <c r="C715" s="5" t="str">
        <f>IF(B715="", IF(F715="", "", C714), IF(sample_log!E715="Triennial SASS", "tri_params", "params"))</f>
        <v/>
      </c>
      <c r="D715" s="5" t="str">
        <f>IF(B715="", "", C715 &amp; "!" &amp; CHAR(65+MATCH(B715, params!$B$2:$R$2, 0)))</f>
        <v/>
      </c>
      <c r="E715" s="5" t="str">
        <f ca="1">IF(B715="", "", COUNTA(INDIRECT(D715 &amp; 3):INDIRECT(D715 &amp; 24)))</f>
        <v/>
      </c>
      <c r="F715" s="5" t="str">
        <f t="shared" si="24"/>
        <v/>
      </c>
      <c r="G715" s="5" t="str">
        <f>IF(F715="", "", IF(B715&lt;&gt;"", MATCH(B715, params!$B$2:$R$2, 0), G714))</f>
        <v/>
      </c>
      <c r="H715" s="5" t="str">
        <f t="shared" ca="1" si="23"/>
        <v/>
      </c>
      <c r="M715" s="2"/>
    </row>
    <row r="716" spans="2:13" ht="15.6" x14ac:dyDescent="0.3">
      <c r="B716" s="5" t="str">
        <f>IF(COUNTIF(data_val!$E$3:$E$5, sample_log!$E716), sample_log!$C716 &amp; "_" &amp; sample_log!$D716, "")</f>
        <v/>
      </c>
      <c r="C716" s="5" t="str">
        <f>IF(B716="", IF(F716="", "", C715), IF(sample_log!E716="Triennial SASS", "tri_params", "params"))</f>
        <v/>
      </c>
      <c r="D716" s="5" t="str">
        <f>IF(B716="", "", C716 &amp; "!" &amp; CHAR(65+MATCH(B716, params!$B$2:$R$2, 0)))</f>
        <v/>
      </c>
      <c r="E716" s="5" t="str">
        <f ca="1">IF(B716="", "", COUNTA(INDIRECT(D716 &amp; 3):INDIRECT(D716 &amp; 24)))</f>
        <v/>
      </c>
      <c r="F716" s="5" t="str">
        <f t="shared" si="24"/>
        <v/>
      </c>
      <c r="G716" s="5" t="str">
        <f>IF(F716="", "", IF(B716&lt;&gt;"", MATCH(B716, params!$B$2:$R$2, 0), G715))</f>
        <v/>
      </c>
      <c r="H716" s="5" t="str">
        <f t="shared" ca="1" si="23"/>
        <v/>
      </c>
      <c r="M716" s="2"/>
    </row>
    <row r="717" spans="2:13" ht="15.6" x14ac:dyDescent="0.3">
      <c r="B717" s="5" t="str">
        <f>IF(COUNTIF(data_val!$E$3:$E$5, sample_log!$E717), sample_log!$C717 &amp; "_" &amp; sample_log!$D717, "")</f>
        <v/>
      </c>
      <c r="C717" s="5" t="str">
        <f>IF(B717="", IF(F717="", "", C716), IF(sample_log!E717="Triennial SASS", "tri_params", "params"))</f>
        <v/>
      </c>
      <c r="D717" s="5" t="str">
        <f>IF(B717="", "", C717 &amp; "!" &amp; CHAR(65+MATCH(B717, params!$B$2:$R$2, 0)))</f>
        <v/>
      </c>
      <c r="E717" s="5" t="str">
        <f ca="1">IF(B717="", "", COUNTA(INDIRECT(D717 &amp; 3):INDIRECT(D717 &amp; 24)))</f>
        <v/>
      </c>
      <c r="F717" s="5" t="str">
        <f t="shared" si="24"/>
        <v/>
      </c>
      <c r="G717" s="5" t="str">
        <f>IF(F717="", "", IF(B717&lt;&gt;"", MATCH(B717, params!$B$2:$R$2, 0), G716))</f>
        <v/>
      </c>
      <c r="H717" s="5" t="str">
        <f t="shared" ca="1" si="23"/>
        <v/>
      </c>
      <c r="M717" s="2"/>
    </row>
    <row r="718" spans="2:13" ht="15.6" x14ac:dyDescent="0.3">
      <c r="B718" s="5" t="str">
        <f>IF(COUNTIF(data_val!$E$3:$E$5, sample_log!$E718), sample_log!$C718 &amp; "_" &amp; sample_log!$D718, "")</f>
        <v/>
      </c>
      <c r="C718" s="5" t="str">
        <f>IF(B718="", IF(F718="", "", C717), IF(sample_log!E718="Triennial SASS", "tri_params", "params"))</f>
        <v/>
      </c>
      <c r="D718" s="5" t="str">
        <f>IF(B718="", "", C718 &amp; "!" &amp; CHAR(65+MATCH(B718, params!$B$2:$R$2, 0)))</f>
        <v/>
      </c>
      <c r="E718" s="5" t="str">
        <f ca="1">IF(B718="", "", COUNTA(INDIRECT(D718 &amp; 3):INDIRECT(D718 &amp; 24)))</f>
        <v/>
      </c>
      <c r="F718" s="5" t="str">
        <f t="shared" si="24"/>
        <v/>
      </c>
      <c r="G718" s="5" t="str">
        <f>IF(F718="", "", IF(B718&lt;&gt;"", MATCH(B718, params!$B$2:$R$2, 0), G717))</f>
        <v/>
      </c>
      <c r="H718" s="5" t="str">
        <f t="shared" ca="1" si="23"/>
        <v/>
      </c>
      <c r="M718" s="2"/>
    </row>
    <row r="719" spans="2:13" ht="15.6" x14ac:dyDescent="0.3">
      <c r="B719" s="5" t="str">
        <f>IF(COUNTIF(data_val!$E$3:$E$5, sample_log!$E719), sample_log!$C719 &amp; "_" &amp; sample_log!$D719, "")</f>
        <v/>
      </c>
      <c r="C719" s="5" t="str">
        <f>IF(B719="", IF(F719="", "", C718), IF(sample_log!E719="Triennial SASS", "tri_params", "params"))</f>
        <v/>
      </c>
      <c r="D719" s="5" t="str">
        <f>IF(B719="", "", C719 &amp; "!" &amp; CHAR(65+MATCH(B719, params!$B$2:$R$2, 0)))</f>
        <v/>
      </c>
      <c r="E719" s="5" t="str">
        <f ca="1">IF(B719="", "", COUNTA(INDIRECT(D719 &amp; 3):INDIRECT(D719 &amp; 24)))</f>
        <v/>
      </c>
      <c r="F719" s="5" t="str">
        <f t="shared" si="24"/>
        <v/>
      </c>
      <c r="G719" s="5" t="str">
        <f>IF(F719="", "", IF(B719&lt;&gt;"", MATCH(B719, params!$B$2:$R$2, 0), G718))</f>
        <v/>
      </c>
      <c r="H719" s="5" t="str">
        <f t="shared" ca="1" si="23"/>
        <v/>
      </c>
      <c r="M719" s="2"/>
    </row>
    <row r="720" spans="2:13" ht="15.6" x14ac:dyDescent="0.3">
      <c r="B720" s="5" t="str">
        <f>IF(COUNTIF(data_val!$E$3:$E$5, sample_log!$E720), sample_log!$C720 &amp; "_" &amp; sample_log!$D720, "")</f>
        <v/>
      </c>
      <c r="C720" s="5" t="str">
        <f>IF(B720="", IF(F720="", "", C719), IF(sample_log!E720="Triennial SASS", "tri_params", "params"))</f>
        <v/>
      </c>
      <c r="D720" s="5" t="str">
        <f>IF(B720="", "", C720 &amp; "!" &amp; CHAR(65+MATCH(B720, params!$B$2:$R$2, 0)))</f>
        <v/>
      </c>
      <c r="E720" s="5" t="str">
        <f ca="1">IF(B720="", "", COUNTA(INDIRECT(D720 &amp; 3):INDIRECT(D720 &amp; 24)))</f>
        <v/>
      </c>
      <c r="F720" s="5" t="str">
        <f t="shared" si="24"/>
        <v/>
      </c>
      <c r="G720" s="5" t="str">
        <f>IF(F720="", "", IF(B720&lt;&gt;"", MATCH(B720, params!$B$2:$R$2, 0), G719))</f>
        <v/>
      </c>
      <c r="H720" s="5" t="str">
        <f t="shared" ca="1" si="23"/>
        <v/>
      </c>
      <c r="M720" s="2"/>
    </row>
    <row r="721" spans="2:13" ht="15.6" x14ac:dyDescent="0.3">
      <c r="B721" s="5" t="str">
        <f>IF(COUNTIF(data_val!$E$3:$E$5, sample_log!$E721), sample_log!$C721 &amp; "_" &amp; sample_log!$D721, "")</f>
        <v/>
      </c>
      <c r="C721" s="5" t="str">
        <f>IF(B721="", IF(F721="", "", C720), IF(sample_log!E721="Triennial SASS", "tri_params", "params"))</f>
        <v/>
      </c>
      <c r="D721" s="5" t="str">
        <f>IF(B721="", "", C721 &amp; "!" &amp; CHAR(65+MATCH(B721, params!$B$2:$R$2, 0)))</f>
        <v/>
      </c>
      <c r="E721" s="5" t="str">
        <f ca="1">IF(B721="", "", COUNTA(INDIRECT(D721 &amp; 3):INDIRECT(D721 &amp; 24)))</f>
        <v/>
      </c>
      <c r="F721" s="5" t="str">
        <f t="shared" si="24"/>
        <v/>
      </c>
      <c r="G721" s="5" t="str">
        <f>IF(F721="", "", IF(B721&lt;&gt;"", MATCH(B721, params!$B$2:$R$2, 0), G720))</f>
        <v/>
      </c>
      <c r="H721" s="5" t="str">
        <f t="shared" ca="1" si="23"/>
        <v/>
      </c>
      <c r="M721" s="2"/>
    </row>
    <row r="722" spans="2:13" ht="15.6" x14ac:dyDescent="0.3">
      <c r="B722" s="5" t="str">
        <f>IF(COUNTIF(data_val!$E$3:$E$5, sample_log!$E722), sample_log!$C722 &amp; "_" &amp; sample_log!$D722, "")</f>
        <v/>
      </c>
      <c r="C722" s="5" t="str">
        <f>IF(B722="", IF(F722="", "", C721), IF(sample_log!E722="Triennial SASS", "tri_params", "params"))</f>
        <v/>
      </c>
      <c r="D722" s="5" t="str">
        <f>IF(B722="", "", C722 &amp; "!" &amp; CHAR(65+MATCH(B722, params!$B$2:$R$2, 0)))</f>
        <v/>
      </c>
      <c r="E722" s="5" t="str">
        <f ca="1">IF(B722="", "", COUNTA(INDIRECT(D722 &amp; 3):INDIRECT(D722 &amp; 24)))</f>
        <v/>
      </c>
      <c r="F722" s="5" t="str">
        <f t="shared" si="24"/>
        <v/>
      </c>
      <c r="G722" s="5" t="str">
        <f>IF(F722="", "", IF(B722&lt;&gt;"", MATCH(B722, params!$B$2:$R$2, 0), G721))</f>
        <v/>
      </c>
      <c r="H722" s="5" t="str">
        <f t="shared" ca="1" si="23"/>
        <v/>
      </c>
      <c r="M722" s="2"/>
    </row>
    <row r="723" spans="2:13" ht="15.6" x14ac:dyDescent="0.3">
      <c r="B723" s="5" t="str">
        <f>IF(COUNTIF(data_val!$E$3:$E$5, sample_log!$E723), sample_log!$C723 &amp; "_" &amp; sample_log!$D723, "")</f>
        <v/>
      </c>
      <c r="C723" s="5" t="str">
        <f>IF(B723="", IF(F723="", "", C722), IF(sample_log!E723="Triennial SASS", "tri_params", "params"))</f>
        <v/>
      </c>
      <c r="D723" s="5" t="str">
        <f>IF(B723="", "", C723 &amp; "!" &amp; CHAR(65+MATCH(B723, params!$B$2:$R$2, 0)))</f>
        <v/>
      </c>
      <c r="E723" s="5" t="str">
        <f ca="1">IF(B723="", "", COUNTA(INDIRECT(D723 &amp; 3):INDIRECT(D723 &amp; 24)))</f>
        <v/>
      </c>
      <c r="F723" s="5" t="str">
        <f t="shared" si="24"/>
        <v/>
      </c>
      <c r="G723" s="5" t="str">
        <f>IF(F723="", "", IF(B723&lt;&gt;"", MATCH(B723, params!$B$2:$R$2, 0), G722))</f>
        <v/>
      </c>
      <c r="H723" s="5" t="str">
        <f t="shared" ca="1" si="23"/>
        <v/>
      </c>
      <c r="M723" s="2"/>
    </row>
    <row r="724" spans="2:13" ht="15.6" x14ac:dyDescent="0.3">
      <c r="B724" s="5" t="str">
        <f>IF(COUNTIF(data_val!$E$3:$E$5, sample_log!$E724), sample_log!$C724 &amp; "_" &amp; sample_log!$D724, "")</f>
        <v/>
      </c>
      <c r="C724" s="5" t="str">
        <f>IF(B724="", IF(F724="", "", C723), IF(sample_log!E724="Triennial SASS", "tri_params", "params"))</f>
        <v/>
      </c>
      <c r="D724" s="5" t="str">
        <f>IF(B724="", "", C724 &amp; "!" &amp; CHAR(65+MATCH(B724, params!$B$2:$R$2, 0)))</f>
        <v/>
      </c>
      <c r="E724" s="5" t="str">
        <f ca="1">IF(B724="", "", COUNTA(INDIRECT(D724 &amp; 3):INDIRECT(D724 &amp; 24)))</f>
        <v/>
      </c>
      <c r="F724" s="5" t="str">
        <f t="shared" si="24"/>
        <v/>
      </c>
      <c r="G724" s="5" t="str">
        <f>IF(F724="", "", IF(B724&lt;&gt;"", MATCH(B724, params!$B$2:$R$2, 0), G723))</f>
        <v/>
      </c>
      <c r="H724" s="5" t="str">
        <f t="shared" ca="1" si="23"/>
        <v/>
      </c>
      <c r="M724" s="2"/>
    </row>
    <row r="725" spans="2:13" ht="15.6" x14ac:dyDescent="0.3">
      <c r="B725" s="5" t="str">
        <f>IF(COUNTIF(data_val!$E$3:$E$5, sample_log!$E725), sample_log!$C725 &amp; "_" &amp; sample_log!$D725, "")</f>
        <v/>
      </c>
      <c r="C725" s="5" t="str">
        <f>IF(B725="", IF(F725="", "", C724), IF(sample_log!E725="Triennial SASS", "tri_params", "params"))</f>
        <v/>
      </c>
      <c r="D725" s="5" t="str">
        <f>IF(B725="", "", C725 &amp; "!" &amp; CHAR(65+MATCH(B725, params!$B$2:$R$2, 0)))</f>
        <v/>
      </c>
      <c r="E725" s="5" t="str">
        <f ca="1">IF(B725="", "", COUNTA(INDIRECT(D725 &amp; 3):INDIRECT(D725 &amp; 24)))</f>
        <v/>
      </c>
      <c r="F725" s="5" t="str">
        <f t="shared" si="24"/>
        <v/>
      </c>
      <c r="G725" s="5" t="str">
        <f>IF(F725="", "", IF(B725&lt;&gt;"", MATCH(B725, params!$B$2:$R$2, 0), G724))</f>
        <v/>
      </c>
      <c r="H725" s="5" t="str">
        <f t="shared" ca="1" si="23"/>
        <v/>
      </c>
      <c r="M725" s="2"/>
    </row>
    <row r="726" spans="2:13" ht="15.6" x14ac:dyDescent="0.3">
      <c r="B726" s="5" t="str">
        <f>IF(COUNTIF(data_val!$E$3:$E$5, sample_log!$E726), sample_log!$C726 &amp; "_" &amp; sample_log!$D726, "")</f>
        <v/>
      </c>
      <c r="C726" s="5" t="str">
        <f>IF(B726="", IF(F726="", "", C725), IF(sample_log!E726="Triennial SASS", "tri_params", "params"))</f>
        <v/>
      </c>
      <c r="D726" s="5" t="str">
        <f>IF(B726="", "", C726 &amp; "!" &amp; CHAR(65+MATCH(B726, params!$B$2:$R$2, 0)))</f>
        <v/>
      </c>
      <c r="E726" s="5" t="str">
        <f ca="1">IF(B726="", "", COUNTA(INDIRECT(D726 &amp; 3):INDIRECT(D726 &amp; 24)))</f>
        <v/>
      </c>
      <c r="F726" s="5" t="str">
        <f t="shared" si="24"/>
        <v/>
      </c>
      <c r="G726" s="5" t="str">
        <f>IF(F726="", "", IF(B726&lt;&gt;"", MATCH(B726, params!$B$2:$R$2, 0), G725))</f>
        <v/>
      </c>
      <c r="H726" s="5" t="str">
        <f t="shared" ca="1" si="23"/>
        <v/>
      </c>
      <c r="M726" s="2"/>
    </row>
    <row r="727" spans="2:13" ht="15.6" x14ac:dyDescent="0.3">
      <c r="B727" s="5" t="str">
        <f>IF(COUNTIF(data_val!$E$3:$E$5, sample_log!$E727), sample_log!$C727 &amp; "_" &amp; sample_log!$D727, "")</f>
        <v/>
      </c>
      <c r="C727" s="5" t="str">
        <f>IF(B727="", IF(F727="", "", C726), IF(sample_log!E727="Triennial SASS", "tri_params", "params"))</f>
        <v/>
      </c>
      <c r="D727" s="5" t="str">
        <f>IF(B727="", "", C727 &amp; "!" &amp; CHAR(65+MATCH(B727, params!$B$2:$R$2, 0)))</f>
        <v/>
      </c>
      <c r="E727" s="5" t="str">
        <f ca="1">IF(B727="", "", COUNTA(INDIRECT(D727 &amp; 3):INDIRECT(D727 &amp; 24)))</f>
        <v/>
      </c>
      <c r="F727" s="5" t="str">
        <f t="shared" si="24"/>
        <v/>
      </c>
      <c r="G727" s="5" t="str">
        <f>IF(F727="", "", IF(B727&lt;&gt;"", MATCH(B727, params!$B$2:$R$2, 0), G726))</f>
        <v/>
      </c>
      <c r="H727" s="5" t="str">
        <f t="shared" ca="1" si="23"/>
        <v/>
      </c>
      <c r="M727" s="2"/>
    </row>
    <row r="728" spans="2:13" ht="15.6" x14ac:dyDescent="0.3">
      <c r="B728" s="5" t="str">
        <f>IF(COUNTIF(data_val!$E$3:$E$5, sample_log!$E728), sample_log!$C728 &amp; "_" &amp; sample_log!$D728, "")</f>
        <v/>
      </c>
      <c r="C728" s="5" t="str">
        <f>IF(B728="", IF(F728="", "", C727), IF(sample_log!E728="Triennial SASS", "tri_params", "params"))</f>
        <v/>
      </c>
      <c r="D728" s="5" t="str">
        <f>IF(B728="", "", C728 &amp; "!" &amp; CHAR(65+MATCH(B728, params!$B$2:$R$2, 0)))</f>
        <v/>
      </c>
      <c r="E728" s="5" t="str">
        <f ca="1">IF(B728="", "", COUNTA(INDIRECT(D728 &amp; 3):INDIRECT(D728 &amp; 24)))</f>
        <v/>
      </c>
      <c r="F728" s="5" t="str">
        <f t="shared" si="24"/>
        <v/>
      </c>
      <c r="G728" s="5" t="str">
        <f>IF(F728="", "", IF(B728&lt;&gt;"", MATCH(B728, params!$B$2:$R$2, 0), G727))</f>
        <v/>
      </c>
      <c r="H728" s="5" t="str">
        <f t="shared" ca="1" si="23"/>
        <v/>
      </c>
      <c r="M728" s="2"/>
    </row>
    <row r="729" spans="2:13" ht="15.6" x14ac:dyDescent="0.3">
      <c r="B729" s="5" t="str">
        <f>IF(COUNTIF(data_val!$E$3:$E$5, sample_log!$E729), sample_log!$C729 &amp; "_" &amp; sample_log!$D729, "")</f>
        <v/>
      </c>
      <c r="C729" s="5" t="str">
        <f>IF(B729="", IF(F729="", "", C728), IF(sample_log!E729="Triennial SASS", "tri_params", "params"))</f>
        <v/>
      </c>
      <c r="D729" s="5" t="str">
        <f>IF(B729="", "", C729 &amp; "!" &amp; CHAR(65+MATCH(B729, params!$B$2:$R$2, 0)))</f>
        <v/>
      </c>
      <c r="E729" s="5" t="str">
        <f ca="1">IF(B729="", "", COUNTA(INDIRECT(D729 &amp; 3):INDIRECT(D729 &amp; 24)))</f>
        <v/>
      </c>
      <c r="F729" s="5" t="str">
        <f t="shared" si="24"/>
        <v/>
      </c>
      <c r="G729" s="5" t="str">
        <f>IF(F729="", "", IF(B729&lt;&gt;"", MATCH(B729, params!$B$2:$R$2, 0), G728))</f>
        <v/>
      </c>
      <c r="H729" s="5" t="str">
        <f t="shared" ref="H729:H792" ca="1" si="25">IF($F729="", "", INDEX(INDIRECT("'" &amp; C729 &amp; "'!$B$3:$R$24"), $F729, $G729))</f>
        <v/>
      </c>
      <c r="M729" s="2"/>
    </row>
    <row r="730" spans="2:13" ht="15.6" x14ac:dyDescent="0.3">
      <c r="B730" s="5" t="str">
        <f>IF(COUNTIF(data_val!$E$3:$E$5, sample_log!$E730), sample_log!$C730 &amp; "_" &amp; sample_log!$D730, "")</f>
        <v/>
      </c>
      <c r="C730" s="5" t="str">
        <f>IF(B730="", IF(F730="", "", C729), IF(sample_log!E730="Triennial SASS", "tri_params", "params"))</f>
        <v/>
      </c>
      <c r="D730" s="5" t="str">
        <f>IF(B730="", "", C730 &amp; "!" &amp; CHAR(65+MATCH(B730, params!$B$2:$R$2, 0)))</f>
        <v/>
      </c>
      <c r="E730" s="5" t="str">
        <f ca="1">IF(B730="", "", COUNTA(INDIRECT(D730 &amp; 3):INDIRECT(D730 &amp; 24)))</f>
        <v/>
      </c>
      <c r="F730" s="5" t="str">
        <f t="shared" si="24"/>
        <v/>
      </c>
      <c r="G730" s="5" t="str">
        <f>IF(F730="", "", IF(B730&lt;&gt;"", MATCH(B730, params!$B$2:$R$2, 0), G729))</f>
        <v/>
      </c>
      <c r="H730" s="5" t="str">
        <f t="shared" ca="1" si="25"/>
        <v/>
      </c>
      <c r="M730" s="2"/>
    </row>
    <row r="731" spans="2:13" ht="15.6" x14ac:dyDescent="0.3">
      <c r="B731" s="5" t="str">
        <f>IF(COUNTIF(data_val!$E$3:$E$5, sample_log!$E731), sample_log!$C731 &amp; "_" &amp; sample_log!$D731, "")</f>
        <v/>
      </c>
      <c r="C731" s="5" t="str">
        <f>IF(B731="", IF(F731="", "", C730), IF(sample_log!E731="Triennial SASS", "tri_params", "params"))</f>
        <v/>
      </c>
      <c r="D731" s="5" t="str">
        <f>IF(B731="", "", C731 &amp; "!" &amp; CHAR(65+MATCH(B731, params!$B$2:$R$2, 0)))</f>
        <v/>
      </c>
      <c r="E731" s="5" t="str">
        <f ca="1">IF(B731="", "", COUNTA(INDIRECT(D731 &amp; 3):INDIRECT(D731 &amp; 24)))</f>
        <v/>
      </c>
      <c r="F731" s="5" t="str">
        <f t="shared" si="24"/>
        <v/>
      </c>
      <c r="G731" s="5" t="str">
        <f>IF(F731="", "", IF(B731&lt;&gt;"", MATCH(B731, params!$B$2:$R$2, 0), G730))</f>
        <v/>
      </c>
      <c r="H731" s="5" t="str">
        <f t="shared" ca="1" si="25"/>
        <v/>
      </c>
      <c r="M731" s="2"/>
    </row>
    <row r="732" spans="2:13" ht="15.6" x14ac:dyDescent="0.3">
      <c r="B732" s="5" t="str">
        <f>IF(COUNTIF(data_val!$E$3:$E$5, sample_log!$E732), sample_log!$C732 &amp; "_" &amp; sample_log!$D732, "")</f>
        <v/>
      </c>
      <c r="C732" s="5" t="str">
        <f>IF(B732="", IF(F732="", "", C731), IF(sample_log!E732="Triennial SASS", "tri_params", "params"))</f>
        <v/>
      </c>
      <c r="D732" s="5" t="str">
        <f>IF(B732="", "", C732 &amp; "!" &amp; CHAR(65+MATCH(B732, params!$B$2:$R$2, 0)))</f>
        <v/>
      </c>
      <c r="E732" s="5" t="str">
        <f ca="1">IF(B732="", "", COUNTA(INDIRECT(D732 &amp; 3):INDIRECT(D732 &amp; 24)))</f>
        <v/>
      </c>
      <c r="F732" s="5" t="str">
        <f t="shared" si="24"/>
        <v/>
      </c>
      <c r="G732" s="5" t="str">
        <f>IF(F732="", "", IF(B732&lt;&gt;"", MATCH(B732, params!$B$2:$R$2, 0), G731))</f>
        <v/>
      </c>
      <c r="H732" s="5" t="str">
        <f t="shared" ca="1" si="25"/>
        <v/>
      </c>
      <c r="M732" s="2"/>
    </row>
    <row r="733" spans="2:13" ht="15.6" x14ac:dyDescent="0.3">
      <c r="B733" s="5" t="str">
        <f>IF(COUNTIF(data_val!$E$3:$E$5, sample_log!$E733), sample_log!$C733 &amp; "_" &amp; sample_log!$D733, "")</f>
        <v/>
      </c>
      <c r="C733" s="5" t="str">
        <f>IF(B733="", IF(F733="", "", C732), IF(sample_log!E733="Triennial SASS", "tri_params", "params"))</f>
        <v/>
      </c>
      <c r="D733" s="5" t="str">
        <f>IF(B733="", "", C733 &amp; "!" &amp; CHAR(65+MATCH(B733, params!$B$2:$R$2, 0)))</f>
        <v/>
      </c>
      <c r="E733" s="5" t="str">
        <f ca="1">IF(B733="", "", COUNTA(INDIRECT(D733 &amp; 3):INDIRECT(D733 &amp; 24)))</f>
        <v/>
      </c>
      <c r="F733" s="5" t="str">
        <f t="shared" si="24"/>
        <v/>
      </c>
      <c r="G733" s="5" t="str">
        <f>IF(F733="", "", IF(B733&lt;&gt;"", MATCH(B733, params!$B$2:$R$2, 0), G732))</f>
        <v/>
      </c>
      <c r="H733" s="5" t="str">
        <f t="shared" ca="1" si="25"/>
        <v/>
      </c>
      <c r="M733" s="2"/>
    </row>
    <row r="734" spans="2:13" ht="15.6" x14ac:dyDescent="0.3">
      <c r="B734" s="5" t="str">
        <f>IF(COUNTIF(data_val!$E$3:$E$5, sample_log!$E734), sample_log!$C734 &amp; "_" &amp; sample_log!$D734, "")</f>
        <v/>
      </c>
      <c r="C734" s="5" t="str">
        <f>IF(B734="", IF(F734="", "", C733), IF(sample_log!E734="Triennial SASS", "tri_params", "params"))</f>
        <v/>
      </c>
      <c r="D734" s="5" t="str">
        <f>IF(B734="", "", C734 &amp; "!" &amp; CHAR(65+MATCH(B734, params!$B$2:$R$2, 0)))</f>
        <v/>
      </c>
      <c r="E734" s="5" t="str">
        <f ca="1">IF(B734="", "", COUNTA(INDIRECT(D734 &amp; 3):INDIRECT(D734 &amp; 24)))</f>
        <v/>
      </c>
      <c r="F734" s="5" t="str">
        <f t="shared" si="24"/>
        <v/>
      </c>
      <c r="G734" s="5" t="str">
        <f>IF(F734="", "", IF(B734&lt;&gt;"", MATCH(B734, params!$B$2:$R$2, 0), G733))</f>
        <v/>
      </c>
      <c r="H734" s="5" t="str">
        <f t="shared" ca="1" si="25"/>
        <v/>
      </c>
      <c r="M734" s="2"/>
    </row>
    <row r="735" spans="2:13" ht="15.6" x14ac:dyDescent="0.3">
      <c r="B735" s="5" t="str">
        <f>IF(COUNTIF(data_val!$E$3:$E$5, sample_log!$E735), sample_log!$C735 &amp; "_" &amp; sample_log!$D735, "")</f>
        <v/>
      </c>
      <c r="C735" s="5" t="str">
        <f>IF(B735="", IF(F735="", "", C734), IF(sample_log!E735="Triennial SASS", "tri_params", "params"))</f>
        <v/>
      </c>
      <c r="D735" s="5" t="str">
        <f>IF(B735="", "", C735 &amp; "!" &amp; CHAR(65+MATCH(B735, params!$B$2:$R$2, 0)))</f>
        <v/>
      </c>
      <c r="E735" s="5" t="str">
        <f ca="1">IF(B735="", "", COUNTA(INDIRECT(D735 &amp; 3):INDIRECT(D735 &amp; 24)))</f>
        <v/>
      </c>
      <c r="F735" s="5" t="str">
        <f t="shared" si="24"/>
        <v/>
      </c>
      <c r="G735" s="5" t="str">
        <f>IF(F735="", "", IF(B735&lt;&gt;"", MATCH(B735, params!$B$2:$R$2, 0), G734))</f>
        <v/>
      </c>
      <c r="H735" s="5" t="str">
        <f t="shared" ca="1" si="25"/>
        <v/>
      </c>
      <c r="M735" s="2"/>
    </row>
    <row r="736" spans="2:13" ht="15.6" x14ac:dyDescent="0.3">
      <c r="B736" s="5" t="str">
        <f>IF(COUNTIF(data_val!$E$3:$E$5, sample_log!$E736), sample_log!$C736 &amp; "_" &amp; sample_log!$D736, "")</f>
        <v/>
      </c>
      <c r="C736" s="5" t="str">
        <f>IF(B736="", IF(F736="", "", C735), IF(sample_log!E736="Triennial SASS", "tri_params", "params"))</f>
        <v/>
      </c>
      <c r="D736" s="5" t="str">
        <f>IF(B736="", "", C736 &amp; "!" &amp; CHAR(65+MATCH(B736, params!$B$2:$R$2, 0)))</f>
        <v/>
      </c>
      <c r="E736" s="5" t="str">
        <f ca="1">IF(B736="", "", COUNTA(INDIRECT(D736 &amp; 3):INDIRECT(D736 &amp; 24)))</f>
        <v/>
      </c>
      <c r="F736" s="5" t="str">
        <f t="shared" si="24"/>
        <v/>
      </c>
      <c r="G736" s="5" t="str">
        <f>IF(F736="", "", IF(B736&lt;&gt;"", MATCH(B736, params!$B$2:$R$2, 0), G735))</f>
        <v/>
      </c>
      <c r="H736" s="5" t="str">
        <f t="shared" ca="1" si="25"/>
        <v/>
      </c>
      <c r="M736" s="2"/>
    </row>
    <row r="737" spans="2:13" ht="15.6" x14ac:dyDescent="0.3">
      <c r="B737" s="5" t="str">
        <f>IF(COUNTIF(data_val!$E$3:$E$5, sample_log!$E737), sample_log!$C737 &amp; "_" &amp; sample_log!$D737, "")</f>
        <v/>
      </c>
      <c r="C737" s="5" t="str">
        <f>IF(B737="", IF(F737="", "", C736), IF(sample_log!E737="Triennial SASS", "tri_params", "params"))</f>
        <v/>
      </c>
      <c r="D737" s="5" t="str">
        <f>IF(B737="", "", C737 &amp; "!" &amp; CHAR(65+MATCH(B737, params!$B$2:$R$2, 0)))</f>
        <v/>
      </c>
      <c r="E737" s="5" t="str">
        <f ca="1">IF(B737="", "", COUNTA(INDIRECT(D737 &amp; 3):INDIRECT(D737 &amp; 24)))</f>
        <v/>
      </c>
      <c r="F737" s="5" t="str">
        <f t="shared" si="24"/>
        <v/>
      </c>
      <c r="G737" s="5" t="str">
        <f>IF(F737="", "", IF(B737&lt;&gt;"", MATCH(B737, params!$B$2:$R$2, 0), G736))</f>
        <v/>
      </c>
      <c r="H737" s="5" t="str">
        <f t="shared" ca="1" si="25"/>
        <v/>
      </c>
      <c r="M737" s="2"/>
    </row>
    <row r="738" spans="2:13" ht="15.6" x14ac:dyDescent="0.3">
      <c r="B738" s="5" t="str">
        <f>IF(COUNTIF(data_val!$E$3:$E$5, sample_log!$E738), sample_log!$C738 &amp; "_" &amp; sample_log!$D738, "")</f>
        <v/>
      </c>
      <c r="C738" s="5" t="str">
        <f>IF(B738="", IF(F738="", "", C737), IF(sample_log!E738="Triennial SASS", "tri_params", "params"))</f>
        <v/>
      </c>
      <c r="D738" s="5" t="str">
        <f>IF(B738="", "", C738 &amp; "!" &amp; CHAR(65+MATCH(B738, params!$B$2:$R$2, 0)))</f>
        <v/>
      </c>
      <c r="E738" s="5" t="str">
        <f ca="1">IF(B738="", "", COUNTA(INDIRECT(D738 &amp; 3):INDIRECT(D738 &amp; 24)))</f>
        <v/>
      </c>
      <c r="F738" s="5" t="str">
        <f t="shared" si="24"/>
        <v/>
      </c>
      <c r="G738" s="5" t="str">
        <f>IF(F738="", "", IF(B738&lt;&gt;"", MATCH(B738, params!$B$2:$R$2, 0), G737))</f>
        <v/>
      </c>
      <c r="H738" s="5" t="str">
        <f t="shared" ca="1" si="25"/>
        <v/>
      </c>
      <c r="M738" s="2"/>
    </row>
    <row r="739" spans="2:13" ht="15.6" x14ac:dyDescent="0.3">
      <c r="B739" s="5" t="str">
        <f>IF(COUNTIF(data_val!$E$3:$E$5, sample_log!$E739), sample_log!$C739 &amp; "_" &amp; sample_log!$D739, "")</f>
        <v/>
      </c>
      <c r="C739" s="5" t="str">
        <f>IF(B739="", IF(F739="", "", C738), IF(sample_log!E739="Triennial SASS", "tri_params", "params"))</f>
        <v/>
      </c>
      <c r="D739" s="5" t="str">
        <f>IF(B739="", "", C739 &amp; "!" &amp; CHAR(65+MATCH(B739, params!$B$2:$R$2, 0)))</f>
        <v/>
      </c>
      <c r="E739" s="5" t="str">
        <f ca="1">IF(B739="", "", COUNTA(INDIRECT(D739 &amp; 3):INDIRECT(D739 &amp; 24)))</f>
        <v/>
      </c>
      <c r="F739" s="5" t="str">
        <f t="shared" si="24"/>
        <v/>
      </c>
      <c r="G739" s="5" t="str">
        <f>IF(F739="", "", IF(B739&lt;&gt;"", MATCH(B739, params!$B$2:$R$2, 0), G738))</f>
        <v/>
      </c>
      <c r="H739" s="5" t="str">
        <f t="shared" ca="1" si="25"/>
        <v/>
      </c>
      <c r="M739" s="2"/>
    </row>
    <row r="740" spans="2:13" ht="15.6" x14ac:dyDescent="0.3">
      <c r="B740" s="5" t="str">
        <f>IF(COUNTIF(data_val!$E$3:$E$5, sample_log!$E740), sample_log!$C740 &amp; "_" &amp; sample_log!$D740, "")</f>
        <v/>
      </c>
      <c r="C740" s="5" t="str">
        <f>IF(B740="", IF(F740="", "", C739), IF(sample_log!E740="Triennial SASS", "tri_params", "params"))</f>
        <v/>
      </c>
      <c r="D740" s="5" t="str">
        <f>IF(B740="", "", C740 &amp; "!" &amp; CHAR(65+MATCH(B740, params!$B$2:$R$2, 0)))</f>
        <v/>
      </c>
      <c r="E740" s="5" t="str">
        <f ca="1">IF(B740="", "", COUNTA(INDIRECT(D740 &amp; 3):INDIRECT(D740 &amp; 24)))</f>
        <v/>
      </c>
      <c r="F740" s="5" t="str">
        <f t="shared" si="24"/>
        <v/>
      </c>
      <c r="G740" s="5" t="str">
        <f>IF(F740="", "", IF(B740&lt;&gt;"", MATCH(B740, params!$B$2:$R$2, 0), G739))</f>
        <v/>
      </c>
      <c r="H740" s="5" t="str">
        <f t="shared" ca="1" si="25"/>
        <v/>
      </c>
      <c r="M740" s="2"/>
    </row>
    <row r="741" spans="2:13" ht="15.6" x14ac:dyDescent="0.3">
      <c r="B741" s="5" t="str">
        <f>IF(COUNTIF(data_val!$E$3:$E$5, sample_log!$E741), sample_log!$C741 &amp; "_" &amp; sample_log!$D741, "")</f>
        <v/>
      </c>
      <c r="C741" s="5" t="str">
        <f>IF(B741="", IF(F741="", "", C740), IF(sample_log!E741="Triennial SASS", "tri_params", "params"))</f>
        <v/>
      </c>
      <c r="D741" s="5" t="str">
        <f>IF(B741="", "", C741 &amp; "!" &amp; CHAR(65+MATCH(B741, params!$B$2:$R$2, 0)))</f>
        <v/>
      </c>
      <c r="E741" s="5" t="str">
        <f ca="1">IF(B741="", "", COUNTA(INDIRECT(D741 &amp; 3):INDIRECT(D741 &amp; 24)))</f>
        <v/>
      </c>
      <c r="F741" s="5" t="str">
        <f t="shared" si="24"/>
        <v/>
      </c>
      <c r="G741" s="5" t="str">
        <f>IF(F741="", "", IF(B741&lt;&gt;"", MATCH(B741, params!$B$2:$R$2, 0), G740))</f>
        <v/>
      </c>
      <c r="H741" s="5" t="str">
        <f t="shared" ca="1" si="25"/>
        <v/>
      </c>
      <c r="M741" s="2"/>
    </row>
    <row r="742" spans="2:13" ht="15.6" x14ac:dyDescent="0.3">
      <c r="B742" s="5" t="str">
        <f>IF(COUNTIF(data_val!$E$3:$E$5, sample_log!$E742), sample_log!$C742 &amp; "_" &amp; sample_log!$D742, "")</f>
        <v/>
      </c>
      <c r="C742" s="5" t="str">
        <f>IF(B742="", IF(F742="", "", C741), IF(sample_log!E742="Triennial SASS", "tri_params", "params"))</f>
        <v/>
      </c>
      <c r="D742" s="5" t="str">
        <f>IF(B742="", "", C742 &amp; "!" &amp; CHAR(65+MATCH(B742, params!$B$2:$R$2, 0)))</f>
        <v/>
      </c>
      <c r="E742" s="5" t="str">
        <f ca="1">IF(B742="", "", COUNTA(INDIRECT(D742 &amp; 3):INDIRECT(D742 &amp; 24)))</f>
        <v/>
      </c>
      <c r="F742" s="5" t="str">
        <f t="shared" si="24"/>
        <v/>
      </c>
      <c r="G742" s="5" t="str">
        <f>IF(F742="", "", IF(B742&lt;&gt;"", MATCH(B742, params!$B$2:$R$2, 0), G741))</f>
        <v/>
      </c>
      <c r="H742" s="5" t="str">
        <f t="shared" ca="1" si="25"/>
        <v/>
      </c>
      <c r="M742" s="2"/>
    </row>
    <row r="743" spans="2:13" ht="15.6" x14ac:dyDescent="0.3">
      <c r="B743" s="5" t="str">
        <f>IF(COUNTIF(data_val!$E$3:$E$5, sample_log!$E743), sample_log!$C743 &amp; "_" &amp; sample_log!$D743, "")</f>
        <v/>
      </c>
      <c r="C743" s="5" t="str">
        <f>IF(B743="", IF(F743="", "", C742), IF(sample_log!E743="Triennial SASS", "tri_params", "params"))</f>
        <v/>
      </c>
      <c r="D743" s="5" t="str">
        <f>IF(B743="", "", C743 &amp; "!" &amp; CHAR(65+MATCH(B743, params!$B$2:$R$2, 0)))</f>
        <v/>
      </c>
      <c r="E743" s="5" t="str">
        <f ca="1">IF(B743="", "", COUNTA(INDIRECT(D743 &amp; 3):INDIRECT(D743 &amp; 24)))</f>
        <v/>
      </c>
      <c r="F743" s="5" t="str">
        <f t="shared" si="24"/>
        <v/>
      </c>
      <c r="G743" s="5" t="str">
        <f>IF(F743="", "", IF(B743&lt;&gt;"", MATCH(B743, params!$B$2:$R$2, 0), G742))</f>
        <v/>
      </c>
      <c r="H743" s="5" t="str">
        <f t="shared" ca="1" si="25"/>
        <v/>
      </c>
      <c r="M743" s="2"/>
    </row>
    <row r="744" spans="2:13" ht="15.6" x14ac:dyDescent="0.3">
      <c r="B744" s="5" t="str">
        <f>IF(COUNTIF(data_val!$E$3:$E$5, sample_log!$E744), sample_log!$C744 &amp; "_" &amp; sample_log!$D744, "")</f>
        <v/>
      </c>
      <c r="C744" s="5" t="str">
        <f>IF(B744="", IF(F744="", "", C743), IF(sample_log!E744="Triennial SASS", "tri_params", "params"))</f>
        <v/>
      </c>
      <c r="D744" s="5" t="str">
        <f>IF(B744="", "", C744 &amp; "!" &amp; CHAR(65+MATCH(B744, params!$B$2:$R$2, 0)))</f>
        <v/>
      </c>
      <c r="E744" s="5" t="str">
        <f ca="1">IF(B744="", "", COUNTA(INDIRECT(D744 &amp; 3):INDIRECT(D744 &amp; 24)))</f>
        <v/>
      </c>
      <c r="F744" s="5" t="str">
        <f t="shared" si="24"/>
        <v/>
      </c>
      <c r="G744" s="5" t="str">
        <f>IF(F744="", "", IF(B744&lt;&gt;"", MATCH(B744, params!$B$2:$R$2, 0), G743))</f>
        <v/>
      </c>
      <c r="H744" s="5" t="str">
        <f t="shared" ca="1" si="25"/>
        <v/>
      </c>
      <c r="M744" s="2"/>
    </row>
    <row r="745" spans="2:13" ht="15.6" x14ac:dyDescent="0.3">
      <c r="B745" s="5" t="str">
        <f>IF(COUNTIF(data_val!$E$3:$E$5, sample_log!$E745), sample_log!$C745 &amp; "_" &amp; sample_log!$D745, "")</f>
        <v/>
      </c>
      <c r="C745" s="5" t="str">
        <f>IF(B745="", IF(F745="", "", C744), IF(sample_log!E745="Triennial SASS", "tri_params", "params"))</f>
        <v/>
      </c>
      <c r="D745" s="5" t="str">
        <f>IF(B745="", "", C745 &amp; "!" &amp; CHAR(65+MATCH(B745, params!$B$2:$R$2, 0)))</f>
        <v/>
      </c>
      <c r="E745" s="5" t="str">
        <f ca="1">IF(B745="", "", COUNTA(INDIRECT(D745 &amp; 3):INDIRECT(D745 &amp; 24)))</f>
        <v/>
      </c>
      <c r="F745" s="5" t="str">
        <f t="shared" si="24"/>
        <v/>
      </c>
      <c r="G745" s="5" t="str">
        <f>IF(F745="", "", IF(B745&lt;&gt;"", MATCH(B745, params!$B$2:$R$2, 0), G744))</f>
        <v/>
      </c>
      <c r="H745" s="5" t="str">
        <f t="shared" ca="1" si="25"/>
        <v/>
      </c>
      <c r="M745" s="2"/>
    </row>
    <row r="746" spans="2:13" ht="15.6" x14ac:dyDescent="0.3">
      <c r="B746" s="5" t="str">
        <f>IF(COUNTIF(data_val!$E$3:$E$5, sample_log!$E746), sample_log!$C746 &amp; "_" &amp; sample_log!$D746, "")</f>
        <v/>
      </c>
      <c r="C746" s="5" t="str">
        <f>IF(B746="", IF(F746="", "", C745), IF(sample_log!E746="Triennial SASS", "tri_params", "params"))</f>
        <v/>
      </c>
      <c r="D746" s="5" t="str">
        <f>IF(B746="", "", C746 &amp; "!" &amp; CHAR(65+MATCH(B746, params!$B$2:$R$2, 0)))</f>
        <v/>
      </c>
      <c r="E746" s="5" t="str">
        <f ca="1">IF(B746="", "", COUNTA(INDIRECT(D746 &amp; 3):INDIRECT(D746 &amp; 24)))</f>
        <v/>
      </c>
      <c r="F746" s="5" t="str">
        <f t="shared" si="24"/>
        <v/>
      </c>
      <c r="G746" s="5" t="str">
        <f>IF(F746="", "", IF(B746&lt;&gt;"", MATCH(B746, params!$B$2:$R$2, 0), G745))</f>
        <v/>
      </c>
      <c r="H746" s="5" t="str">
        <f t="shared" ca="1" si="25"/>
        <v/>
      </c>
      <c r="M746" s="2"/>
    </row>
    <row r="747" spans="2:13" ht="15.6" x14ac:dyDescent="0.3">
      <c r="B747" s="5" t="str">
        <f>IF(COUNTIF(data_val!$E$3:$E$5, sample_log!$E747), sample_log!$C747 &amp; "_" &amp; sample_log!$D747, "")</f>
        <v/>
      </c>
      <c r="C747" s="5" t="str">
        <f>IF(B747="", IF(F747="", "", C746), IF(sample_log!E747="Triennial SASS", "tri_params", "params"))</f>
        <v/>
      </c>
      <c r="D747" s="5" t="str">
        <f>IF(B747="", "", C747 &amp; "!" &amp; CHAR(65+MATCH(B747, params!$B$2:$R$2, 0)))</f>
        <v/>
      </c>
      <c r="E747" s="5" t="str">
        <f ca="1">IF(B747="", "", COUNTA(INDIRECT(D747 &amp; 3):INDIRECT(D747 &amp; 24)))</f>
        <v/>
      </c>
      <c r="F747" s="5" t="str">
        <f t="shared" si="24"/>
        <v/>
      </c>
      <c r="G747" s="5" t="str">
        <f>IF(F747="", "", IF(B747&lt;&gt;"", MATCH(B747, params!$B$2:$R$2, 0), G746))</f>
        <v/>
      </c>
      <c r="H747" s="5" t="str">
        <f t="shared" ca="1" si="25"/>
        <v/>
      </c>
      <c r="M747" s="2"/>
    </row>
    <row r="748" spans="2:13" ht="15.6" x14ac:dyDescent="0.3">
      <c r="B748" s="5" t="str">
        <f>IF(COUNTIF(data_val!$E$3:$E$5, sample_log!$E748), sample_log!$C748 &amp; "_" &amp; sample_log!$D748, "")</f>
        <v/>
      </c>
      <c r="C748" s="5" t="str">
        <f>IF(B748="", IF(F748="", "", C747), IF(sample_log!E748="Triennial SASS", "tri_params", "params"))</f>
        <v/>
      </c>
      <c r="D748" s="5" t="str">
        <f>IF(B748="", "", C748 &amp; "!" &amp; CHAR(65+MATCH(B748, params!$B$2:$R$2, 0)))</f>
        <v/>
      </c>
      <c r="E748" s="5" t="str">
        <f ca="1">IF(B748="", "", COUNTA(INDIRECT(D748 &amp; 3):INDIRECT(D748 &amp; 24)))</f>
        <v/>
      </c>
      <c r="F748" s="5" t="str">
        <f t="shared" si="24"/>
        <v/>
      </c>
      <c r="G748" s="5" t="str">
        <f>IF(F748="", "", IF(B748&lt;&gt;"", MATCH(B748, params!$B$2:$R$2, 0), G747))</f>
        <v/>
      </c>
      <c r="H748" s="5" t="str">
        <f t="shared" ca="1" si="25"/>
        <v/>
      </c>
      <c r="M748" s="2"/>
    </row>
    <row r="749" spans="2:13" ht="15.6" x14ac:dyDescent="0.3">
      <c r="B749" s="5" t="str">
        <f>IF(COUNTIF(data_val!$E$3:$E$5, sample_log!$E749), sample_log!$C749 &amp; "_" &amp; sample_log!$D749, "")</f>
        <v/>
      </c>
      <c r="C749" s="5" t="str">
        <f>IF(B749="", IF(F749="", "", C748), IF(sample_log!E749="Triennial SASS", "tri_params", "params"))</f>
        <v/>
      </c>
      <c r="D749" s="5" t="str">
        <f>IF(B749="", "", C749 &amp; "!" &amp; CHAR(65+MATCH(B749, params!$B$2:$R$2, 0)))</f>
        <v/>
      </c>
      <c r="E749" s="5" t="str">
        <f ca="1">IF(B749="", "", COUNTA(INDIRECT(D749 &amp; 3):INDIRECT(D749 &amp; 24)))</f>
        <v/>
      </c>
      <c r="F749" s="5" t="str">
        <f t="shared" si="24"/>
        <v/>
      </c>
      <c r="G749" s="5" t="str">
        <f>IF(F749="", "", IF(B749&lt;&gt;"", MATCH(B749, params!$B$2:$R$2, 0), G748))</f>
        <v/>
      </c>
      <c r="H749" s="5" t="str">
        <f t="shared" ca="1" si="25"/>
        <v/>
      </c>
      <c r="M749" s="2"/>
    </row>
    <row r="750" spans="2:13" ht="15.6" x14ac:dyDescent="0.3">
      <c r="B750" s="5" t="str">
        <f>IF(COUNTIF(data_val!$E$3:$E$5, sample_log!$E750), sample_log!$C750 &amp; "_" &amp; sample_log!$D750, "")</f>
        <v/>
      </c>
      <c r="C750" s="5" t="str">
        <f>IF(B750="", IF(F750="", "", C749), IF(sample_log!E750="Triennial SASS", "tri_params", "params"))</f>
        <v/>
      </c>
      <c r="D750" s="5" t="str">
        <f>IF(B750="", "", C750 &amp; "!" &amp; CHAR(65+MATCH(B750, params!$B$2:$R$2, 0)))</f>
        <v/>
      </c>
      <c r="E750" s="5" t="str">
        <f ca="1">IF(B750="", "", COUNTA(INDIRECT(D750 &amp; 3):INDIRECT(D750 &amp; 24)))</f>
        <v/>
      </c>
      <c r="F750" s="5" t="str">
        <f t="shared" si="24"/>
        <v/>
      </c>
      <c r="G750" s="5" t="str">
        <f>IF(F750="", "", IF(B750&lt;&gt;"", MATCH(B750, params!$B$2:$R$2, 0), G749))</f>
        <v/>
      </c>
      <c r="H750" s="5" t="str">
        <f t="shared" ca="1" si="25"/>
        <v/>
      </c>
      <c r="M750" s="2"/>
    </row>
    <row r="751" spans="2:13" ht="15.6" x14ac:dyDescent="0.3">
      <c r="B751" s="5" t="str">
        <f>IF(COUNTIF(data_val!$E$3:$E$5, sample_log!$E751), sample_log!$C751 &amp; "_" &amp; sample_log!$D751, "")</f>
        <v/>
      </c>
      <c r="C751" s="5" t="str">
        <f>IF(B751="", IF(F751="", "", C750), IF(sample_log!E751="Triennial SASS", "tri_params", "params"))</f>
        <v/>
      </c>
      <c r="D751" s="5" t="str">
        <f>IF(B751="", "", C751 &amp; "!" &amp; CHAR(65+MATCH(B751, params!$B$2:$R$2, 0)))</f>
        <v/>
      </c>
      <c r="E751" s="5" t="str">
        <f ca="1">IF(B751="", "", COUNTA(INDIRECT(D751 &amp; 3):INDIRECT(D751 &amp; 24)))</f>
        <v/>
      </c>
      <c r="F751" s="5" t="str">
        <f t="shared" si="24"/>
        <v/>
      </c>
      <c r="G751" s="5" t="str">
        <f>IF(F751="", "", IF(B751&lt;&gt;"", MATCH(B751, params!$B$2:$R$2, 0), G750))</f>
        <v/>
      </c>
      <c r="H751" s="5" t="str">
        <f t="shared" ca="1" si="25"/>
        <v/>
      </c>
      <c r="M751" s="2"/>
    </row>
    <row r="752" spans="2:13" ht="15.6" x14ac:dyDescent="0.3">
      <c r="B752" s="5" t="str">
        <f>IF(COUNTIF(data_val!$E$3:$E$5, sample_log!$E752), sample_log!$C752 &amp; "_" &amp; sample_log!$D752, "")</f>
        <v/>
      </c>
      <c r="C752" s="5" t="str">
        <f>IF(B752="", IF(F752="", "", C751), IF(sample_log!E752="Triennial SASS", "tri_params", "params"))</f>
        <v/>
      </c>
      <c r="D752" s="5" t="str">
        <f>IF(B752="", "", C752 &amp; "!" &amp; CHAR(65+MATCH(B752, params!$B$2:$R$2, 0)))</f>
        <v/>
      </c>
      <c r="E752" s="5" t="str">
        <f ca="1">IF(B752="", "", COUNTA(INDIRECT(D752 &amp; 3):INDIRECT(D752 &amp; 24)))</f>
        <v/>
      </c>
      <c r="F752" s="5" t="str">
        <f t="shared" si="24"/>
        <v/>
      </c>
      <c r="G752" s="5" t="str">
        <f>IF(F752="", "", IF(B752&lt;&gt;"", MATCH(B752, params!$B$2:$R$2, 0), G751))</f>
        <v/>
      </c>
      <c r="H752" s="5" t="str">
        <f t="shared" ca="1" si="25"/>
        <v/>
      </c>
      <c r="M752" s="2"/>
    </row>
    <row r="753" spans="2:13" ht="15.6" x14ac:dyDescent="0.3">
      <c r="B753" s="5" t="str">
        <f>IF(COUNTIF(data_val!$E$3:$E$5, sample_log!$E753), sample_log!$C753 &amp; "_" &amp; sample_log!$D753, "")</f>
        <v/>
      </c>
      <c r="C753" s="5" t="str">
        <f>IF(B753="", IF(F753="", "", C752), IF(sample_log!E753="Triennial SASS", "tri_params", "params"))</f>
        <v/>
      </c>
      <c r="D753" s="5" t="str">
        <f>IF(B753="", "", C753 &amp; "!" &amp; CHAR(65+MATCH(B753, params!$B$2:$R$2, 0)))</f>
        <v/>
      </c>
      <c r="E753" s="5" t="str">
        <f ca="1">IF(B753="", "", COUNTA(INDIRECT(D753 &amp; 3):INDIRECT(D753 &amp; 24)))</f>
        <v/>
      </c>
      <c r="F753" s="5" t="str">
        <f t="shared" si="24"/>
        <v/>
      </c>
      <c r="G753" s="5" t="str">
        <f>IF(F753="", "", IF(B753&lt;&gt;"", MATCH(B753, params!$B$2:$R$2, 0), G752))</f>
        <v/>
      </c>
      <c r="H753" s="5" t="str">
        <f t="shared" ca="1" si="25"/>
        <v/>
      </c>
      <c r="M753" s="2"/>
    </row>
    <row r="754" spans="2:13" ht="15.6" x14ac:dyDescent="0.3">
      <c r="B754" s="5" t="str">
        <f>IF(COUNTIF(data_val!$E$3:$E$5, sample_log!$E754), sample_log!$C754 &amp; "_" &amp; sample_log!$D754, "")</f>
        <v/>
      </c>
      <c r="C754" s="5" t="str">
        <f>IF(B754="", IF(F754="", "", C753), IF(sample_log!E754="Triennial SASS", "tri_params", "params"))</f>
        <v/>
      </c>
      <c r="D754" s="5" t="str">
        <f>IF(B754="", "", C754 &amp; "!" &amp; CHAR(65+MATCH(B754, params!$B$2:$R$2, 0)))</f>
        <v/>
      </c>
      <c r="E754" s="5" t="str">
        <f ca="1">IF(B754="", "", COUNTA(INDIRECT(D754 &amp; 3):INDIRECT(D754 &amp; 24)))</f>
        <v/>
      </c>
      <c r="F754" s="5" t="str">
        <f t="shared" si="24"/>
        <v/>
      </c>
      <c r="G754" s="5" t="str">
        <f>IF(F754="", "", IF(B754&lt;&gt;"", MATCH(B754, params!$B$2:$R$2, 0), G753))</f>
        <v/>
      </c>
      <c r="H754" s="5" t="str">
        <f t="shared" ca="1" si="25"/>
        <v/>
      </c>
      <c r="M754" s="2"/>
    </row>
    <row r="755" spans="2:13" ht="15.6" x14ac:dyDescent="0.3">
      <c r="B755" s="5" t="str">
        <f>IF(COUNTIF(data_val!$E$3:$E$5, sample_log!$E755), sample_log!$C755 &amp; "_" &amp; sample_log!$D755, "")</f>
        <v/>
      </c>
      <c r="C755" s="5" t="str">
        <f>IF(B755="", IF(F755="", "", C754), IF(sample_log!E755="Triennial SASS", "tri_params", "params"))</f>
        <v/>
      </c>
      <c r="D755" s="5" t="str">
        <f>IF(B755="", "", C755 &amp; "!" &amp; CHAR(65+MATCH(B755, params!$B$2:$R$2, 0)))</f>
        <v/>
      </c>
      <c r="E755" s="5" t="str">
        <f ca="1">IF(B755="", "", COUNTA(INDIRECT(D755 &amp; 3):INDIRECT(D755 &amp; 24)))</f>
        <v/>
      </c>
      <c r="F755" s="5" t="str">
        <f t="shared" si="24"/>
        <v/>
      </c>
      <c r="G755" s="5" t="str">
        <f>IF(F755="", "", IF(B755&lt;&gt;"", MATCH(B755, params!$B$2:$R$2, 0), G754))</f>
        <v/>
      </c>
      <c r="H755" s="5" t="str">
        <f t="shared" ca="1" si="25"/>
        <v/>
      </c>
      <c r="M755" s="2"/>
    </row>
    <row r="756" spans="2:13" ht="15.6" x14ac:dyDescent="0.3">
      <c r="B756" s="5" t="str">
        <f>IF(COUNTIF(data_val!$E$3:$E$5, sample_log!$E756), sample_log!$C756 &amp; "_" &amp; sample_log!$D756, "")</f>
        <v/>
      </c>
      <c r="C756" s="5" t="str">
        <f>IF(B756="", IF(F756="", "", C755), IF(sample_log!E756="Triennial SASS", "tri_params", "params"))</f>
        <v/>
      </c>
      <c r="D756" s="5" t="str">
        <f>IF(B756="", "", C756 &amp; "!" &amp; CHAR(65+MATCH(B756, params!$B$2:$R$2, 0)))</f>
        <v/>
      </c>
      <c r="E756" s="5" t="str">
        <f ca="1">IF(B756="", "", COUNTA(INDIRECT(D756 &amp; 3):INDIRECT(D756 &amp; 24)))</f>
        <v/>
      </c>
      <c r="F756" s="5" t="str">
        <f t="shared" si="24"/>
        <v/>
      </c>
      <c r="G756" s="5" t="str">
        <f>IF(F756="", "", IF(B756&lt;&gt;"", MATCH(B756, params!$B$2:$R$2, 0), G755))</f>
        <v/>
      </c>
      <c r="H756" s="5" t="str">
        <f t="shared" ca="1" si="25"/>
        <v/>
      </c>
      <c r="M756" s="2"/>
    </row>
    <row r="757" spans="2:13" ht="15.6" x14ac:dyDescent="0.3">
      <c r="B757" s="5" t="str">
        <f>IF(COUNTIF(data_val!$E$3:$E$5, sample_log!$E757), sample_log!$C757 &amp; "_" &amp; sample_log!$D757, "")</f>
        <v/>
      </c>
      <c r="C757" s="5" t="str">
        <f>IF(B757="", IF(F757="", "", C756), IF(sample_log!E757="Triennial SASS", "tri_params", "params"))</f>
        <v/>
      </c>
      <c r="D757" s="5" t="str">
        <f>IF(B757="", "", C757 &amp; "!" &amp; CHAR(65+MATCH(B757, params!$B$2:$R$2, 0)))</f>
        <v/>
      </c>
      <c r="E757" s="5" t="str">
        <f ca="1">IF(B757="", "", COUNTA(INDIRECT(D757 &amp; 3):INDIRECT(D757 &amp; 24)))</f>
        <v/>
      </c>
      <c r="F757" s="5" t="str">
        <f t="shared" si="24"/>
        <v/>
      </c>
      <c r="G757" s="5" t="str">
        <f>IF(F757="", "", IF(B757&lt;&gt;"", MATCH(B757, params!$B$2:$R$2, 0), G756))</f>
        <v/>
      </c>
      <c r="H757" s="5" t="str">
        <f t="shared" ca="1" si="25"/>
        <v/>
      </c>
      <c r="M757" s="2"/>
    </row>
    <row r="758" spans="2:13" ht="15.6" x14ac:dyDescent="0.3">
      <c r="B758" s="5" t="str">
        <f>IF(COUNTIF(data_val!$E$3:$E$5, sample_log!$E758), sample_log!$C758 &amp; "_" &amp; sample_log!$D758, "")</f>
        <v/>
      </c>
      <c r="C758" s="5" t="str">
        <f>IF(B758="", IF(F758="", "", C757), IF(sample_log!E758="Triennial SASS", "tri_params", "params"))</f>
        <v/>
      </c>
      <c r="D758" s="5" t="str">
        <f>IF(B758="", "", C758 &amp; "!" &amp; CHAR(65+MATCH(B758, params!$B$2:$R$2, 0)))</f>
        <v/>
      </c>
      <c r="E758" s="5" t="str">
        <f ca="1">IF(B758="", "", COUNTA(INDIRECT(D758 &amp; 3):INDIRECT(D758 &amp; 24)))</f>
        <v/>
      </c>
      <c r="F758" s="5" t="str">
        <f t="shared" si="24"/>
        <v/>
      </c>
      <c r="G758" s="5" t="str">
        <f>IF(F758="", "", IF(B758&lt;&gt;"", MATCH(B758, params!$B$2:$R$2, 0), G757))</f>
        <v/>
      </c>
      <c r="H758" s="5" t="str">
        <f t="shared" ca="1" si="25"/>
        <v/>
      </c>
      <c r="M758" s="2"/>
    </row>
    <row r="759" spans="2:13" ht="15.6" x14ac:dyDescent="0.3">
      <c r="B759" s="5" t="str">
        <f>IF(COUNTIF(data_val!$E$3:$E$5, sample_log!$E759), sample_log!$C759 &amp; "_" &amp; sample_log!$D759, "")</f>
        <v/>
      </c>
      <c r="C759" s="5" t="str">
        <f>IF(B759="", IF(F759="", "", C758), IF(sample_log!E759="Triennial SASS", "tri_params", "params"))</f>
        <v/>
      </c>
      <c r="D759" s="5" t="str">
        <f>IF(B759="", "", C759 &amp; "!" &amp; CHAR(65+MATCH(B759, params!$B$2:$R$2, 0)))</f>
        <v/>
      </c>
      <c r="E759" s="5" t="str">
        <f ca="1">IF(B759="", "", COUNTA(INDIRECT(D759 &amp; 3):INDIRECT(D759 &amp; 24)))</f>
        <v/>
      </c>
      <c r="F759" s="5" t="str">
        <f t="shared" si="24"/>
        <v/>
      </c>
      <c r="G759" s="5" t="str">
        <f>IF(F759="", "", IF(B759&lt;&gt;"", MATCH(B759, params!$B$2:$R$2, 0), G758))</f>
        <v/>
      </c>
      <c r="H759" s="5" t="str">
        <f t="shared" ca="1" si="25"/>
        <v/>
      </c>
      <c r="M759" s="2"/>
    </row>
    <row r="760" spans="2:13" ht="15.6" x14ac:dyDescent="0.3">
      <c r="B760" s="5" t="str">
        <f>IF(COUNTIF(data_val!$E$3:$E$5, sample_log!$E760), sample_log!$C760 &amp; "_" &amp; sample_log!$D760, "")</f>
        <v/>
      </c>
      <c r="C760" s="5" t="str">
        <f>IF(B760="", IF(F760="", "", C759), IF(sample_log!E760="Triennial SASS", "tri_params", "params"))</f>
        <v/>
      </c>
      <c r="D760" s="5" t="str">
        <f>IF(B760="", "", C760 &amp; "!" &amp; CHAR(65+MATCH(B760, params!$B$2:$R$2, 0)))</f>
        <v/>
      </c>
      <c r="E760" s="5" t="str">
        <f ca="1">IF(B760="", "", COUNTA(INDIRECT(D760 &amp; 3):INDIRECT(D760 &amp; 24)))</f>
        <v/>
      </c>
      <c r="F760" s="5" t="str">
        <f t="shared" si="24"/>
        <v/>
      </c>
      <c r="G760" s="5" t="str">
        <f>IF(F760="", "", IF(B760&lt;&gt;"", MATCH(B760, params!$B$2:$R$2, 0), G759))</f>
        <v/>
      </c>
      <c r="H760" s="5" t="str">
        <f t="shared" ca="1" si="25"/>
        <v/>
      </c>
      <c r="M760" s="2"/>
    </row>
    <row r="761" spans="2:13" ht="15.6" x14ac:dyDescent="0.3">
      <c r="B761" s="5" t="str">
        <f>IF(COUNTIF(data_val!$E$3:$E$5, sample_log!$E761), sample_log!$C761 &amp; "_" &amp; sample_log!$D761, "")</f>
        <v/>
      </c>
      <c r="C761" s="5" t="str">
        <f>IF(B761="", IF(F761="", "", C760), IF(sample_log!E761="Triennial SASS", "tri_params", "params"))</f>
        <v/>
      </c>
      <c r="D761" s="5" t="str">
        <f>IF(B761="", "", C761 &amp; "!" &amp; CHAR(65+MATCH(B761, params!$B$2:$R$2, 0)))</f>
        <v/>
      </c>
      <c r="E761" s="5" t="str">
        <f ca="1">IF(B761="", "", COUNTA(INDIRECT(D761 &amp; 3):INDIRECT(D761 &amp; 24)))</f>
        <v/>
      </c>
      <c r="F761" s="5" t="str">
        <f t="shared" si="24"/>
        <v/>
      </c>
      <c r="G761" s="5" t="str">
        <f>IF(F761="", "", IF(B761&lt;&gt;"", MATCH(B761, params!$B$2:$R$2, 0), G760))</f>
        <v/>
      </c>
      <c r="H761" s="5" t="str">
        <f t="shared" ca="1" si="25"/>
        <v/>
      </c>
      <c r="M761" s="2"/>
    </row>
    <row r="762" spans="2:13" ht="15.6" x14ac:dyDescent="0.3">
      <c r="B762" s="5" t="str">
        <f>IF(COUNTIF(data_val!$E$3:$E$5, sample_log!$E762), sample_log!$C762 &amp; "_" &amp; sample_log!$D762, "")</f>
        <v/>
      </c>
      <c r="C762" s="5" t="str">
        <f>IF(B762="", IF(F762="", "", C761), IF(sample_log!E762="Triennial SASS", "tri_params", "params"))</f>
        <v/>
      </c>
      <c r="D762" s="5" t="str">
        <f>IF(B762="", "", C762 &amp; "!" &amp; CHAR(65+MATCH(B762, params!$B$2:$R$2, 0)))</f>
        <v/>
      </c>
      <c r="E762" s="5" t="str">
        <f ca="1">IF(B762="", "", COUNTA(INDIRECT(D762 &amp; 3):INDIRECT(D762 &amp; 24)))</f>
        <v/>
      </c>
      <c r="F762" s="5" t="str">
        <f t="shared" si="24"/>
        <v/>
      </c>
      <c r="G762" s="5" t="str">
        <f>IF(F762="", "", IF(B762&lt;&gt;"", MATCH(B762, params!$B$2:$R$2, 0), G761))</f>
        <v/>
      </c>
      <c r="H762" s="5" t="str">
        <f t="shared" ca="1" si="25"/>
        <v/>
      </c>
      <c r="M762" s="2"/>
    </row>
    <row r="763" spans="2:13" ht="15.6" x14ac:dyDescent="0.3">
      <c r="B763" s="5" t="str">
        <f>IF(COUNTIF(data_val!$E$3:$E$5, sample_log!$E763), sample_log!$C763 &amp; "_" &amp; sample_log!$D763, "")</f>
        <v/>
      </c>
      <c r="C763" s="5" t="str">
        <f>IF(B763="", IF(F763="", "", C762), IF(sample_log!E763="Triennial SASS", "tri_params", "params"))</f>
        <v/>
      </c>
      <c r="D763" s="5" t="str">
        <f>IF(B763="", "", C763 &amp; "!" &amp; CHAR(65+MATCH(B763, params!$B$2:$R$2, 0)))</f>
        <v/>
      </c>
      <c r="E763" s="5" t="str">
        <f ca="1">IF(B763="", "", COUNTA(INDIRECT(D763 &amp; 3):INDIRECT(D763 &amp; 24)))</f>
        <v/>
      </c>
      <c r="F763" s="5" t="str">
        <f t="shared" si="24"/>
        <v/>
      </c>
      <c r="G763" s="5" t="str">
        <f>IF(F763="", "", IF(B763&lt;&gt;"", MATCH(B763, params!$B$2:$R$2, 0), G762))</f>
        <v/>
      </c>
      <c r="H763" s="5" t="str">
        <f t="shared" ca="1" si="25"/>
        <v/>
      </c>
      <c r="M763" s="2"/>
    </row>
    <row r="764" spans="2:13" ht="15.6" x14ac:dyDescent="0.3">
      <c r="B764" s="5" t="str">
        <f>IF(COUNTIF(data_val!$E$3:$E$5, sample_log!$E764), sample_log!$C764 &amp; "_" &amp; sample_log!$D764, "")</f>
        <v/>
      </c>
      <c r="C764" s="5" t="str">
        <f>IF(B764="", IF(F764="", "", C763), IF(sample_log!E764="Triennial SASS", "tri_params", "params"))</f>
        <v/>
      </c>
      <c r="D764" s="5" t="str">
        <f>IF(B764="", "", C764 &amp; "!" &amp; CHAR(65+MATCH(B764, params!$B$2:$R$2, 0)))</f>
        <v/>
      </c>
      <c r="E764" s="5" t="str">
        <f ca="1">IF(B764="", "", COUNTA(INDIRECT(D764 &amp; 3):INDIRECT(D764 &amp; 24)))</f>
        <v/>
      </c>
      <c r="F764" s="5" t="str">
        <f t="shared" si="24"/>
        <v/>
      </c>
      <c r="G764" s="5" t="str">
        <f>IF(F764="", "", IF(B764&lt;&gt;"", MATCH(B764, params!$B$2:$R$2, 0), G763))</f>
        <v/>
      </c>
      <c r="H764" s="5" t="str">
        <f t="shared" ca="1" si="25"/>
        <v/>
      </c>
      <c r="M764" s="2"/>
    </row>
    <row r="765" spans="2:13" ht="15.6" x14ac:dyDescent="0.3">
      <c r="B765" s="5" t="str">
        <f>IF(COUNTIF(data_val!$E$3:$E$5, sample_log!$E765), sample_log!$C765 &amp; "_" &amp; sample_log!$D765, "")</f>
        <v/>
      </c>
      <c r="C765" s="5" t="str">
        <f>IF(B765="", IF(F765="", "", C764), IF(sample_log!E765="Triennial SASS", "tri_params", "params"))</f>
        <v/>
      </c>
      <c r="D765" s="5" t="str">
        <f>IF(B765="", "", C765 &amp; "!" &amp; CHAR(65+MATCH(B765, params!$B$2:$R$2, 0)))</f>
        <v/>
      </c>
      <c r="E765" s="5" t="str">
        <f ca="1">IF(B765="", "", COUNTA(INDIRECT(D765 &amp; 3):INDIRECT(D765 &amp; 24)))</f>
        <v/>
      </c>
      <c r="F765" s="5" t="str">
        <f t="shared" si="24"/>
        <v/>
      </c>
      <c r="G765" s="5" t="str">
        <f>IF(F765="", "", IF(B765&lt;&gt;"", MATCH(B765, params!$B$2:$R$2, 0), G764))</f>
        <v/>
      </c>
      <c r="H765" s="5" t="str">
        <f t="shared" ca="1" si="25"/>
        <v/>
      </c>
      <c r="M765" s="2"/>
    </row>
    <row r="766" spans="2:13" ht="15.6" x14ac:dyDescent="0.3">
      <c r="B766" s="5" t="str">
        <f>IF(COUNTIF(data_val!$E$3:$E$5, sample_log!$E766), sample_log!$C766 &amp; "_" &amp; sample_log!$D766, "")</f>
        <v/>
      </c>
      <c r="C766" s="5" t="str">
        <f>IF(B766="", IF(F766="", "", C765), IF(sample_log!E766="Triennial SASS", "tri_params", "params"))</f>
        <v/>
      </c>
      <c r="D766" s="5" t="str">
        <f>IF(B766="", "", C766 &amp; "!" &amp; CHAR(65+MATCH(B766, params!$B$2:$R$2, 0)))</f>
        <v/>
      </c>
      <c r="E766" s="5" t="str">
        <f ca="1">IF(B766="", "", COUNTA(INDIRECT(D766 &amp; 3):INDIRECT(D766 &amp; 24)))</f>
        <v/>
      </c>
      <c r="F766" s="5" t="str">
        <f t="shared" si="24"/>
        <v/>
      </c>
      <c r="G766" s="5" t="str">
        <f>IF(F766="", "", IF(B766&lt;&gt;"", MATCH(B766, params!$B$2:$R$2, 0), G765))</f>
        <v/>
      </c>
      <c r="H766" s="5" t="str">
        <f t="shared" ca="1" si="25"/>
        <v/>
      </c>
      <c r="M766" s="2"/>
    </row>
    <row r="767" spans="2:13" ht="15.6" x14ac:dyDescent="0.3">
      <c r="B767" s="5" t="str">
        <f>IF(COUNTIF(data_val!$E$3:$E$5, sample_log!$E767), sample_log!$C767 &amp; "_" &amp; sample_log!$D767, "")</f>
        <v/>
      </c>
      <c r="C767" s="5" t="str">
        <f>IF(B767="", IF(F767="", "", C766), IF(sample_log!E767="Triennial SASS", "tri_params", "params"))</f>
        <v/>
      </c>
      <c r="D767" s="5" t="str">
        <f>IF(B767="", "", C767 &amp; "!" &amp; CHAR(65+MATCH(B767, params!$B$2:$R$2, 0)))</f>
        <v/>
      </c>
      <c r="E767" s="5" t="str">
        <f ca="1">IF(B767="", "", COUNTA(INDIRECT(D767 &amp; 3):INDIRECT(D767 &amp; 24)))</f>
        <v/>
      </c>
      <c r="F767" s="5" t="str">
        <f t="shared" si="24"/>
        <v/>
      </c>
      <c r="G767" s="5" t="str">
        <f>IF(F767="", "", IF(B767&lt;&gt;"", MATCH(B767, params!$B$2:$R$2, 0), G766))</f>
        <v/>
      </c>
      <c r="H767" s="5" t="str">
        <f t="shared" ca="1" si="25"/>
        <v/>
      </c>
      <c r="M767" s="2"/>
    </row>
    <row r="768" spans="2:13" ht="15.6" x14ac:dyDescent="0.3">
      <c r="B768" s="5" t="str">
        <f>IF(COUNTIF(data_val!$E$3:$E$5, sample_log!$E768), sample_log!$C768 &amp; "_" &amp; sample_log!$D768, "")</f>
        <v/>
      </c>
      <c r="C768" s="5" t="str">
        <f>IF(B768="", IF(F768="", "", C767), IF(sample_log!E768="Triennial SASS", "tri_params", "params"))</f>
        <v/>
      </c>
      <c r="D768" s="5" t="str">
        <f>IF(B768="", "", C768 &amp; "!" &amp; CHAR(65+MATCH(B768, params!$B$2:$R$2, 0)))</f>
        <v/>
      </c>
      <c r="E768" s="5" t="str">
        <f ca="1">IF(B768="", "", COUNTA(INDIRECT(D768 &amp; 3):INDIRECT(D768 &amp; 24)))</f>
        <v/>
      </c>
      <c r="F768" s="5" t="str">
        <f t="shared" si="24"/>
        <v/>
      </c>
      <c r="G768" s="5" t="str">
        <f>IF(F768="", "", IF(B768&lt;&gt;"", MATCH(B768, params!$B$2:$R$2, 0), G767))</f>
        <v/>
      </c>
      <c r="H768" s="5" t="str">
        <f t="shared" ca="1" si="25"/>
        <v/>
      </c>
      <c r="M768" s="2"/>
    </row>
    <row r="769" spans="2:13" ht="15.6" x14ac:dyDescent="0.3">
      <c r="B769" s="5" t="str">
        <f>IF(COUNTIF(data_val!$E$3:$E$5, sample_log!$E769), sample_log!$C769 &amp; "_" &amp; sample_log!$D769, "")</f>
        <v/>
      </c>
      <c r="C769" s="5" t="str">
        <f>IF(B769="", IF(F769="", "", C768), IF(sample_log!E769="Triennial SASS", "tri_params", "params"))</f>
        <v/>
      </c>
      <c r="D769" s="5" t="str">
        <f>IF(B769="", "", C769 &amp; "!" &amp; CHAR(65+MATCH(B769, params!$B$2:$R$2, 0)))</f>
        <v/>
      </c>
      <c r="E769" s="5" t="str">
        <f ca="1">IF(B769="", "", COUNTA(INDIRECT(D769 &amp; 3):INDIRECT(D769 &amp; 24)))</f>
        <v/>
      </c>
      <c r="F769" s="5" t="str">
        <f t="shared" si="24"/>
        <v/>
      </c>
      <c r="G769" s="5" t="str">
        <f>IF(F769="", "", IF(B769&lt;&gt;"", MATCH(B769, params!$B$2:$R$2, 0), G768))</f>
        <v/>
      </c>
      <c r="H769" s="5" t="str">
        <f t="shared" ca="1" si="25"/>
        <v/>
      </c>
      <c r="M769" s="2"/>
    </row>
    <row r="770" spans="2:13" ht="15.6" x14ac:dyDescent="0.3">
      <c r="B770" s="5" t="str">
        <f>IF(COUNTIF(data_val!$E$3:$E$5, sample_log!$E770), sample_log!$C770 &amp; "_" &amp; sample_log!$D770, "")</f>
        <v/>
      </c>
      <c r="C770" s="5" t="str">
        <f>IF(B770="", IF(F770="", "", C769), IF(sample_log!E770="Triennial SASS", "tri_params", "params"))</f>
        <v/>
      </c>
      <c r="D770" s="5" t="str">
        <f>IF(B770="", "", C770 &amp; "!" &amp; CHAR(65+MATCH(B770, params!$B$2:$R$2, 0)))</f>
        <v/>
      </c>
      <c r="E770" s="5" t="str">
        <f ca="1">IF(B770="", "", COUNTA(INDIRECT(D770 &amp; 3):INDIRECT(D770 &amp; 24)))</f>
        <v/>
      </c>
      <c r="F770" s="5" t="str">
        <f t="shared" si="24"/>
        <v/>
      </c>
      <c r="G770" s="5" t="str">
        <f>IF(F770="", "", IF(B770&lt;&gt;"", MATCH(B770, params!$B$2:$R$2, 0), G769))</f>
        <v/>
      </c>
      <c r="H770" s="5" t="str">
        <f t="shared" ca="1" si="25"/>
        <v/>
      </c>
      <c r="M770" s="2"/>
    </row>
    <row r="771" spans="2:13" ht="15.6" x14ac:dyDescent="0.3">
      <c r="B771" s="5" t="str">
        <f>IF(COUNTIF(data_val!$E$3:$E$5, sample_log!$E771), sample_log!$C771 &amp; "_" &amp; sample_log!$D771, "")</f>
        <v/>
      </c>
      <c r="C771" s="5" t="str">
        <f>IF(B771="", IF(F771="", "", C770), IF(sample_log!E771="Triennial SASS", "tri_params", "params"))</f>
        <v/>
      </c>
      <c r="D771" s="5" t="str">
        <f>IF(B771="", "", C771 &amp; "!" &amp; CHAR(65+MATCH(B771, params!$B$2:$R$2, 0)))</f>
        <v/>
      </c>
      <c r="E771" s="5" t="str">
        <f ca="1">IF(B771="", "", COUNTA(INDIRECT(D771 &amp; 3):INDIRECT(D771 &amp; 24)))</f>
        <v/>
      </c>
      <c r="F771" s="5" t="str">
        <f t="shared" ref="F771:F834" si="26">IF(B771="", IF(NOT(ISNUMBER(F770)), "", IF(F770-1&gt;0, F770-1, "")), E771)</f>
        <v/>
      </c>
      <c r="G771" s="5" t="str">
        <f>IF(F771="", "", IF(B771&lt;&gt;"", MATCH(B771, params!$B$2:$R$2, 0), G770))</f>
        <v/>
      </c>
      <c r="H771" s="5" t="str">
        <f t="shared" ca="1" si="25"/>
        <v/>
      </c>
      <c r="M771" s="2"/>
    </row>
    <row r="772" spans="2:13" ht="15.6" x14ac:dyDescent="0.3">
      <c r="B772" s="5" t="str">
        <f>IF(COUNTIF(data_val!$E$3:$E$5, sample_log!$E772), sample_log!$C772 &amp; "_" &amp; sample_log!$D772, "")</f>
        <v/>
      </c>
      <c r="C772" s="5" t="str">
        <f>IF(B772="", IF(F772="", "", C771), IF(sample_log!E772="Triennial SASS", "tri_params", "params"))</f>
        <v/>
      </c>
      <c r="D772" s="5" t="str">
        <f>IF(B772="", "", C772 &amp; "!" &amp; CHAR(65+MATCH(B772, params!$B$2:$R$2, 0)))</f>
        <v/>
      </c>
      <c r="E772" s="5" t="str">
        <f ca="1">IF(B772="", "", COUNTA(INDIRECT(D772 &amp; 3):INDIRECT(D772 &amp; 24)))</f>
        <v/>
      </c>
      <c r="F772" s="5" t="str">
        <f t="shared" si="26"/>
        <v/>
      </c>
      <c r="G772" s="5" t="str">
        <f>IF(F772="", "", IF(B772&lt;&gt;"", MATCH(B772, params!$B$2:$R$2, 0), G771))</f>
        <v/>
      </c>
      <c r="H772" s="5" t="str">
        <f t="shared" ca="1" si="25"/>
        <v/>
      </c>
      <c r="M772" s="2"/>
    </row>
    <row r="773" spans="2:13" ht="15.6" x14ac:dyDescent="0.3">
      <c r="B773" s="5" t="str">
        <f>IF(COUNTIF(data_val!$E$3:$E$5, sample_log!$E773), sample_log!$C773 &amp; "_" &amp; sample_log!$D773, "")</f>
        <v/>
      </c>
      <c r="C773" s="5" t="str">
        <f>IF(B773="", IF(F773="", "", C772), IF(sample_log!E773="Triennial SASS", "tri_params", "params"))</f>
        <v/>
      </c>
      <c r="D773" s="5" t="str">
        <f>IF(B773="", "", C773 &amp; "!" &amp; CHAR(65+MATCH(B773, params!$B$2:$R$2, 0)))</f>
        <v/>
      </c>
      <c r="E773" s="5" t="str">
        <f ca="1">IF(B773="", "", COUNTA(INDIRECT(D773 &amp; 3):INDIRECT(D773 &amp; 24)))</f>
        <v/>
      </c>
      <c r="F773" s="5" t="str">
        <f t="shared" si="26"/>
        <v/>
      </c>
      <c r="G773" s="5" t="str">
        <f>IF(F773="", "", IF(B773&lt;&gt;"", MATCH(B773, params!$B$2:$R$2, 0), G772))</f>
        <v/>
      </c>
      <c r="H773" s="5" t="str">
        <f t="shared" ca="1" si="25"/>
        <v/>
      </c>
      <c r="M773" s="2"/>
    </row>
    <row r="774" spans="2:13" ht="15.6" x14ac:dyDescent="0.3">
      <c r="B774" s="5" t="str">
        <f>IF(COUNTIF(data_val!$E$3:$E$5, sample_log!$E774), sample_log!$C774 &amp; "_" &amp; sample_log!$D774, "")</f>
        <v/>
      </c>
      <c r="C774" s="5" t="str">
        <f>IF(B774="", IF(F774="", "", C773), IF(sample_log!E774="Triennial SASS", "tri_params", "params"))</f>
        <v/>
      </c>
      <c r="D774" s="5" t="str">
        <f>IF(B774="", "", C774 &amp; "!" &amp; CHAR(65+MATCH(B774, params!$B$2:$R$2, 0)))</f>
        <v/>
      </c>
      <c r="E774" s="5" t="str">
        <f ca="1">IF(B774="", "", COUNTA(INDIRECT(D774 &amp; 3):INDIRECT(D774 &amp; 24)))</f>
        <v/>
      </c>
      <c r="F774" s="5" t="str">
        <f t="shared" si="26"/>
        <v/>
      </c>
      <c r="G774" s="5" t="str">
        <f>IF(F774="", "", IF(B774&lt;&gt;"", MATCH(B774, params!$B$2:$R$2, 0), G773))</f>
        <v/>
      </c>
      <c r="H774" s="5" t="str">
        <f t="shared" ca="1" si="25"/>
        <v/>
      </c>
      <c r="M774" s="2"/>
    </row>
    <row r="775" spans="2:13" ht="15.6" x14ac:dyDescent="0.3">
      <c r="B775" s="5" t="str">
        <f>IF(COUNTIF(data_val!$E$3:$E$5, sample_log!$E775), sample_log!$C775 &amp; "_" &amp; sample_log!$D775, "")</f>
        <v/>
      </c>
      <c r="C775" s="5" t="str">
        <f>IF(B775="", IF(F775="", "", C774), IF(sample_log!E775="Triennial SASS", "tri_params", "params"))</f>
        <v/>
      </c>
      <c r="D775" s="5" t="str">
        <f>IF(B775="", "", C775 &amp; "!" &amp; CHAR(65+MATCH(B775, params!$B$2:$R$2, 0)))</f>
        <v/>
      </c>
      <c r="E775" s="5" t="str">
        <f ca="1">IF(B775="", "", COUNTA(INDIRECT(D775 &amp; 3):INDIRECT(D775 &amp; 24)))</f>
        <v/>
      </c>
      <c r="F775" s="5" t="str">
        <f t="shared" si="26"/>
        <v/>
      </c>
      <c r="G775" s="5" t="str">
        <f>IF(F775="", "", IF(B775&lt;&gt;"", MATCH(B775, params!$B$2:$R$2, 0), G774))</f>
        <v/>
      </c>
      <c r="H775" s="5" t="str">
        <f t="shared" ca="1" si="25"/>
        <v/>
      </c>
      <c r="M775" s="2"/>
    </row>
    <row r="776" spans="2:13" ht="15.6" x14ac:dyDescent="0.3">
      <c r="B776" s="5" t="str">
        <f>IF(COUNTIF(data_val!$E$3:$E$5, sample_log!$E776), sample_log!$C776 &amp; "_" &amp; sample_log!$D776, "")</f>
        <v/>
      </c>
      <c r="C776" s="5" t="str">
        <f>IF(B776="", IF(F776="", "", C775), IF(sample_log!E776="Triennial SASS", "tri_params", "params"))</f>
        <v/>
      </c>
      <c r="D776" s="5" t="str">
        <f>IF(B776="", "", C776 &amp; "!" &amp; CHAR(65+MATCH(B776, params!$B$2:$R$2, 0)))</f>
        <v/>
      </c>
      <c r="E776" s="5" t="str">
        <f ca="1">IF(B776="", "", COUNTA(INDIRECT(D776 &amp; 3):INDIRECT(D776 &amp; 24)))</f>
        <v/>
      </c>
      <c r="F776" s="5" t="str">
        <f t="shared" si="26"/>
        <v/>
      </c>
      <c r="G776" s="5" t="str">
        <f>IF(F776="", "", IF(B776&lt;&gt;"", MATCH(B776, params!$B$2:$R$2, 0), G775))</f>
        <v/>
      </c>
      <c r="H776" s="5" t="str">
        <f t="shared" ca="1" si="25"/>
        <v/>
      </c>
      <c r="M776" s="2"/>
    </row>
    <row r="777" spans="2:13" ht="15.6" x14ac:dyDescent="0.3">
      <c r="B777" s="5" t="str">
        <f>IF(COUNTIF(data_val!$E$3:$E$5, sample_log!$E777), sample_log!$C777 &amp; "_" &amp; sample_log!$D777, "")</f>
        <v/>
      </c>
      <c r="C777" s="5" t="str">
        <f>IF(B777="", IF(F777="", "", C776), IF(sample_log!E777="Triennial SASS", "tri_params", "params"))</f>
        <v/>
      </c>
      <c r="D777" s="5" t="str">
        <f>IF(B777="", "", C777 &amp; "!" &amp; CHAR(65+MATCH(B777, params!$B$2:$R$2, 0)))</f>
        <v/>
      </c>
      <c r="E777" s="5" t="str">
        <f ca="1">IF(B777="", "", COUNTA(INDIRECT(D777 &amp; 3):INDIRECT(D777 &amp; 24)))</f>
        <v/>
      </c>
      <c r="F777" s="5" t="str">
        <f t="shared" si="26"/>
        <v/>
      </c>
      <c r="G777" s="5" t="str">
        <f>IF(F777="", "", IF(B777&lt;&gt;"", MATCH(B777, params!$B$2:$R$2, 0), G776))</f>
        <v/>
      </c>
      <c r="H777" s="5" t="str">
        <f t="shared" ca="1" si="25"/>
        <v/>
      </c>
      <c r="M777" s="2"/>
    </row>
    <row r="778" spans="2:13" ht="15.6" x14ac:dyDescent="0.3">
      <c r="B778" s="5" t="str">
        <f>IF(COUNTIF(data_val!$E$3:$E$5, sample_log!$E778), sample_log!$C778 &amp; "_" &amp; sample_log!$D778, "")</f>
        <v/>
      </c>
      <c r="C778" s="5" t="str">
        <f>IF(B778="", IF(F778="", "", C777), IF(sample_log!E778="Triennial SASS", "tri_params", "params"))</f>
        <v/>
      </c>
      <c r="D778" s="5" t="str">
        <f>IF(B778="", "", C778 &amp; "!" &amp; CHAR(65+MATCH(B778, params!$B$2:$R$2, 0)))</f>
        <v/>
      </c>
      <c r="E778" s="5" t="str">
        <f ca="1">IF(B778="", "", COUNTA(INDIRECT(D778 &amp; 3):INDIRECT(D778 &amp; 24)))</f>
        <v/>
      </c>
      <c r="F778" s="5" t="str">
        <f t="shared" si="26"/>
        <v/>
      </c>
      <c r="G778" s="5" t="str">
        <f>IF(F778="", "", IF(B778&lt;&gt;"", MATCH(B778, params!$B$2:$R$2, 0), G777))</f>
        <v/>
      </c>
      <c r="H778" s="5" t="str">
        <f t="shared" ca="1" si="25"/>
        <v/>
      </c>
      <c r="M778" s="2"/>
    </row>
    <row r="779" spans="2:13" ht="15.6" x14ac:dyDescent="0.3">
      <c r="B779" s="5" t="str">
        <f>IF(COUNTIF(data_val!$E$3:$E$5, sample_log!$E779), sample_log!$C779 &amp; "_" &amp; sample_log!$D779, "")</f>
        <v/>
      </c>
      <c r="C779" s="5" t="str">
        <f>IF(B779="", IF(F779="", "", C778), IF(sample_log!E779="Triennial SASS", "tri_params", "params"))</f>
        <v/>
      </c>
      <c r="D779" s="5" t="str">
        <f>IF(B779="", "", C779 &amp; "!" &amp; CHAR(65+MATCH(B779, params!$B$2:$R$2, 0)))</f>
        <v/>
      </c>
      <c r="E779" s="5" t="str">
        <f ca="1">IF(B779="", "", COUNTA(INDIRECT(D779 &amp; 3):INDIRECT(D779 &amp; 24)))</f>
        <v/>
      </c>
      <c r="F779" s="5" t="str">
        <f t="shared" si="26"/>
        <v/>
      </c>
      <c r="G779" s="5" t="str">
        <f>IF(F779="", "", IF(B779&lt;&gt;"", MATCH(B779, params!$B$2:$R$2, 0), G778))</f>
        <v/>
      </c>
      <c r="H779" s="5" t="str">
        <f t="shared" ca="1" si="25"/>
        <v/>
      </c>
      <c r="M779" s="2"/>
    </row>
    <row r="780" spans="2:13" ht="15.6" x14ac:dyDescent="0.3">
      <c r="B780" s="5" t="str">
        <f>IF(COUNTIF(data_val!$E$3:$E$5, sample_log!$E780), sample_log!$C780 &amp; "_" &amp; sample_log!$D780, "")</f>
        <v/>
      </c>
      <c r="C780" s="5" t="str">
        <f>IF(B780="", IF(F780="", "", C779), IF(sample_log!E780="Triennial SASS", "tri_params", "params"))</f>
        <v/>
      </c>
      <c r="D780" s="5" t="str">
        <f>IF(B780="", "", C780 &amp; "!" &amp; CHAR(65+MATCH(B780, params!$B$2:$R$2, 0)))</f>
        <v/>
      </c>
      <c r="E780" s="5" t="str">
        <f ca="1">IF(B780="", "", COUNTA(INDIRECT(D780 &amp; 3):INDIRECT(D780 &amp; 24)))</f>
        <v/>
      </c>
      <c r="F780" s="5" t="str">
        <f t="shared" si="26"/>
        <v/>
      </c>
      <c r="G780" s="5" t="str">
        <f>IF(F780="", "", IF(B780&lt;&gt;"", MATCH(B780, params!$B$2:$R$2, 0), G779))</f>
        <v/>
      </c>
      <c r="H780" s="5" t="str">
        <f t="shared" ca="1" si="25"/>
        <v/>
      </c>
      <c r="M780" s="2"/>
    </row>
    <row r="781" spans="2:13" ht="15.6" x14ac:dyDescent="0.3">
      <c r="B781" s="5" t="str">
        <f>IF(COUNTIF(data_val!$E$3:$E$5, sample_log!$E781), sample_log!$C781 &amp; "_" &amp; sample_log!$D781, "")</f>
        <v/>
      </c>
      <c r="C781" s="5" t="str">
        <f>IF(B781="", IF(F781="", "", C780), IF(sample_log!E781="Triennial SASS", "tri_params", "params"))</f>
        <v/>
      </c>
      <c r="D781" s="5" t="str">
        <f>IF(B781="", "", C781 &amp; "!" &amp; CHAR(65+MATCH(B781, params!$B$2:$R$2, 0)))</f>
        <v/>
      </c>
      <c r="E781" s="5" t="str">
        <f ca="1">IF(B781="", "", COUNTA(INDIRECT(D781 &amp; 3):INDIRECT(D781 &amp; 24)))</f>
        <v/>
      </c>
      <c r="F781" s="5" t="str">
        <f t="shared" si="26"/>
        <v/>
      </c>
      <c r="G781" s="5" t="str">
        <f>IF(F781="", "", IF(B781&lt;&gt;"", MATCH(B781, params!$B$2:$R$2, 0), G780))</f>
        <v/>
      </c>
      <c r="H781" s="5" t="str">
        <f t="shared" ca="1" si="25"/>
        <v/>
      </c>
      <c r="M781" s="2"/>
    </row>
    <row r="782" spans="2:13" ht="15.6" x14ac:dyDescent="0.3">
      <c r="B782" s="5" t="str">
        <f>IF(COUNTIF(data_val!$E$3:$E$5, sample_log!$E782), sample_log!$C782 &amp; "_" &amp; sample_log!$D782, "")</f>
        <v/>
      </c>
      <c r="C782" s="5" t="str">
        <f>IF(B782="", IF(F782="", "", C781), IF(sample_log!E782="Triennial SASS", "tri_params", "params"))</f>
        <v/>
      </c>
      <c r="D782" s="5" t="str">
        <f>IF(B782="", "", C782 &amp; "!" &amp; CHAR(65+MATCH(B782, params!$B$2:$R$2, 0)))</f>
        <v/>
      </c>
      <c r="E782" s="5" t="str">
        <f ca="1">IF(B782="", "", COUNTA(INDIRECT(D782 &amp; 3):INDIRECT(D782 &amp; 24)))</f>
        <v/>
      </c>
      <c r="F782" s="5" t="str">
        <f t="shared" si="26"/>
        <v/>
      </c>
      <c r="G782" s="5" t="str">
        <f>IF(F782="", "", IF(B782&lt;&gt;"", MATCH(B782, params!$B$2:$R$2, 0), G781))</f>
        <v/>
      </c>
      <c r="H782" s="5" t="str">
        <f t="shared" ca="1" si="25"/>
        <v/>
      </c>
      <c r="M782" s="2"/>
    </row>
    <row r="783" spans="2:13" ht="15.6" x14ac:dyDescent="0.3">
      <c r="B783" s="5" t="str">
        <f>IF(COUNTIF(data_val!$E$3:$E$5, sample_log!$E783), sample_log!$C783 &amp; "_" &amp; sample_log!$D783, "")</f>
        <v/>
      </c>
      <c r="C783" s="5" t="str">
        <f>IF(B783="", IF(F783="", "", C782), IF(sample_log!E783="Triennial SASS", "tri_params", "params"))</f>
        <v/>
      </c>
      <c r="D783" s="5" t="str">
        <f>IF(B783="", "", C783 &amp; "!" &amp; CHAR(65+MATCH(B783, params!$B$2:$R$2, 0)))</f>
        <v/>
      </c>
      <c r="E783" s="5" t="str">
        <f ca="1">IF(B783="", "", COUNTA(INDIRECT(D783 &amp; 3):INDIRECT(D783 &amp; 24)))</f>
        <v/>
      </c>
      <c r="F783" s="5" t="str">
        <f t="shared" si="26"/>
        <v/>
      </c>
      <c r="G783" s="5" t="str">
        <f>IF(F783="", "", IF(B783&lt;&gt;"", MATCH(B783, params!$B$2:$R$2, 0), G782))</f>
        <v/>
      </c>
      <c r="H783" s="5" t="str">
        <f t="shared" ca="1" si="25"/>
        <v/>
      </c>
      <c r="M783" s="2"/>
    </row>
    <row r="784" spans="2:13" ht="15.6" x14ac:dyDescent="0.3">
      <c r="B784" s="5" t="str">
        <f>IF(COUNTIF(data_val!$E$3:$E$5, sample_log!$E784), sample_log!$C784 &amp; "_" &amp; sample_log!$D784, "")</f>
        <v/>
      </c>
      <c r="C784" s="5" t="str">
        <f>IF(B784="", IF(F784="", "", C783), IF(sample_log!E784="Triennial SASS", "tri_params", "params"))</f>
        <v/>
      </c>
      <c r="D784" s="5" t="str">
        <f>IF(B784="", "", C784 &amp; "!" &amp; CHAR(65+MATCH(B784, params!$B$2:$R$2, 0)))</f>
        <v/>
      </c>
      <c r="E784" s="5" t="str">
        <f ca="1">IF(B784="", "", COUNTA(INDIRECT(D784 &amp; 3):INDIRECT(D784 &amp; 24)))</f>
        <v/>
      </c>
      <c r="F784" s="5" t="str">
        <f t="shared" si="26"/>
        <v/>
      </c>
      <c r="G784" s="5" t="str">
        <f>IF(F784="", "", IF(B784&lt;&gt;"", MATCH(B784, params!$B$2:$R$2, 0), G783))</f>
        <v/>
      </c>
      <c r="H784" s="5" t="str">
        <f t="shared" ca="1" si="25"/>
        <v/>
      </c>
      <c r="M784" s="2"/>
    </row>
    <row r="785" spans="2:13" ht="15.6" x14ac:dyDescent="0.3">
      <c r="B785" s="5" t="str">
        <f>IF(COUNTIF(data_val!$E$3:$E$5, sample_log!$E785), sample_log!$C785 &amp; "_" &amp; sample_log!$D785, "")</f>
        <v/>
      </c>
      <c r="C785" s="5" t="str">
        <f>IF(B785="", IF(F785="", "", C784), IF(sample_log!E785="Triennial SASS", "tri_params", "params"))</f>
        <v/>
      </c>
      <c r="D785" s="5" t="str">
        <f>IF(B785="", "", C785 &amp; "!" &amp; CHAR(65+MATCH(B785, params!$B$2:$R$2, 0)))</f>
        <v/>
      </c>
      <c r="E785" s="5" t="str">
        <f ca="1">IF(B785="", "", COUNTA(INDIRECT(D785 &amp; 3):INDIRECT(D785 &amp; 24)))</f>
        <v/>
      </c>
      <c r="F785" s="5" t="str">
        <f t="shared" si="26"/>
        <v/>
      </c>
      <c r="G785" s="5" t="str">
        <f>IF(F785="", "", IF(B785&lt;&gt;"", MATCH(B785, params!$B$2:$R$2, 0), G784))</f>
        <v/>
      </c>
      <c r="H785" s="5" t="str">
        <f t="shared" ca="1" si="25"/>
        <v/>
      </c>
      <c r="M785" s="2"/>
    </row>
    <row r="786" spans="2:13" ht="15.6" x14ac:dyDescent="0.3">
      <c r="B786" s="5" t="str">
        <f>IF(COUNTIF(data_val!$E$3:$E$5, sample_log!$E786), sample_log!$C786 &amp; "_" &amp; sample_log!$D786, "")</f>
        <v/>
      </c>
      <c r="C786" s="5" t="str">
        <f>IF(B786="", IF(F786="", "", C785), IF(sample_log!E786="Triennial SASS", "tri_params", "params"))</f>
        <v/>
      </c>
      <c r="D786" s="5" t="str">
        <f>IF(B786="", "", C786 &amp; "!" &amp; CHAR(65+MATCH(B786, params!$B$2:$R$2, 0)))</f>
        <v/>
      </c>
      <c r="E786" s="5" t="str">
        <f ca="1">IF(B786="", "", COUNTA(INDIRECT(D786 &amp; 3):INDIRECT(D786 &amp; 24)))</f>
        <v/>
      </c>
      <c r="F786" s="5" t="str">
        <f t="shared" si="26"/>
        <v/>
      </c>
      <c r="G786" s="5" t="str">
        <f>IF(F786="", "", IF(B786&lt;&gt;"", MATCH(B786, params!$B$2:$R$2, 0), G785))</f>
        <v/>
      </c>
      <c r="H786" s="5" t="str">
        <f t="shared" ca="1" si="25"/>
        <v/>
      </c>
      <c r="M786" s="2"/>
    </row>
    <row r="787" spans="2:13" ht="15.6" x14ac:dyDescent="0.3">
      <c r="B787" s="5" t="str">
        <f>IF(COUNTIF(data_val!$E$3:$E$5, sample_log!$E787), sample_log!$C787 &amp; "_" &amp; sample_log!$D787, "")</f>
        <v/>
      </c>
      <c r="C787" s="5" t="str">
        <f>IF(B787="", IF(F787="", "", C786), IF(sample_log!E787="Triennial SASS", "tri_params", "params"))</f>
        <v/>
      </c>
      <c r="D787" s="5" t="str">
        <f>IF(B787="", "", C787 &amp; "!" &amp; CHAR(65+MATCH(B787, params!$B$2:$R$2, 0)))</f>
        <v/>
      </c>
      <c r="E787" s="5" t="str">
        <f ca="1">IF(B787="", "", COUNTA(INDIRECT(D787 &amp; 3):INDIRECT(D787 &amp; 24)))</f>
        <v/>
      </c>
      <c r="F787" s="5" t="str">
        <f t="shared" si="26"/>
        <v/>
      </c>
      <c r="G787" s="5" t="str">
        <f>IF(F787="", "", IF(B787&lt;&gt;"", MATCH(B787, params!$B$2:$R$2, 0), G786))</f>
        <v/>
      </c>
      <c r="H787" s="5" t="str">
        <f t="shared" ca="1" si="25"/>
        <v/>
      </c>
      <c r="M787" s="2"/>
    </row>
    <row r="788" spans="2:13" ht="15.6" x14ac:dyDescent="0.3">
      <c r="B788" s="5" t="str">
        <f>IF(COUNTIF(data_val!$E$3:$E$5, sample_log!$E788), sample_log!$C788 &amp; "_" &amp; sample_log!$D788, "")</f>
        <v/>
      </c>
      <c r="C788" s="5" t="str">
        <f>IF(B788="", IF(F788="", "", C787), IF(sample_log!E788="Triennial SASS", "tri_params", "params"))</f>
        <v/>
      </c>
      <c r="D788" s="5" t="str">
        <f>IF(B788="", "", C788 &amp; "!" &amp; CHAR(65+MATCH(B788, params!$B$2:$R$2, 0)))</f>
        <v/>
      </c>
      <c r="E788" s="5" t="str">
        <f ca="1">IF(B788="", "", COUNTA(INDIRECT(D788 &amp; 3):INDIRECT(D788 &amp; 24)))</f>
        <v/>
      </c>
      <c r="F788" s="5" t="str">
        <f t="shared" si="26"/>
        <v/>
      </c>
      <c r="G788" s="5" t="str">
        <f>IF(F788="", "", IF(B788&lt;&gt;"", MATCH(B788, params!$B$2:$R$2, 0), G787))</f>
        <v/>
      </c>
      <c r="H788" s="5" t="str">
        <f t="shared" ca="1" si="25"/>
        <v/>
      </c>
      <c r="M788" s="2"/>
    </row>
    <row r="789" spans="2:13" ht="15.6" x14ac:dyDescent="0.3">
      <c r="B789" s="5" t="str">
        <f>IF(COUNTIF(data_val!$E$3:$E$5, sample_log!$E789), sample_log!$C789 &amp; "_" &amp; sample_log!$D789, "")</f>
        <v/>
      </c>
      <c r="C789" s="5" t="str">
        <f>IF(B789="", IF(F789="", "", C788), IF(sample_log!E789="Triennial SASS", "tri_params", "params"))</f>
        <v/>
      </c>
      <c r="D789" s="5" t="str">
        <f>IF(B789="", "", C789 &amp; "!" &amp; CHAR(65+MATCH(B789, params!$B$2:$R$2, 0)))</f>
        <v/>
      </c>
      <c r="E789" s="5" t="str">
        <f ca="1">IF(B789="", "", COUNTA(INDIRECT(D789 &amp; 3):INDIRECT(D789 &amp; 24)))</f>
        <v/>
      </c>
      <c r="F789" s="5" t="str">
        <f t="shared" si="26"/>
        <v/>
      </c>
      <c r="G789" s="5" t="str">
        <f>IF(F789="", "", IF(B789&lt;&gt;"", MATCH(B789, params!$B$2:$R$2, 0), G788))</f>
        <v/>
      </c>
      <c r="H789" s="5" t="str">
        <f t="shared" ca="1" si="25"/>
        <v/>
      </c>
      <c r="M789" s="2"/>
    </row>
    <row r="790" spans="2:13" ht="15.6" x14ac:dyDescent="0.3">
      <c r="B790" s="5" t="str">
        <f>IF(COUNTIF(data_val!$E$3:$E$5, sample_log!$E790), sample_log!$C790 &amp; "_" &amp; sample_log!$D790, "")</f>
        <v/>
      </c>
      <c r="C790" s="5" t="str">
        <f>IF(B790="", IF(F790="", "", C789), IF(sample_log!E790="Triennial SASS", "tri_params", "params"))</f>
        <v/>
      </c>
      <c r="D790" s="5" t="str">
        <f>IF(B790="", "", C790 &amp; "!" &amp; CHAR(65+MATCH(B790, params!$B$2:$R$2, 0)))</f>
        <v/>
      </c>
      <c r="E790" s="5" t="str">
        <f ca="1">IF(B790="", "", COUNTA(INDIRECT(D790 &amp; 3):INDIRECT(D790 &amp; 24)))</f>
        <v/>
      </c>
      <c r="F790" s="5" t="str">
        <f t="shared" si="26"/>
        <v/>
      </c>
      <c r="G790" s="5" t="str">
        <f>IF(F790="", "", IF(B790&lt;&gt;"", MATCH(B790, params!$B$2:$R$2, 0), G789))</f>
        <v/>
      </c>
      <c r="H790" s="5" t="str">
        <f t="shared" ca="1" si="25"/>
        <v/>
      </c>
      <c r="M790" s="2"/>
    </row>
    <row r="791" spans="2:13" ht="15.6" x14ac:dyDescent="0.3">
      <c r="B791" s="5" t="str">
        <f>IF(COUNTIF(data_val!$E$3:$E$5, sample_log!$E791), sample_log!$C791 &amp; "_" &amp; sample_log!$D791, "")</f>
        <v/>
      </c>
      <c r="C791" s="5" t="str">
        <f>IF(B791="", IF(F791="", "", C790), IF(sample_log!E791="Triennial SASS", "tri_params", "params"))</f>
        <v/>
      </c>
      <c r="D791" s="5" t="str">
        <f>IF(B791="", "", C791 &amp; "!" &amp; CHAR(65+MATCH(B791, params!$B$2:$R$2, 0)))</f>
        <v/>
      </c>
      <c r="E791" s="5" t="str">
        <f ca="1">IF(B791="", "", COUNTA(INDIRECT(D791 &amp; 3):INDIRECT(D791 &amp; 24)))</f>
        <v/>
      </c>
      <c r="F791" s="5" t="str">
        <f t="shared" si="26"/>
        <v/>
      </c>
      <c r="G791" s="5" t="str">
        <f>IF(F791="", "", IF(B791&lt;&gt;"", MATCH(B791, params!$B$2:$R$2, 0), G790))</f>
        <v/>
      </c>
      <c r="H791" s="5" t="str">
        <f t="shared" ca="1" si="25"/>
        <v/>
      </c>
      <c r="M791" s="2"/>
    </row>
    <row r="792" spans="2:13" ht="15.6" x14ac:dyDescent="0.3">
      <c r="B792" s="5" t="str">
        <f>IF(COUNTIF(data_val!$E$3:$E$5, sample_log!$E792), sample_log!$C792 &amp; "_" &amp; sample_log!$D792, "")</f>
        <v/>
      </c>
      <c r="C792" s="5" t="str">
        <f>IF(B792="", IF(F792="", "", C791), IF(sample_log!E792="Triennial SASS", "tri_params", "params"))</f>
        <v/>
      </c>
      <c r="D792" s="5" t="str">
        <f>IF(B792="", "", C792 &amp; "!" &amp; CHAR(65+MATCH(B792, params!$B$2:$R$2, 0)))</f>
        <v/>
      </c>
      <c r="E792" s="5" t="str">
        <f ca="1">IF(B792="", "", COUNTA(INDIRECT(D792 &amp; 3):INDIRECT(D792 &amp; 24)))</f>
        <v/>
      </c>
      <c r="F792" s="5" t="str">
        <f t="shared" si="26"/>
        <v/>
      </c>
      <c r="G792" s="5" t="str">
        <f>IF(F792="", "", IF(B792&lt;&gt;"", MATCH(B792, params!$B$2:$R$2, 0), G791))</f>
        <v/>
      </c>
      <c r="H792" s="5" t="str">
        <f t="shared" ca="1" si="25"/>
        <v/>
      </c>
      <c r="M792" s="2"/>
    </row>
    <row r="793" spans="2:13" ht="15.6" x14ac:dyDescent="0.3">
      <c r="B793" s="5" t="str">
        <f>IF(COUNTIF(data_val!$E$3:$E$5, sample_log!$E793), sample_log!$C793 &amp; "_" &amp; sample_log!$D793, "")</f>
        <v/>
      </c>
      <c r="C793" s="5" t="str">
        <f>IF(B793="", IF(F793="", "", C792), IF(sample_log!E793="Triennial SASS", "tri_params", "params"))</f>
        <v/>
      </c>
      <c r="D793" s="5" t="str">
        <f>IF(B793="", "", C793 &amp; "!" &amp; CHAR(65+MATCH(B793, params!$B$2:$R$2, 0)))</f>
        <v/>
      </c>
      <c r="E793" s="5" t="str">
        <f ca="1">IF(B793="", "", COUNTA(INDIRECT(D793 &amp; 3):INDIRECT(D793 &amp; 24)))</f>
        <v/>
      </c>
      <c r="F793" s="5" t="str">
        <f t="shared" si="26"/>
        <v/>
      </c>
      <c r="G793" s="5" t="str">
        <f>IF(F793="", "", IF(B793&lt;&gt;"", MATCH(B793, params!$B$2:$R$2, 0), G792))</f>
        <v/>
      </c>
      <c r="H793" s="5" t="str">
        <f t="shared" ref="H793:H856" ca="1" si="27">IF($F793="", "", INDEX(INDIRECT("'" &amp; C793 &amp; "'!$B$3:$R$24"), $F793, $G793))</f>
        <v/>
      </c>
      <c r="M793" s="2"/>
    </row>
    <row r="794" spans="2:13" ht="15.6" x14ac:dyDescent="0.3">
      <c r="B794" s="5" t="str">
        <f>IF(COUNTIF(data_val!$E$3:$E$5, sample_log!$E794), sample_log!$C794 &amp; "_" &amp; sample_log!$D794, "")</f>
        <v/>
      </c>
      <c r="C794" s="5" t="str">
        <f>IF(B794="", IF(F794="", "", C793), IF(sample_log!E794="Triennial SASS", "tri_params", "params"))</f>
        <v/>
      </c>
      <c r="D794" s="5" t="str">
        <f>IF(B794="", "", C794 &amp; "!" &amp; CHAR(65+MATCH(B794, params!$B$2:$R$2, 0)))</f>
        <v/>
      </c>
      <c r="E794" s="5" t="str">
        <f ca="1">IF(B794="", "", COUNTA(INDIRECT(D794 &amp; 3):INDIRECT(D794 &amp; 24)))</f>
        <v/>
      </c>
      <c r="F794" s="5" t="str">
        <f t="shared" si="26"/>
        <v/>
      </c>
      <c r="G794" s="5" t="str">
        <f>IF(F794="", "", IF(B794&lt;&gt;"", MATCH(B794, params!$B$2:$R$2, 0), G793))</f>
        <v/>
      </c>
      <c r="H794" s="5" t="str">
        <f t="shared" ca="1" si="27"/>
        <v/>
      </c>
      <c r="M794" s="2"/>
    </row>
    <row r="795" spans="2:13" ht="15.6" x14ac:dyDescent="0.3">
      <c r="B795" s="5" t="str">
        <f>IF(COUNTIF(data_val!$E$3:$E$5, sample_log!$E795), sample_log!$C795 &amp; "_" &amp; sample_log!$D795, "")</f>
        <v/>
      </c>
      <c r="C795" s="5" t="str">
        <f>IF(B795="", IF(F795="", "", C794), IF(sample_log!E795="Triennial SASS", "tri_params", "params"))</f>
        <v/>
      </c>
      <c r="D795" s="5" t="str">
        <f>IF(B795="", "", C795 &amp; "!" &amp; CHAR(65+MATCH(B795, params!$B$2:$R$2, 0)))</f>
        <v/>
      </c>
      <c r="E795" s="5" t="str">
        <f ca="1">IF(B795="", "", COUNTA(INDIRECT(D795 &amp; 3):INDIRECT(D795 &amp; 24)))</f>
        <v/>
      </c>
      <c r="F795" s="5" t="str">
        <f t="shared" si="26"/>
        <v/>
      </c>
      <c r="G795" s="5" t="str">
        <f>IF(F795="", "", IF(B795&lt;&gt;"", MATCH(B795, params!$B$2:$R$2, 0), G794))</f>
        <v/>
      </c>
      <c r="H795" s="5" t="str">
        <f t="shared" ca="1" si="27"/>
        <v/>
      </c>
      <c r="M795" s="2"/>
    </row>
    <row r="796" spans="2:13" ht="15.6" x14ac:dyDescent="0.3">
      <c r="B796" s="5" t="str">
        <f>IF(COUNTIF(data_val!$E$3:$E$5, sample_log!$E796), sample_log!$C796 &amp; "_" &amp; sample_log!$D796, "")</f>
        <v/>
      </c>
      <c r="C796" s="5" t="str">
        <f>IF(B796="", IF(F796="", "", C795), IF(sample_log!E796="Triennial SASS", "tri_params", "params"))</f>
        <v/>
      </c>
      <c r="D796" s="5" t="str">
        <f>IF(B796="", "", C796 &amp; "!" &amp; CHAR(65+MATCH(B796, params!$B$2:$R$2, 0)))</f>
        <v/>
      </c>
      <c r="E796" s="5" t="str">
        <f ca="1">IF(B796="", "", COUNTA(INDIRECT(D796 &amp; 3):INDIRECT(D796 &amp; 24)))</f>
        <v/>
      </c>
      <c r="F796" s="5" t="str">
        <f t="shared" si="26"/>
        <v/>
      </c>
      <c r="G796" s="5" t="str">
        <f>IF(F796="", "", IF(B796&lt;&gt;"", MATCH(B796, params!$B$2:$R$2, 0), G795))</f>
        <v/>
      </c>
      <c r="H796" s="5" t="str">
        <f t="shared" ca="1" si="27"/>
        <v/>
      </c>
      <c r="M796" s="2"/>
    </row>
    <row r="797" spans="2:13" ht="15.6" x14ac:dyDescent="0.3">
      <c r="B797" s="5" t="str">
        <f>IF(COUNTIF(data_val!$E$3:$E$5, sample_log!$E797), sample_log!$C797 &amp; "_" &amp; sample_log!$D797, "")</f>
        <v/>
      </c>
      <c r="C797" s="5" t="str">
        <f>IF(B797="", IF(F797="", "", C796), IF(sample_log!E797="Triennial SASS", "tri_params", "params"))</f>
        <v/>
      </c>
      <c r="D797" s="5" t="str">
        <f>IF(B797="", "", C797 &amp; "!" &amp; CHAR(65+MATCH(B797, params!$B$2:$R$2, 0)))</f>
        <v/>
      </c>
      <c r="E797" s="5" t="str">
        <f ca="1">IF(B797="", "", COUNTA(INDIRECT(D797 &amp; 3):INDIRECT(D797 &amp; 24)))</f>
        <v/>
      </c>
      <c r="F797" s="5" t="str">
        <f t="shared" si="26"/>
        <v/>
      </c>
      <c r="G797" s="5" t="str">
        <f>IF(F797="", "", IF(B797&lt;&gt;"", MATCH(B797, params!$B$2:$R$2, 0), G796))</f>
        <v/>
      </c>
      <c r="H797" s="5" t="str">
        <f t="shared" ca="1" si="27"/>
        <v/>
      </c>
      <c r="M797" s="2"/>
    </row>
    <row r="798" spans="2:13" ht="15.6" x14ac:dyDescent="0.3">
      <c r="B798" s="5" t="str">
        <f>IF(COUNTIF(data_val!$E$3:$E$5, sample_log!$E798), sample_log!$C798 &amp; "_" &amp; sample_log!$D798, "")</f>
        <v/>
      </c>
      <c r="C798" s="5" t="str">
        <f>IF(B798="", IF(F798="", "", C797), IF(sample_log!E798="Triennial SASS", "tri_params", "params"))</f>
        <v/>
      </c>
      <c r="D798" s="5" t="str">
        <f>IF(B798="", "", C798 &amp; "!" &amp; CHAR(65+MATCH(B798, params!$B$2:$R$2, 0)))</f>
        <v/>
      </c>
      <c r="E798" s="5" t="str">
        <f ca="1">IF(B798="", "", COUNTA(INDIRECT(D798 &amp; 3):INDIRECT(D798 &amp; 24)))</f>
        <v/>
      </c>
      <c r="F798" s="5" t="str">
        <f t="shared" si="26"/>
        <v/>
      </c>
      <c r="G798" s="5" t="str">
        <f>IF(F798="", "", IF(B798&lt;&gt;"", MATCH(B798, params!$B$2:$R$2, 0), G797))</f>
        <v/>
      </c>
      <c r="H798" s="5" t="str">
        <f t="shared" ca="1" si="27"/>
        <v/>
      </c>
      <c r="M798" s="2"/>
    </row>
    <row r="799" spans="2:13" ht="15.6" x14ac:dyDescent="0.3">
      <c r="B799" s="5" t="str">
        <f>IF(COUNTIF(data_val!$E$3:$E$5, sample_log!$E799), sample_log!$C799 &amp; "_" &amp; sample_log!$D799, "")</f>
        <v/>
      </c>
      <c r="C799" s="5" t="str">
        <f>IF(B799="", IF(F799="", "", C798), IF(sample_log!E799="Triennial SASS", "tri_params", "params"))</f>
        <v/>
      </c>
      <c r="D799" s="5" t="str">
        <f>IF(B799="", "", C799 &amp; "!" &amp; CHAR(65+MATCH(B799, params!$B$2:$R$2, 0)))</f>
        <v/>
      </c>
      <c r="E799" s="5" t="str">
        <f ca="1">IF(B799="", "", COUNTA(INDIRECT(D799 &amp; 3):INDIRECT(D799 &amp; 24)))</f>
        <v/>
      </c>
      <c r="F799" s="5" t="str">
        <f t="shared" si="26"/>
        <v/>
      </c>
      <c r="G799" s="5" t="str">
        <f>IF(F799="", "", IF(B799&lt;&gt;"", MATCH(B799, params!$B$2:$R$2, 0), G798))</f>
        <v/>
      </c>
      <c r="H799" s="5" t="str">
        <f t="shared" ca="1" si="27"/>
        <v/>
      </c>
      <c r="M799" s="2"/>
    </row>
    <row r="800" spans="2:13" ht="15.6" x14ac:dyDescent="0.3">
      <c r="B800" s="5" t="str">
        <f>IF(COUNTIF(data_val!$E$3:$E$5, sample_log!$E800), sample_log!$C800 &amp; "_" &amp; sample_log!$D800, "")</f>
        <v/>
      </c>
      <c r="C800" s="5" t="str">
        <f>IF(B800="", IF(F800="", "", C799), IF(sample_log!E800="Triennial SASS", "tri_params", "params"))</f>
        <v/>
      </c>
      <c r="D800" s="5" t="str">
        <f>IF(B800="", "", C800 &amp; "!" &amp; CHAR(65+MATCH(B800, params!$B$2:$R$2, 0)))</f>
        <v/>
      </c>
      <c r="E800" s="5" t="str">
        <f ca="1">IF(B800="", "", COUNTA(INDIRECT(D800 &amp; 3):INDIRECT(D800 &amp; 24)))</f>
        <v/>
      </c>
      <c r="F800" s="5" t="str">
        <f t="shared" si="26"/>
        <v/>
      </c>
      <c r="G800" s="5" t="str">
        <f>IF(F800="", "", IF(B800&lt;&gt;"", MATCH(B800, params!$B$2:$R$2, 0), G799))</f>
        <v/>
      </c>
      <c r="H800" s="5" t="str">
        <f t="shared" ca="1" si="27"/>
        <v/>
      </c>
      <c r="M800" s="2"/>
    </row>
    <row r="801" spans="2:13" ht="15.6" x14ac:dyDescent="0.3">
      <c r="B801" s="5" t="str">
        <f>IF(COUNTIF(data_val!$E$3:$E$5, sample_log!$E801), sample_log!$C801 &amp; "_" &amp; sample_log!$D801, "")</f>
        <v/>
      </c>
      <c r="C801" s="5" t="str">
        <f>IF(B801="", IF(F801="", "", C800), IF(sample_log!E801="Triennial SASS", "tri_params", "params"))</f>
        <v/>
      </c>
      <c r="D801" s="5" t="str">
        <f>IF(B801="", "", C801 &amp; "!" &amp; CHAR(65+MATCH(B801, params!$B$2:$R$2, 0)))</f>
        <v/>
      </c>
      <c r="E801" s="5" t="str">
        <f ca="1">IF(B801="", "", COUNTA(INDIRECT(D801 &amp; 3):INDIRECT(D801 &amp; 24)))</f>
        <v/>
      </c>
      <c r="F801" s="5" t="str">
        <f t="shared" si="26"/>
        <v/>
      </c>
      <c r="G801" s="5" t="str">
        <f>IF(F801="", "", IF(B801&lt;&gt;"", MATCH(B801, params!$B$2:$R$2, 0), G800))</f>
        <v/>
      </c>
      <c r="H801" s="5" t="str">
        <f t="shared" ca="1" si="27"/>
        <v/>
      </c>
      <c r="M801" s="2"/>
    </row>
    <row r="802" spans="2:13" ht="15.6" x14ac:dyDescent="0.3">
      <c r="B802" s="5" t="str">
        <f>IF(COUNTIF(data_val!$E$3:$E$5, sample_log!$E802), sample_log!$C802 &amp; "_" &amp; sample_log!$D802, "")</f>
        <v/>
      </c>
      <c r="C802" s="5" t="str">
        <f>IF(B802="", IF(F802="", "", C801), IF(sample_log!E802="Triennial SASS", "tri_params", "params"))</f>
        <v/>
      </c>
      <c r="D802" s="5" t="str">
        <f>IF(B802="", "", C802 &amp; "!" &amp; CHAR(65+MATCH(B802, params!$B$2:$R$2, 0)))</f>
        <v/>
      </c>
      <c r="E802" s="5" t="str">
        <f ca="1">IF(B802="", "", COUNTA(INDIRECT(D802 &amp; 3):INDIRECT(D802 &amp; 24)))</f>
        <v/>
      </c>
      <c r="F802" s="5" t="str">
        <f t="shared" si="26"/>
        <v/>
      </c>
      <c r="G802" s="5" t="str">
        <f>IF(F802="", "", IF(B802&lt;&gt;"", MATCH(B802, params!$B$2:$R$2, 0), G801))</f>
        <v/>
      </c>
      <c r="H802" s="5" t="str">
        <f t="shared" ca="1" si="27"/>
        <v/>
      </c>
      <c r="M802" s="2"/>
    </row>
    <row r="803" spans="2:13" ht="15.6" x14ac:dyDescent="0.3">
      <c r="B803" s="5" t="str">
        <f>IF(COUNTIF(data_val!$E$3:$E$5, sample_log!$E803), sample_log!$C803 &amp; "_" &amp; sample_log!$D803, "")</f>
        <v/>
      </c>
      <c r="C803" s="5" t="str">
        <f>IF(B803="", IF(F803="", "", C802), IF(sample_log!E803="Triennial SASS", "tri_params", "params"))</f>
        <v/>
      </c>
      <c r="D803" s="5" t="str">
        <f>IF(B803="", "", C803 &amp; "!" &amp; CHAR(65+MATCH(B803, params!$B$2:$R$2, 0)))</f>
        <v/>
      </c>
      <c r="E803" s="5" t="str">
        <f ca="1">IF(B803="", "", COUNTA(INDIRECT(D803 &amp; 3):INDIRECT(D803 &amp; 24)))</f>
        <v/>
      </c>
      <c r="F803" s="5" t="str">
        <f t="shared" si="26"/>
        <v/>
      </c>
      <c r="G803" s="5" t="str">
        <f>IF(F803="", "", IF(B803&lt;&gt;"", MATCH(B803, params!$B$2:$R$2, 0), G802))</f>
        <v/>
      </c>
      <c r="H803" s="5" t="str">
        <f t="shared" ca="1" si="27"/>
        <v/>
      </c>
      <c r="M803" s="2"/>
    </row>
    <row r="804" spans="2:13" ht="15.6" x14ac:dyDescent="0.3">
      <c r="B804" s="5" t="str">
        <f>IF(COUNTIF(data_val!$E$3:$E$5, sample_log!$E804), sample_log!$C804 &amp; "_" &amp; sample_log!$D804, "")</f>
        <v/>
      </c>
      <c r="C804" s="5" t="str">
        <f>IF(B804="", IF(F804="", "", C803), IF(sample_log!E804="Triennial SASS", "tri_params", "params"))</f>
        <v/>
      </c>
      <c r="D804" s="5" t="str">
        <f>IF(B804="", "", C804 &amp; "!" &amp; CHAR(65+MATCH(B804, params!$B$2:$R$2, 0)))</f>
        <v/>
      </c>
      <c r="E804" s="5" t="str">
        <f ca="1">IF(B804="", "", COUNTA(INDIRECT(D804 &amp; 3):INDIRECT(D804 &amp; 24)))</f>
        <v/>
      </c>
      <c r="F804" s="5" t="str">
        <f t="shared" si="26"/>
        <v/>
      </c>
      <c r="G804" s="5" t="str">
        <f>IF(F804="", "", IF(B804&lt;&gt;"", MATCH(B804, params!$B$2:$R$2, 0), G803))</f>
        <v/>
      </c>
      <c r="H804" s="5" t="str">
        <f t="shared" ca="1" si="27"/>
        <v/>
      </c>
      <c r="M804" s="2"/>
    </row>
    <row r="805" spans="2:13" ht="15.6" x14ac:dyDescent="0.3">
      <c r="B805" s="5" t="str">
        <f>IF(COUNTIF(data_val!$E$3:$E$5, sample_log!$E805), sample_log!$C805 &amp; "_" &amp; sample_log!$D805, "")</f>
        <v/>
      </c>
      <c r="C805" s="5" t="str">
        <f>IF(B805="", IF(F805="", "", C804), IF(sample_log!E805="Triennial SASS", "tri_params", "params"))</f>
        <v/>
      </c>
      <c r="D805" s="5" t="str">
        <f>IF(B805="", "", C805 &amp; "!" &amp; CHAR(65+MATCH(B805, params!$B$2:$R$2, 0)))</f>
        <v/>
      </c>
      <c r="E805" s="5" t="str">
        <f ca="1">IF(B805="", "", COUNTA(INDIRECT(D805 &amp; 3):INDIRECT(D805 &amp; 24)))</f>
        <v/>
      </c>
      <c r="F805" s="5" t="str">
        <f t="shared" si="26"/>
        <v/>
      </c>
      <c r="G805" s="5" t="str">
        <f>IF(F805="", "", IF(B805&lt;&gt;"", MATCH(B805, params!$B$2:$R$2, 0), G804))</f>
        <v/>
      </c>
      <c r="H805" s="5" t="str">
        <f t="shared" ca="1" si="27"/>
        <v/>
      </c>
      <c r="M805" s="2"/>
    </row>
    <row r="806" spans="2:13" ht="15.6" x14ac:dyDescent="0.3">
      <c r="B806" s="5" t="str">
        <f>IF(COUNTIF(data_val!$E$3:$E$5, sample_log!$E806), sample_log!$C806 &amp; "_" &amp; sample_log!$D806, "")</f>
        <v/>
      </c>
      <c r="C806" s="5" t="str">
        <f>IF(B806="", IF(F806="", "", C805), IF(sample_log!E806="Triennial SASS", "tri_params", "params"))</f>
        <v/>
      </c>
      <c r="D806" s="5" t="str">
        <f>IF(B806="", "", C806 &amp; "!" &amp; CHAR(65+MATCH(B806, params!$B$2:$R$2, 0)))</f>
        <v/>
      </c>
      <c r="E806" s="5" t="str">
        <f ca="1">IF(B806="", "", COUNTA(INDIRECT(D806 &amp; 3):INDIRECT(D806 &amp; 24)))</f>
        <v/>
      </c>
      <c r="F806" s="5" t="str">
        <f t="shared" si="26"/>
        <v/>
      </c>
      <c r="G806" s="5" t="str">
        <f>IF(F806="", "", IF(B806&lt;&gt;"", MATCH(B806, params!$B$2:$R$2, 0), G805))</f>
        <v/>
      </c>
      <c r="H806" s="5" t="str">
        <f t="shared" ca="1" si="27"/>
        <v/>
      </c>
      <c r="M806" s="2"/>
    </row>
    <row r="807" spans="2:13" ht="15.6" x14ac:dyDescent="0.3">
      <c r="B807" s="5" t="str">
        <f>IF(COUNTIF(data_val!$E$3:$E$5, sample_log!$E807), sample_log!$C807 &amp; "_" &amp; sample_log!$D807, "")</f>
        <v/>
      </c>
      <c r="C807" s="5" t="str">
        <f>IF(B807="", IF(F807="", "", C806), IF(sample_log!E807="Triennial SASS", "tri_params", "params"))</f>
        <v/>
      </c>
      <c r="D807" s="5" t="str">
        <f>IF(B807="", "", C807 &amp; "!" &amp; CHAR(65+MATCH(B807, params!$B$2:$R$2, 0)))</f>
        <v/>
      </c>
      <c r="E807" s="5" t="str">
        <f ca="1">IF(B807="", "", COUNTA(INDIRECT(D807 &amp; 3):INDIRECT(D807 &amp; 24)))</f>
        <v/>
      </c>
      <c r="F807" s="5" t="str">
        <f t="shared" si="26"/>
        <v/>
      </c>
      <c r="G807" s="5" t="str">
        <f>IF(F807="", "", IF(B807&lt;&gt;"", MATCH(B807, params!$B$2:$R$2, 0), G806))</f>
        <v/>
      </c>
      <c r="H807" s="5" t="str">
        <f t="shared" ca="1" si="27"/>
        <v/>
      </c>
      <c r="M807" s="2"/>
    </row>
    <row r="808" spans="2:13" ht="15.6" x14ac:dyDescent="0.3">
      <c r="B808" s="5" t="str">
        <f>IF(COUNTIF(data_val!$E$3:$E$5, sample_log!$E808), sample_log!$C808 &amp; "_" &amp; sample_log!$D808, "")</f>
        <v/>
      </c>
      <c r="C808" s="5" t="str">
        <f>IF(B808="", IF(F808="", "", C807), IF(sample_log!E808="Triennial SASS", "tri_params", "params"))</f>
        <v/>
      </c>
      <c r="D808" s="5" t="str">
        <f>IF(B808="", "", C808 &amp; "!" &amp; CHAR(65+MATCH(B808, params!$B$2:$R$2, 0)))</f>
        <v/>
      </c>
      <c r="E808" s="5" t="str">
        <f ca="1">IF(B808="", "", COUNTA(INDIRECT(D808 &amp; 3):INDIRECT(D808 &amp; 24)))</f>
        <v/>
      </c>
      <c r="F808" s="5" t="str">
        <f t="shared" si="26"/>
        <v/>
      </c>
      <c r="G808" s="5" t="str">
        <f>IF(F808="", "", IF(B808&lt;&gt;"", MATCH(B808, params!$B$2:$R$2, 0), G807))</f>
        <v/>
      </c>
      <c r="H808" s="5" t="str">
        <f t="shared" ca="1" si="27"/>
        <v/>
      </c>
      <c r="M808" s="2"/>
    </row>
    <row r="809" spans="2:13" ht="15.6" x14ac:dyDescent="0.3">
      <c r="B809" s="5" t="str">
        <f>IF(COUNTIF(data_val!$E$3:$E$5, sample_log!$E809), sample_log!$C809 &amp; "_" &amp; sample_log!$D809, "")</f>
        <v/>
      </c>
      <c r="C809" s="5" t="str">
        <f>IF(B809="", IF(F809="", "", C808), IF(sample_log!E809="Triennial SASS", "tri_params", "params"))</f>
        <v/>
      </c>
      <c r="D809" s="5" t="str">
        <f>IF(B809="", "", C809 &amp; "!" &amp; CHAR(65+MATCH(B809, params!$B$2:$R$2, 0)))</f>
        <v/>
      </c>
      <c r="E809" s="5" t="str">
        <f ca="1">IF(B809="", "", COUNTA(INDIRECT(D809 &amp; 3):INDIRECT(D809 &amp; 24)))</f>
        <v/>
      </c>
      <c r="F809" s="5" t="str">
        <f t="shared" si="26"/>
        <v/>
      </c>
      <c r="G809" s="5" t="str">
        <f>IF(F809="", "", IF(B809&lt;&gt;"", MATCH(B809, params!$B$2:$R$2, 0), G808))</f>
        <v/>
      </c>
      <c r="H809" s="5" t="str">
        <f t="shared" ca="1" si="27"/>
        <v/>
      </c>
      <c r="M809" s="2"/>
    </row>
    <row r="810" spans="2:13" ht="15.6" x14ac:dyDescent="0.3">
      <c r="B810" s="5" t="str">
        <f>IF(COUNTIF(data_val!$E$3:$E$5, sample_log!$E810), sample_log!$C810 &amp; "_" &amp; sample_log!$D810, "")</f>
        <v/>
      </c>
      <c r="C810" s="5" t="str">
        <f>IF(B810="", IF(F810="", "", C809), IF(sample_log!E810="Triennial SASS", "tri_params", "params"))</f>
        <v/>
      </c>
      <c r="D810" s="5" t="str">
        <f>IF(B810="", "", C810 &amp; "!" &amp; CHAR(65+MATCH(B810, params!$B$2:$R$2, 0)))</f>
        <v/>
      </c>
      <c r="E810" s="5" t="str">
        <f ca="1">IF(B810="", "", COUNTA(INDIRECT(D810 &amp; 3):INDIRECT(D810 &amp; 24)))</f>
        <v/>
      </c>
      <c r="F810" s="5" t="str">
        <f t="shared" si="26"/>
        <v/>
      </c>
      <c r="G810" s="5" t="str">
        <f>IF(F810="", "", IF(B810&lt;&gt;"", MATCH(B810, params!$B$2:$R$2, 0), G809))</f>
        <v/>
      </c>
      <c r="H810" s="5" t="str">
        <f t="shared" ca="1" si="27"/>
        <v/>
      </c>
      <c r="M810" s="2"/>
    </row>
    <row r="811" spans="2:13" ht="15.6" x14ac:dyDescent="0.3">
      <c r="B811" s="5" t="str">
        <f>IF(COUNTIF(data_val!$E$3:$E$5, sample_log!$E811), sample_log!$C811 &amp; "_" &amp; sample_log!$D811, "")</f>
        <v/>
      </c>
      <c r="C811" s="5" t="str">
        <f>IF(B811="", IF(F811="", "", C810), IF(sample_log!E811="Triennial SASS", "tri_params", "params"))</f>
        <v/>
      </c>
      <c r="D811" s="5" t="str">
        <f>IF(B811="", "", C811 &amp; "!" &amp; CHAR(65+MATCH(B811, params!$B$2:$R$2, 0)))</f>
        <v/>
      </c>
      <c r="E811" s="5" t="str">
        <f ca="1">IF(B811="", "", COUNTA(INDIRECT(D811 &amp; 3):INDIRECT(D811 &amp; 24)))</f>
        <v/>
      </c>
      <c r="F811" s="5" t="str">
        <f t="shared" si="26"/>
        <v/>
      </c>
      <c r="G811" s="5" t="str">
        <f>IF(F811="", "", IF(B811&lt;&gt;"", MATCH(B811, params!$B$2:$R$2, 0), G810))</f>
        <v/>
      </c>
      <c r="H811" s="5" t="str">
        <f t="shared" ca="1" si="27"/>
        <v/>
      </c>
      <c r="M811" s="2"/>
    </row>
    <row r="812" spans="2:13" ht="15.6" x14ac:dyDescent="0.3">
      <c r="B812" s="5" t="str">
        <f>IF(COUNTIF(data_val!$E$3:$E$5, sample_log!$E812), sample_log!$C812 &amp; "_" &amp; sample_log!$D812, "")</f>
        <v/>
      </c>
      <c r="C812" s="5" t="str">
        <f>IF(B812="", IF(F812="", "", C811), IF(sample_log!E812="Triennial SASS", "tri_params", "params"))</f>
        <v/>
      </c>
      <c r="D812" s="5" t="str">
        <f>IF(B812="", "", C812 &amp; "!" &amp; CHAR(65+MATCH(B812, params!$B$2:$R$2, 0)))</f>
        <v/>
      </c>
      <c r="E812" s="5" t="str">
        <f ca="1">IF(B812="", "", COUNTA(INDIRECT(D812 &amp; 3):INDIRECT(D812 &amp; 24)))</f>
        <v/>
      </c>
      <c r="F812" s="5" t="str">
        <f t="shared" si="26"/>
        <v/>
      </c>
      <c r="G812" s="5" t="str">
        <f>IF(F812="", "", IF(B812&lt;&gt;"", MATCH(B812, params!$B$2:$R$2, 0), G811))</f>
        <v/>
      </c>
      <c r="H812" s="5" t="str">
        <f t="shared" ca="1" si="27"/>
        <v/>
      </c>
      <c r="M812" s="2"/>
    </row>
    <row r="813" spans="2:13" ht="15.6" x14ac:dyDescent="0.3">
      <c r="B813" s="5" t="str">
        <f>IF(COUNTIF(data_val!$E$3:$E$5, sample_log!$E813), sample_log!$C813 &amp; "_" &amp; sample_log!$D813, "")</f>
        <v/>
      </c>
      <c r="C813" s="5" t="str">
        <f>IF(B813="", IF(F813="", "", C812), IF(sample_log!E813="Triennial SASS", "tri_params", "params"))</f>
        <v/>
      </c>
      <c r="D813" s="5" t="str">
        <f>IF(B813="", "", C813 &amp; "!" &amp; CHAR(65+MATCH(B813, params!$B$2:$R$2, 0)))</f>
        <v/>
      </c>
      <c r="E813" s="5" t="str">
        <f ca="1">IF(B813="", "", COUNTA(INDIRECT(D813 &amp; 3):INDIRECT(D813 &amp; 24)))</f>
        <v/>
      </c>
      <c r="F813" s="5" t="str">
        <f t="shared" si="26"/>
        <v/>
      </c>
      <c r="G813" s="5" t="str">
        <f>IF(F813="", "", IF(B813&lt;&gt;"", MATCH(B813, params!$B$2:$R$2, 0), G812))</f>
        <v/>
      </c>
      <c r="H813" s="5" t="str">
        <f t="shared" ca="1" si="27"/>
        <v/>
      </c>
      <c r="M813" s="2"/>
    </row>
    <row r="814" spans="2:13" ht="15.6" x14ac:dyDescent="0.3">
      <c r="B814" s="5" t="str">
        <f>IF(COUNTIF(data_val!$E$3:$E$5, sample_log!$E814), sample_log!$C814 &amp; "_" &amp; sample_log!$D814, "")</f>
        <v/>
      </c>
      <c r="C814" s="5" t="str">
        <f>IF(B814="", IF(F814="", "", C813), IF(sample_log!E814="Triennial SASS", "tri_params", "params"))</f>
        <v/>
      </c>
      <c r="D814" s="5" t="str">
        <f>IF(B814="", "", C814 &amp; "!" &amp; CHAR(65+MATCH(B814, params!$B$2:$R$2, 0)))</f>
        <v/>
      </c>
      <c r="E814" s="5" t="str">
        <f ca="1">IF(B814="", "", COUNTA(INDIRECT(D814 &amp; 3):INDIRECT(D814 &amp; 24)))</f>
        <v/>
      </c>
      <c r="F814" s="5" t="str">
        <f t="shared" si="26"/>
        <v/>
      </c>
      <c r="G814" s="5" t="str">
        <f>IF(F814="", "", IF(B814&lt;&gt;"", MATCH(B814, params!$B$2:$R$2, 0), G813))</f>
        <v/>
      </c>
      <c r="H814" s="5" t="str">
        <f t="shared" ca="1" si="27"/>
        <v/>
      </c>
      <c r="M814" s="2"/>
    </row>
    <row r="815" spans="2:13" ht="15.6" x14ac:dyDescent="0.3">
      <c r="B815" s="5" t="str">
        <f>IF(COUNTIF(data_val!$E$3:$E$5, sample_log!$E815), sample_log!$C815 &amp; "_" &amp; sample_log!$D815, "")</f>
        <v/>
      </c>
      <c r="C815" s="5" t="str">
        <f>IF(B815="", IF(F815="", "", C814), IF(sample_log!E815="Triennial SASS", "tri_params", "params"))</f>
        <v/>
      </c>
      <c r="D815" s="5" t="str">
        <f>IF(B815="", "", C815 &amp; "!" &amp; CHAR(65+MATCH(B815, params!$B$2:$R$2, 0)))</f>
        <v/>
      </c>
      <c r="E815" s="5" t="str">
        <f ca="1">IF(B815="", "", COUNTA(INDIRECT(D815 &amp; 3):INDIRECT(D815 &amp; 24)))</f>
        <v/>
      </c>
      <c r="F815" s="5" t="str">
        <f t="shared" si="26"/>
        <v/>
      </c>
      <c r="G815" s="5" t="str">
        <f>IF(F815="", "", IF(B815&lt;&gt;"", MATCH(B815, params!$B$2:$R$2, 0), G814))</f>
        <v/>
      </c>
      <c r="H815" s="5" t="str">
        <f t="shared" ca="1" si="27"/>
        <v/>
      </c>
      <c r="M815" s="2"/>
    </row>
    <row r="816" spans="2:13" ht="15.6" x14ac:dyDescent="0.3">
      <c r="B816" s="5" t="str">
        <f>IF(COUNTIF(data_val!$E$3:$E$5, sample_log!$E816), sample_log!$C816 &amp; "_" &amp; sample_log!$D816, "")</f>
        <v/>
      </c>
      <c r="C816" s="5" t="str">
        <f>IF(B816="", IF(F816="", "", C815), IF(sample_log!E816="Triennial SASS", "tri_params", "params"))</f>
        <v/>
      </c>
      <c r="D816" s="5" t="str">
        <f>IF(B816="", "", C816 &amp; "!" &amp; CHAR(65+MATCH(B816, params!$B$2:$R$2, 0)))</f>
        <v/>
      </c>
      <c r="E816" s="5" t="str">
        <f ca="1">IF(B816="", "", COUNTA(INDIRECT(D816 &amp; 3):INDIRECT(D816 &amp; 24)))</f>
        <v/>
      </c>
      <c r="F816" s="5" t="str">
        <f t="shared" si="26"/>
        <v/>
      </c>
      <c r="G816" s="5" t="str">
        <f>IF(F816="", "", IF(B816&lt;&gt;"", MATCH(B816, params!$B$2:$R$2, 0), G815))</f>
        <v/>
      </c>
      <c r="H816" s="5" t="str">
        <f t="shared" ca="1" si="27"/>
        <v/>
      </c>
      <c r="M816" s="2"/>
    </row>
    <row r="817" spans="2:13" ht="15.6" x14ac:dyDescent="0.3">
      <c r="B817" s="5" t="str">
        <f>IF(COUNTIF(data_val!$E$3:$E$5, sample_log!$E817), sample_log!$C817 &amp; "_" &amp; sample_log!$D817, "")</f>
        <v/>
      </c>
      <c r="C817" s="5" t="str">
        <f>IF(B817="", IF(F817="", "", C816), IF(sample_log!E817="Triennial SASS", "tri_params", "params"))</f>
        <v/>
      </c>
      <c r="D817" s="5" t="str">
        <f>IF(B817="", "", C817 &amp; "!" &amp; CHAR(65+MATCH(B817, params!$B$2:$R$2, 0)))</f>
        <v/>
      </c>
      <c r="E817" s="5" t="str">
        <f ca="1">IF(B817="", "", COUNTA(INDIRECT(D817 &amp; 3):INDIRECT(D817 &amp; 24)))</f>
        <v/>
      </c>
      <c r="F817" s="5" t="str">
        <f t="shared" si="26"/>
        <v/>
      </c>
      <c r="G817" s="5" t="str">
        <f>IF(F817="", "", IF(B817&lt;&gt;"", MATCH(B817, params!$B$2:$R$2, 0), G816))</f>
        <v/>
      </c>
      <c r="H817" s="5" t="str">
        <f t="shared" ca="1" si="27"/>
        <v/>
      </c>
      <c r="M817" s="2"/>
    </row>
    <row r="818" spans="2:13" ht="15.6" x14ac:dyDescent="0.3">
      <c r="B818" s="5" t="str">
        <f>IF(COUNTIF(data_val!$E$3:$E$5, sample_log!$E818), sample_log!$C818 &amp; "_" &amp; sample_log!$D818, "")</f>
        <v/>
      </c>
      <c r="C818" s="5" t="str">
        <f>IF(B818="", IF(F818="", "", C817), IF(sample_log!E818="Triennial SASS", "tri_params", "params"))</f>
        <v/>
      </c>
      <c r="D818" s="5" t="str">
        <f>IF(B818="", "", C818 &amp; "!" &amp; CHAR(65+MATCH(B818, params!$B$2:$R$2, 0)))</f>
        <v/>
      </c>
      <c r="E818" s="5" t="str">
        <f ca="1">IF(B818="", "", COUNTA(INDIRECT(D818 &amp; 3):INDIRECT(D818 &amp; 24)))</f>
        <v/>
      </c>
      <c r="F818" s="5" t="str">
        <f t="shared" si="26"/>
        <v/>
      </c>
      <c r="G818" s="5" t="str">
        <f>IF(F818="", "", IF(B818&lt;&gt;"", MATCH(B818, params!$B$2:$R$2, 0), G817))</f>
        <v/>
      </c>
      <c r="H818" s="5" t="str">
        <f t="shared" ca="1" si="27"/>
        <v/>
      </c>
      <c r="M818" s="2"/>
    </row>
    <row r="819" spans="2:13" ht="15.6" x14ac:dyDescent="0.3">
      <c r="B819" s="5" t="str">
        <f>IF(COUNTIF(data_val!$E$3:$E$5, sample_log!$E819), sample_log!$C819 &amp; "_" &amp; sample_log!$D819, "")</f>
        <v/>
      </c>
      <c r="C819" s="5" t="str">
        <f>IF(B819="", IF(F819="", "", C818), IF(sample_log!E819="Triennial SASS", "tri_params", "params"))</f>
        <v/>
      </c>
      <c r="D819" s="5" t="str">
        <f>IF(B819="", "", C819 &amp; "!" &amp; CHAR(65+MATCH(B819, params!$B$2:$R$2, 0)))</f>
        <v/>
      </c>
      <c r="E819" s="5" t="str">
        <f ca="1">IF(B819="", "", COUNTA(INDIRECT(D819 &amp; 3):INDIRECT(D819 &amp; 24)))</f>
        <v/>
      </c>
      <c r="F819" s="5" t="str">
        <f t="shared" si="26"/>
        <v/>
      </c>
      <c r="G819" s="5" t="str">
        <f>IF(F819="", "", IF(B819&lt;&gt;"", MATCH(B819, params!$B$2:$R$2, 0), G818))</f>
        <v/>
      </c>
      <c r="H819" s="5" t="str">
        <f t="shared" ca="1" si="27"/>
        <v/>
      </c>
      <c r="M819" s="2"/>
    </row>
    <row r="820" spans="2:13" ht="15.6" x14ac:dyDescent="0.3">
      <c r="B820" s="5" t="str">
        <f>IF(COUNTIF(data_val!$E$3:$E$5, sample_log!$E820), sample_log!$C820 &amp; "_" &amp; sample_log!$D820, "")</f>
        <v/>
      </c>
      <c r="C820" s="5" t="str">
        <f>IF(B820="", IF(F820="", "", C819), IF(sample_log!E820="Triennial SASS", "tri_params", "params"))</f>
        <v/>
      </c>
      <c r="D820" s="5" t="str">
        <f>IF(B820="", "", C820 &amp; "!" &amp; CHAR(65+MATCH(B820, params!$B$2:$R$2, 0)))</f>
        <v/>
      </c>
      <c r="E820" s="5" t="str">
        <f ca="1">IF(B820="", "", COUNTA(INDIRECT(D820 &amp; 3):INDIRECT(D820 &amp; 24)))</f>
        <v/>
      </c>
      <c r="F820" s="5" t="str">
        <f t="shared" si="26"/>
        <v/>
      </c>
      <c r="G820" s="5" t="str">
        <f>IF(F820="", "", IF(B820&lt;&gt;"", MATCH(B820, params!$B$2:$R$2, 0), G819))</f>
        <v/>
      </c>
      <c r="H820" s="5" t="str">
        <f t="shared" ca="1" si="27"/>
        <v/>
      </c>
      <c r="M820" s="2"/>
    </row>
    <row r="821" spans="2:13" ht="15.6" x14ac:dyDescent="0.3">
      <c r="B821" s="5" t="str">
        <f>IF(COUNTIF(data_val!$E$3:$E$5, sample_log!$E821), sample_log!$C821 &amp; "_" &amp; sample_log!$D821, "")</f>
        <v/>
      </c>
      <c r="C821" s="5" t="str">
        <f>IF(B821="", IF(F821="", "", C820), IF(sample_log!E821="Triennial SASS", "tri_params", "params"))</f>
        <v/>
      </c>
      <c r="D821" s="5" t="str">
        <f>IF(B821="", "", C821 &amp; "!" &amp; CHAR(65+MATCH(B821, params!$B$2:$R$2, 0)))</f>
        <v/>
      </c>
      <c r="E821" s="5" t="str">
        <f ca="1">IF(B821="", "", COUNTA(INDIRECT(D821 &amp; 3):INDIRECT(D821 &amp; 24)))</f>
        <v/>
      </c>
      <c r="F821" s="5" t="str">
        <f t="shared" si="26"/>
        <v/>
      </c>
      <c r="G821" s="5" t="str">
        <f>IF(F821="", "", IF(B821&lt;&gt;"", MATCH(B821, params!$B$2:$R$2, 0), G820))</f>
        <v/>
      </c>
      <c r="H821" s="5" t="str">
        <f t="shared" ca="1" si="27"/>
        <v/>
      </c>
      <c r="M821" s="2"/>
    </row>
    <row r="822" spans="2:13" ht="15.6" x14ac:dyDescent="0.3">
      <c r="B822" s="5" t="str">
        <f>IF(COUNTIF(data_val!$E$3:$E$5, sample_log!$E822), sample_log!$C822 &amp; "_" &amp; sample_log!$D822, "")</f>
        <v/>
      </c>
      <c r="C822" s="5" t="str">
        <f>IF(B822="", IF(F822="", "", C821), IF(sample_log!E822="Triennial SASS", "tri_params", "params"))</f>
        <v/>
      </c>
      <c r="D822" s="5" t="str">
        <f>IF(B822="", "", C822 &amp; "!" &amp; CHAR(65+MATCH(B822, params!$B$2:$R$2, 0)))</f>
        <v/>
      </c>
      <c r="E822" s="5" t="str">
        <f ca="1">IF(B822="", "", COUNTA(INDIRECT(D822 &amp; 3):INDIRECT(D822 &amp; 24)))</f>
        <v/>
      </c>
      <c r="F822" s="5" t="str">
        <f t="shared" si="26"/>
        <v/>
      </c>
      <c r="G822" s="5" t="str">
        <f>IF(F822="", "", IF(B822&lt;&gt;"", MATCH(B822, params!$B$2:$R$2, 0), G821))</f>
        <v/>
      </c>
      <c r="H822" s="5" t="str">
        <f t="shared" ca="1" si="27"/>
        <v/>
      </c>
      <c r="M822" s="2"/>
    </row>
    <row r="823" spans="2:13" ht="15.6" x14ac:dyDescent="0.3">
      <c r="B823" s="5" t="str">
        <f>IF(COUNTIF(data_val!$E$3:$E$5, sample_log!$E823), sample_log!$C823 &amp; "_" &amp; sample_log!$D823, "")</f>
        <v/>
      </c>
      <c r="C823" s="5" t="str">
        <f>IF(B823="", IF(F823="", "", C822), IF(sample_log!E823="Triennial SASS", "tri_params", "params"))</f>
        <v/>
      </c>
      <c r="D823" s="5" t="str">
        <f>IF(B823="", "", C823 &amp; "!" &amp; CHAR(65+MATCH(B823, params!$B$2:$R$2, 0)))</f>
        <v/>
      </c>
      <c r="E823" s="5" t="str">
        <f ca="1">IF(B823="", "", COUNTA(INDIRECT(D823 &amp; 3):INDIRECT(D823 &amp; 24)))</f>
        <v/>
      </c>
      <c r="F823" s="5" t="str">
        <f t="shared" si="26"/>
        <v/>
      </c>
      <c r="G823" s="5" t="str">
        <f>IF(F823="", "", IF(B823&lt;&gt;"", MATCH(B823, params!$B$2:$R$2, 0), G822))</f>
        <v/>
      </c>
      <c r="H823" s="5" t="str">
        <f t="shared" ca="1" si="27"/>
        <v/>
      </c>
      <c r="M823" s="2"/>
    </row>
    <row r="824" spans="2:13" ht="15.6" x14ac:dyDescent="0.3">
      <c r="B824" s="5" t="str">
        <f>IF(COUNTIF(data_val!$E$3:$E$5, sample_log!$E824), sample_log!$C824 &amp; "_" &amp; sample_log!$D824, "")</f>
        <v/>
      </c>
      <c r="C824" s="5" t="str">
        <f>IF(B824="", IF(F824="", "", C823), IF(sample_log!E824="Triennial SASS", "tri_params", "params"))</f>
        <v/>
      </c>
      <c r="D824" s="5" t="str">
        <f>IF(B824="", "", C824 &amp; "!" &amp; CHAR(65+MATCH(B824, params!$B$2:$R$2, 0)))</f>
        <v/>
      </c>
      <c r="E824" s="5" t="str">
        <f ca="1">IF(B824="", "", COUNTA(INDIRECT(D824 &amp; 3):INDIRECT(D824 &amp; 24)))</f>
        <v/>
      </c>
      <c r="F824" s="5" t="str">
        <f t="shared" si="26"/>
        <v/>
      </c>
      <c r="G824" s="5" t="str">
        <f>IF(F824="", "", IF(B824&lt;&gt;"", MATCH(B824, params!$B$2:$R$2, 0), G823))</f>
        <v/>
      </c>
      <c r="H824" s="5" t="str">
        <f t="shared" ca="1" si="27"/>
        <v/>
      </c>
      <c r="M824" s="2"/>
    </row>
    <row r="825" spans="2:13" ht="15.6" x14ac:dyDescent="0.3">
      <c r="B825" s="5" t="str">
        <f>IF(COUNTIF(data_val!$E$3:$E$5, sample_log!$E825), sample_log!$C825 &amp; "_" &amp; sample_log!$D825, "")</f>
        <v/>
      </c>
      <c r="C825" s="5" t="str">
        <f>IF(B825="", IF(F825="", "", C824), IF(sample_log!E825="Triennial SASS", "tri_params", "params"))</f>
        <v/>
      </c>
      <c r="D825" s="5" t="str">
        <f>IF(B825="", "", C825 &amp; "!" &amp; CHAR(65+MATCH(B825, params!$B$2:$R$2, 0)))</f>
        <v/>
      </c>
      <c r="E825" s="5" t="str">
        <f ca="1">IF(B825="", "", COUNTA(INDIRECT(D825 &amp; 3):INDIRECT(D825 &amp; 24)))</f>
        <v/>
      </c>
      <c r="F825" s="5" t="str">
        <f t="shared" si="26"/>
        <v/>
      </c>
      <c r="G825" s="5" t="str">
        <f>IF(F825="", "", IF(B825&lt;&gt;"", MATCH(B825, params!$B$2:$R$2, 0), G824))</f>
        <v/>
      </c>
      <c r="H825" s="5" t="str">
        <f t="shared" ca="1" si="27"/>
        <v/>
      </c>
      <c r="M825" s="2"/>
    </row>
    <row r="826" spans="2:13" ht="15.6" x14ac:dyDescent="0.3">
      <c r="B826" s="5" t="str">
        <f>IF(COUNTIF(data_val!$E$3:$E$5, sample_log!$E826), sample_log!$C826 &amp; "_" &amp; sample_log!$D826, "")</f>
        <v/>
      </c>
      <c r="C826" s="5" t="str">
        <f>IF(B826="", IF(F826="", "", C825), IF(sample_log!E826="Triennial SASS", "tri_params", "params"))</f>
        <v/>
      </c>
      <c r="D826" s="5" t="str">
        <f>IF(B826="", "", C826 &amp; "!" &amp; CHAR(65+MATCH(B826, params!$B$2:$R$2, 0)))</f>
        <v/>
      </c>
      <c r="E826" s="5" t="str">
        <f ca="1">IF(B826="", "", COUNTA(INDIRECT(D826 &amp; 3):INDIRECT(D826 &amp; 24)))</f>
        <v/>
      </c>
      <c r="F826" s="5" t="str">
        <f t="shared" si="26"/>
        <v/>
      </c>
      <c r="G826" s="5" t="str">
        <f>IF(F826="", "", IF(B826&lt;&gt;"", MATCH(B826, params!$B$2:$R$2, 0), G825))</f>
        <v/>
      </c>
      <c r="H826" s="5" t="str">
        <f t="shared" ca="1" si="27"/>
        <v/>
      </c>
      <c r="M826" s="2"/>
    </row>
    <row r="827" spans="2:13" ht="15.6" x14ac:dyDescent="0.3">
      <c r="B827" s="5" t="str">
        <f>IF(COUNTIF(data_val!$E$3:$E$5, sample_log!$E827), sample_log!$C827 &amp; "_" &amp; sample_log!$D827, "")</f>
        <v/>
      </c>
      <c r="C827" s="5" t="str">
        <f>IF(B827="", IF(F827="", "", C826), IF(sample_log!E827="Triennial SASS", "tri_params", "params"))</f>
        <v/>
      </c>
      <c r="D827" s="5" t="str">
        <f>IF(B827="", "", C827 &amp; "!" &amp; CHAR(65+MATCH(B827, params!$B$2:$R$2, 0)))</f>
        <v/>
      </c>
      <c r="E827" s="5" t="str">
        <f ca="1">IF(B827="", "", COUNTA(INDIRECT(D827 &amp; 3):INDIRECT(D827 &amp; 24)))</f>
        <v/>
      </c>
      <c r="F827" s="5" t="str">
        <f t="shared" si="26"/>
        <v/>
      </c>
      <c r="G827" s="5" t="str">
        <f>IF(F827="", "", IF(B827&lt;&gt;"", MATCH(B827, params!$B$2:$R$2, 0), G826))</f>
        <v/>
      </c>
      <c r="H827" s="5" t="str">
        <f t="shared" ca="1" si="27"/>
        <v/>
      </c>
      <c r="M827" s="2"/>
    </row>
    <row r="828" spans="2:13" ht="15.6" x14ac:dyDescent="0.3">
      <c r="B828" s="5" t="str">
        <f>IF(COUNTIF(data_val!$E$3:$E$5, sample_log!$E828), sample_log!$C828 &amp; "_" &amp; sample_log!$D828, "")</f>
        <v/>
      </c>
      <c r="C828" s="5" t="str">
        <f>IF(B828="", IF(F828="", "", C827), IF(sample_log!E828="Triennial SASS", "tri_params", "params"))</f>
        <v/>
      </c>
      <c r="D828" s="5" t="str">
        <f>IF(B828="", "", C828 &amp; "!" &amp; CHAR(65+MATCH(B828, params!$B$2:$R$2, 0)))</f>
        <v/>
      </c>
      <c r="E828" s="5" t="str">
        <f ca="1">IF(B828="", "", COUNTA(INDIRECT(D828 &amp; 3):INDIRECT(D828 &amp; 24)))</f>
        <v/>
      </c>
      <c r="F828" s="5" t="str">
        <f t="shared" si="26"/>
        <v/>
      </c>
      <c r="G828" s="5" t="str">
        <f>IF(F828="", "", IF(B828&lt;&gt;"", MATCH(B828, params!$B$2:$R$2, 0), G827))</f>
        <v/>
      </c>
      <c r="H828" s="5" t="str">
        <f t="shared" ca="1" si="27"/>
        <v/>
      </c>
      <c r="M828" s="2"/>
    </row>
    <row r="829" spans="2:13" ht="15.6" x14ac:dyDescent="0.3">
      <c r="B829" s="5" t="str">
        <f>IF(COUNTIF(data_val!$E$3:$E$5, sample_log!$E829), sample_log!$C829 &amp; "_" &amp; sample_log!$D829, "")</f>
        <v/>
      </c>
      <c r="C829" s="5" t="str">
        <f>IF(B829="", IF(F829="", "", C828), IF(sample_log!E829="Triennial SASS", "tri_params", "params"))</f>
        <v/>
      </c>
      <c r="D829" s="5" t="str">
        <f>IF(B829="", "", C829 &amp; "!" &amp; CHAR(65+MATCH(B829, params!$B$2:$R$2, 0)))</f>
        <v/>
      </c>
      <c r="E829" s="5" t="str">
        <f ca="1">IF(B829="", "", COUNTA(INDIRECT(D829 &amp; 3):INDIRECT(D829 &amp; 24)))</f>
        <v/>
      </c>
      <c r="F829" s="5" t="str">
        <f t="shared" si="26"/>
        <v/>
      </c>
      <c r="G829" s="5" t="str">
        <f>IF(F829="", "", IF(B829&lt;&gt;"", MATCH(B829, params!$B$2:$R$2, 0), G828))</f>
        <v/>
      </c>
      <c r="H829" s="5" t="str">
        <f t="shared" ca="1" si="27"/>
        <v/>
      </c>
      <c r="M829" s="2"/>
    </row>
    <row r="830" spans="2:13" ht="15.6" x14ac:dyDescent="0.3">
      <c r="B830" s="5" t="str">
        <f>IF(COUNTIF(data_val!$E$3:$E$5, sample_log!$E830), sample_log!$C830 &amp; "_" &amp; sample_log!$D830, "")</f>
        <v/>
      </c>
      <c r="C830" s="5" t="str">
        <f>IF(B830="", IF(F830="", "", C829), IF(sample_log!E830="Triennial SASS", "tri_params", "params"))</f>
        <v/>
      </c>
      <c r="D830" s="5" t="str">
        <f>IF(B830="", "", C830 &amp; "!" &amp; CHAR(65+MATCH(B830, params!$B$2:$R$2, 0)))</f>
        <v/>
      </c>
      <c r="E830" s="5" t="str">
        <f ca="1">IF(B830="", "", COUNTA(INDIRECT(D830 &amp; 3):INDIRECT(D830 &amp; 24)))</f>
        <v/>
      </c>
      <c r="F830" s="5" t="str">
        <f t="shared" si="26"/>
        <v/>
      </c>
      <c r="G830" s="5" t="str">
        <f>IF(F830="", "", IF(B830&lt;&gt;"", MATCH(B830, params!$B$2:$R$2, 0), G829))</f>
        <v/>
      </c>
      <c r="H830" s="5" t="str">
        <f t="shared" ca="1" si="27"/>
        <v/>
      </c>
      <c r="M830" s="2"/>
    </row>
    <row r="831" spans="2:13" ht="15.6" x14ac:dyDescent="0.3">
      <c r="B831" s="5" t="str">
        <f>IF(COUNTIF(data_val!$E$3:$E$5, sample_log!$E831), sample_log!$C831 &amp; "_" &amp; sample_log!$D831, "")</f>
        <v/>
      </c>
      <c r="C831" s="5" t="str">
        <f>IF(B831="", IF(F831="", "", C830), IF(sample_log!E831="Triennial SASS", "tri_params", "params"))</f>
        <v/>
      </c>
      <c r="D831" s="5" t="str">
        <f>IF(B831="", "", C831 &amp; "!" &amp; CHAR(65+MATCH(B831, params!$B$2:$R$2, 0)))</f>
        <v/>
      </c>
      <c r="E831" s="5" t="str">
        <f ca="1">IF(B831="", "", COUNTA(INDIRECT(D831 &amp; 3):INDIRECT(D831 &amp; 24)))</f>
        <v/>
      </c>
      <c r="F831" s="5" t="str">
        <f t="shared" si="26"/>
        <v/>
      </c>
      <c r="G831" s="5" t="str">
        <f>IF(F831="", "", IF(B831&lt;&gt;"", MATCH(B831, params!$B$2:$R$2, 0), G830))</f>
        <v/>
      </c>
      <c r="H831" s="5" t="str">
        <f t="shared" ca="1" si="27"/>
        <v/>
      </c>
      <c r="M831" s="2"/>
    </row>
    <row r="832" spans="2:13" ht="15.6" x14ac:dyDescent="0.3">
      <c r="B832" s="5" t="str">
        <f>IF(COUNTIF(data_val!$E$3:$E$5, sample_log!$E832), sample_log!$C832 &amp; "_" &amp; sample_log!$D832, "")</f>
        <v/>
      </c>
      <c r="C832" s="5" t="str">
        <f>IF(B832="", IF(F832="", "", C831), IF(sample_log!E832="Triennial SASS", "tri_params", "params"))</f>
        <v/>
      </c>
      <c r="D832" s="5" t="str">
        <f>IF(B832="", "", C832 &amp; "!" &amp; CHAR(65+MATCH(B832, params!$B$2:$R$2, 0)))</f>
        <v/>
      </c>
      <c r="E832" s="5" t="str">
        <f ca="1">IF(B832="", "", COUNTA(INDIRECT(D832 &amp; 3):INDIRECT(D832 &amp; 24)))</f>
        <v/>
      </c>
      <c r="F832" s="5" t="str">
        <f t="shared" si="26"/>
        <v/>
      </c>
      <c r="G832" s="5" t="str">
        <f>IF(F832="", "", IF(B832&lt;&gt;"", MATCH(B832, params!$B$2:$R$2, 0), G831))</f>
        <v/>
      </c>
      <c r="H832" s="5" t="str">
        <f t="shared" ca="1" si="27"/>
        <v/>
      </c>
      <c r="M832" s="2"/>
    </row>
    <row r="833" spans="2:13" ht="15.6" x14ac:dyDescent="0.3">
      <c r="B833" s="5" t="str">
        <f>IF(COUNTIF(data_val!$E$3:$E$5, sample_log!$E833), sample_log!$C833 &amp; "_" &amp; sample_log!$D833, "")</f>
        <v/>
      </c>
      <c r="C833" s="5" t="str">
        <f>IF(B833="", IF(F833="", "", C832), IF(sample_log!E833="Triennial SASS", "tri_params", "params"))</f>
        <v/>
      </c>
      <c r="D833" s="5" t="str">
        <f>IF(B833="", "", C833 &amp; "!" &amp; CHAR(65+MATCH(B833, params!$B$2:$R$2, 0)))</f>
        <v/>
      </c>
      <c r="E833" s="5" t="str">
        <f ca="1">IF(B833="", "", COUNTA(INDIRECT(D833 &amp; 3):INDIRECT(D833 &amp; 24)))</f>
        <v/>
      </c>
      <c r="F833" s="5" t="str">
        <f t="shared" si="26"/>
        <v/>
      </c>
      <c r="G833" s="5" t="str">
        <f>IF(F833="", "", IF(B833&lt;&gt;"", MATCH(B833, params!$B$2:$R$2, 0), G832))</f>
        <v/>
      </c>
      <c r="H833" s="5" t="str">
        <f t="shared" ca="1" si="27"/>
        <v/>
      </c>
      <c r="M833" s="2"/>
    </row>
    <row r="834" spans="2:13" ht="15.6" x14ac:dyDescent="0.3">
      <c r="B834" s="5" t="str">
        <f>IF(COUNTIF(data_val!$E$3:$E$5, sample_log!$E834), sample_log!$C834 &amp; "_" &amp; sample_log!$D834, "")</f>
        <v/>
      </c>
      <c r="C834" s="5" t="str">
        <f>IF(B834="", IF(F834="", "", C833), IF(sample_log!E834="Triennial SASS", "tri_params", "params"))</f>
        <v/>
      </c>
      <c r="D834" s="5" t="str">
        <f>IF(B834="", "", C834 &amp; "!" &amp; CHAR(65+MATCH(B834, params!$B$2:$R$2, 0)))</f>
        <v/>
      </c>
      <c r="E834" s="5" t="str">
        <f ca="1">IF(B834="", "", COUNTA(INDIRECT(D834 &amp; 3):INDIRECT(D834 &amp; 24)))</f>
        <v/>
      </c>
      <c r="F834" s="5" t="str">
        <f t="shared" si="26"/>
        <v/>
      </c>
      <c r="G834" s="5" t="str">
        <f>IF(F834="", "", IF(B834&lt;&gt;"", MATCH(B834, params!$B$2:$R$2, 0), G833))</f>
        <v/>
      </c>
      <c r="H834" s="5" t="str">
        <f t="shared" ca="1" si="27"/>
        <v/>
      </c>
      <c r="M834" s="2"/>
    </row>
    <row r="835" spans="2:13" ht="15.6" x14ac:dyDescent="0.3">
      <c r="B835" s="5" t="str">
        <f>IF(COUNTIF(data_val!$E$3:$E$5, sample_log!$E835), sample_log!$C835 &amp; "_" &amp; sample_log!$D835, "")</f>
        <v/>
      </c>
      <c r="C835" s="5" t="str">
        <f>IF(B835="", IF(F835="", "", C834), IF(sample_log!E835="Triennial SASS", "tri_params", "params"))</f>
        <v/>
      </c>
      <c r="D835" s="5" t="str">
        <f>IF(B835="", "", C835 &amp; "!" &amp; CHAR(65+MATCH(B835, params!$B$2:$R$2, 0)))</f>
        <v/>
      </c>
      <c r="E835" s="5" t="str">
        <f ca="1">IF(B835="", "", COUNTA(INDIRECT(D835 &amp; 3):INDIRECT(D835 &amp; 24)))</f>
        <v/>
      </c>
      <c r="F835" s="5" t="str">
        <f t="shared" ref="F835:F898" si="28">IF(B835="", IF(NOT(ISNUMBER(F834)), "", IF(F834-1&gt;0, F834-1, "")), E835)</f>
        <v/>
      </c>
      <c r="G835" s="5" t="str">
        <f>IF(F835="", "", IF(B835&lt;&gt;"", MATCH(B835, params!$B$2:$R$2, 0), G834))</f>
        <v/>
      </c>
      <c r="H835" s="5" t="str">
        <f t="shared" ca="1" si="27"/>
        <v/>
      </c>
      <c r="M835" s="2"/>
    </row>
    <row r="836" spans="2:13" ht="15.6" x14ac:dyDescent="0.3">
      <c r="B836" s="5" t="str">
        <f>IF(COUNTIF(data_val!$E$3:$E$5, sample_log!$E836), sample_log!$C836 &amp; "_" &amp; sample_log!$D836, "")</f>
        <v/>
      </c>
      <c r="C836" s="5" t="str">
        <f>IF(B836="", IF(F836="", "", C835), IF(sample_log!E836="Triennial SASS", "tri_params", "params"))</f>
        <v/>
      </c>
      <c r="D836" s="5" t="str">
        <f>IF(B836="", "", C836 &amp; "!" &amp; CHAR(65+MATCH(B836, params!$B$2:$R$2, 0)))</f>
        <v/>
      </c>
      <c r="E836" s="5" t="str">
        <f ca="1">IF(B836="", "", COUNTA(INDIRECT(D836 &amp; 3):INDIRECT(D836 &amp; 24)))</f>
        <v/>
      </c>
      <c r="F836" s="5" t="str">
        <f t="shared" si="28"/>
        <v/>
      </c>
      <c r="G836" s="5" t="str">
        <f>IF(F836="", "", IF(B836&lt;&gt;"", MATCH(B836, params!$B$2:$R$2, 0), G835))</f>
        <v/>
      </c>
      <c r="H836" s="5" t="str">
        <f t="shared" ca="1" si="27"/>
        <v/>
      </c>
      <c r="M836" s="2"/>
    </row>
    <row r="837" spans="2:13" ht="15.6" x14ac:dyDescent="0.3">
      <c r="B837" s="5" t="str">
        <f>IF(COUNTIF(data_val!$E$3:$E$5, sample_log!$E837), sample_log!$C837 &amp; "_" &amp; sample_log!$D837, "")</f>
        <v/>
      </c>
      <c r="C837" s="5" t="str">
        <f>IF(B837="", IF(F837="", "", C836), IF(sample_log!E837="Triennial SASS", "tri_params", "params"))</f>
        <v/>
      </c>
      <c r="D837" s="5" t="str">
        <f>IF(B837="", "", C837 &amp; "!" &amp; CHAR(65+MATCH(B837, params!$B$2:$R$2, 0)))</f>
        <v/>
      </c>
      <c r="E837" s="5" t="str">
        <f ca="1">IF(B837="", "", COUNTA(INDIRECT(D837 &amp; 3):INDIRECT(D837 &amp; 24)))</f>
        <v/>
      </c>
      <c r="F837" s="5" t="str">
        <f t="shared" si="28"/>
        <v/>
      </c>
      <c r="G837" s="5" t="str">
        <f>IF(F837="", "", IF(B837&lt;&gt;"", MATCH(B837, params!$B$2:$R$2, 0), G836))</f>
        <v/>
      </c>
      <c r="H837" s="5" t="str">
        <f t="shared" ca="1" si="27"/>
        <v/>
      </c>
      <c r="M837" s="2"/>
    </row>
    <row r="838" spans="2:13" ht="15.6" x14ac:dyDescent="0.3">
      <c r="B838" s="5" t="str">
        <f>IF(COUNTIF(data_val!$E$3:$E$5, sample_log!$E838), sample_log!$C838 &amp; "_" &amp; sample_log!$D838, "")</f>
        <v/>
      </c>
      <c r="C838" s="5" t="str">
        <f>IF(B838="", IF(F838="", "", C837), IF(sample_log!E838="Triennial SASS", "tri_params", "params"))</f>
        <v/>
      </c>
      <c r="D838" s="5" t="str">
        <f>IF(B838="", "", C838 &amp; "!" &amp; CHAR(65+MATCH(B838, params!$B$2:$R$2, 0)))</f>
        <v/>
      </c>
      <c r="E838" s="5" t="str">
        <f ca="1">IF(B838="", "", COUNTA(INDIRECT(D838 &amp; 3):INDIRECT(D838 &amp; 24)))</f>
        <v/>
      </c>
      <c r="F838" s="5" t="str">
        <f t="shared" si="28"/>
        <v/>
      </c>
      <c r="G838" s="5" t="str">
        <f>IF(F838="", "", IF(B838&lt;&gt;"", MATCH(B838, params!$B$2:$R$2, 0), G837))</f>
        <v/>
      </c>
      <c r="H838" s="5" t="str">
        <f t="shared" ca="1" si="27"/>
        <v/>
      </c>
      <c r="M838" s="2"/>
    </row>
    <row r="839" spans="2:13" ht="15.6" x14ac:dyDescent="0.3">
      <c r="B839" s="5" t="str">
        <f>IF(COUNTIF(data_val!$E$3:$E$5, sample_log!$E839), sample_log!$C839 &amp; "_" &amp; sample_log!$D839, "")</f>
        <v/>
      </c>
      <c r="C839" s="5" t="str">
        <f>IF(B839="", IF(F839="", "", C838), IF(sample_log!E839="Triennial SASS", "tri_params", "params"))</f>
        <v/>
      </c>
      <c r="D839" s="5" t="str">
        <f>IF(B839="", "", C839 &amp; "!" &amp; CHAR(65+MATCH(B839, params!$B$2:$R$2, 0)))</f>
        <v/>
      </c>
      <c r="E839" s="5" t="str">
        <f ca="1">IF(B839="", "", COUNTA(INDIRECT(D839 &amp; 3):INDIRECT(D839 &amp; 24)))</f>
        <v/>
      </c>
      <c r="F839" s="5" t="str">
        <f t="shared" si="28"/>
        <v/>
      </c>
      <c r="G839" s="5" t="str">
        <f>IF(F839="", "", IF(B839&lt;&gt;"", MATCH(B839, params!$B$2:$R$2, 0), G838))</f>
        <v/>
      </c>
      <c r="H839" s="5" t="str">
        <f t="shared" ca="1" si="27"/>
        <v/>
      </c>
      <c r="M839" s="2"/>
    </row>
    <row r="840" spans="2:13" ht="15.6" x14ac:dyDescent="0.3">
      <c r="B840" s="5" t="str">
        <f>IF(COUNTIF(data_val!$E$3:$E$5, sample_log!$E840), sample_log!$C840 &amp; "_" &amp; sample_log!$D840, "")</f>
        <v/>
      </c>
      <c r="C840" s="5" t="str">
        <f>IF(B840="", IF(F840="", "", C839), IF(sample_log!E840="Triennial SASS", "tri_params", "params"))</f>
        <v/>
      </c>
      <c r="D840" s="5" t="str">
        <f>IF(B840="", "", C840 &amp; "!" &amp; CHAR(65+MATCH(B840, params!$B$2:$R$2, 0)))</f>
        <v/>
      </c>
      <c r="E840" s="5" t="str">
        <f ca="1">IF(B840="", "", COUNTA(INDIRECT(D840 &amp; 3):INDIRECT(D840 &amp; 24)))</f>
        <v/>
      </c>
      <c r="F840" s="5" t="str">
        <f t="shared" si="28"/>
        <v/>
      </c>
      <c r="G840" s="5" t="str">
        <f>IF(F840="", "", IF(B840&lt;&gt;"", MATCH(B840, params!$B$2:$R$2, 0), G839))</f>
        <v/>
      </c>
      <c r="H840" s="5" t="str">
        <f t="shared" ca="1" si="27"/>
        <v/>
      </c>
      <c r="M840" s="2"/>
    </row>
    <row r="841" spans="2:13" ht="15.6" x14ac:dyDescent="0.3">
      <c r="B841" s="5" t="str">
        <f>IF(COUNTIF(data_val!$E$3:$E$5, sample_log!$E841), sample_log!$C841 &amp; "_" &amp; sample_log!$D841, "")</f>
        <v/>
      </c>
      <c r="C841" s="5" t="str">
        <f>IF(B841="", IF(F841="", "", C840), IF(sample_log!E841="Triennial SASS", "tri_params", "params"))</f>
        <v/>
      </c>
      <c r="D841" s="5" t="str">
        <f>IF(B841="", "", C841 &amp; "!" &amp; CHAR(65+MATCH(B841, params!$B$2:$R$2, 0)))</f>
        <v/>
      </c>
      <c r="E841" s="5" t="str">
        <f ca="1">IF(B841="", "", COUNTA(INDIRECT(D841 &amp; 3):INDIRECT(D841 &amp; 24)))</f>
        <v/>
      </c>
      <c r="F841" s="5" t="str">
        <f t="shared" si="28"/>
        <v/>
      </c>
      <c r="G841" s="5" t="str">
        <f>IF(F841="", "", IF(B841&lt;&gt;"", MATCH(B841, params!$B$2:$R$2, 0), G840))</f>
        <v/>
      </c>
      <c r="H841" s="5" t="str">
        <f t="shared" ca="1" si="27"/>
        <v/>
      </c>
      <c r="M841" s="2"/>
    </row>
    <row r="842" spans="2:13" ht="15.6" x14ac:dyDescent="0.3">
      <c r="B842" s="5" t="str">
        <f>IF(COUNTIF(data_val!$E$3:$E$5, sample_log!$E842), sample_log!$C842 &amp; "_" &amp; sample_log!$D842, "")</f>
        <v/>
      </c>
      <c r="C842" s="5" t="str">
        <f>IF(B842="", IF(F842="", "", C841), IF(sample_log!E842="Triennial SASS", "tri_params", "params"))</f>
        <v/>
      </c>
      <c r="D842" s="5" t="str">
        <f>IF(B842="", "", C842 &amp; "!" &amp; CHAR(65+MATCH(B842, params!$B$2:$R$2, 0)))</f>
        <v/>
      </c>
      <c r="E842" s="5" t="str">
        <f ca="1">IF(B842="", "", COUNTA(INDIRECT(D842 &amp; 3):INDIRECT(D842 &amp; 24)))</f>
        <v/>
      </c>
      <c r="F842" s="5" t="str">
        <f t="shared" si="28"/>
        <v/>
      </c>
      <c r="G842" s="5" t="str">
        <f>IF(F842="", "", IF(B842&lt;&gt;"", MATCH(B842, params!$B$2:$R$2, 0), G841))</f>
        <v/>
      </c>
      <c r="H842" s="5" t="str">
        <f t="shared" ca="1" si="27"/>
        <v/>
      </c>
      <c r="M842" s="2"/>
    </row>
    <row r="843" spans="2:13" ht="15.6" x14ac:dyDescent="0.3">
      <c r="B843" s="5" t="str">
        <f>IF(COUNTIF(data_val!$E$3:$E$5, sample_log!$E843), sample_log!$C843 &amp; "_" &amp; sample_log!$D843, "")</f>
        <v/>
      </c>
      <c r="C843" s="5" t="str">
        <f>IF(B843="", IF(F843="", "", C842), IF(sample_log!E843="Triennial SASS", "tri_params", "params"))</f>
        <v/>
      </c>
      <c r="D843" s="5" t="str">
        <f>IF(B843="", "", C843 &amp; "!" &amp; CHAR(65+MATCH(B843, params!$B$2:$R$2, 0)))</f>
        <v/>
      </c>
      <c r="E843" s="5" t="str">
        <f ca="1">IF(B843="", "", COUNTA(INDIRECT(D843 &amp; 3):INDIRECT(D843 &amp; 24)))</f>
        <v/>
      </c>
      <c r="F843" s="5" t="str">
        <f t="shared" si="28"/>
        <v/>
      </c>
      <c r="G843" s="5" t="str">
        <f>IF(F843="", "", IF(B843&lt;&gt;"", MATCH(B843, params!$B$2:$R$2, 0), G842))</f>
        <v/>
      </c>
      <c r="H843" s="5" t="str">
        <f t="shared" ca="1" si="27"/>
        <v/>
      </c>
      <c r="M843" s="2"/>
    </row>
    <row r="844" spans="2:13" ht="15.6" x14ac:dyDescent="0.3">
      <c r="B844" s="5" t="str">
        <f>IF(COUNTIF(data_val!$E$3:$E$5, sample_log!$E844), sample_log!$C844 &amp; "_" &amp; sample_log!$D844, "")</f>
        <v/>
      </c>
      <c r="C844" s="5" t="str">
        <f>IF(B844="", IF(F844="", "", C843), IF(sample_log!E844="Triennial SASS", "tri_params", "params"))</f>
        <v/>
      </c>
      <c r="D844" s="5" t="str">
        <f>IF(B844="", "", C844 &amp; "!" &amp; CHAR(65+MATCH(B844, params!$B$2:$R$2, 0)))</f>
        <v/>
      </c>
      <c r="E844" s="5" t="str">
        <f ca="1">IF(B844="", "", COUNTA(INDIRECT(D844 &amp; 3):INDIRECT(D844 &amp; 24)))</f>
        <v/>
      </c>
      <c r="F844" s="5" t="str">
        <f t="shared" si="28"/>
        <v/>
      </c>
      <c r="G844" s="5" t="str">
        <f>IF(F844="", "", IF(B844&lt;&gt;"", MATCH(B844, params!$B$2:$R$2, 0), G843))</f>
        <v/>
      </c>
      <c r="H844" s="5" t="str">
        <f t="shared" ca="1" si="27"/>
        <v/>
      </c>
      <c r="M844" s="2"/>
    </row>
    <row r="845" spans="2:13" ht="15.6" x14ac:dyDescent="0.3">
      <c r="B845" s="5" t="str">
        <f>IF(COUNTIF(data_val!$E$3:$E$5, sample_log!$E845), sample_log!$C845 &amp; "_" &amp; sample_log!$D845, "")</f>
        <v/>
      </c>
      <c r="C845" s="5" t="str">
        <f>IF(B845="", IF(F845="", "", C844), IF(sample_log!E845="Triennial SASS", "tri_params", "params"))</f>
        <v/>
      </c>
      <c r="D845" s="5" t="str">
        <f>IF(B845="", "", C845 &amp; "!" &amp; CHAR(65+MATCH(B845, params!$B$2:$R$2, 0)))</f>
        <v/>
      </c>
      <c r="E845" s="5" t="str">
        <f ca="1">IF(B845="", "", COUNTA(INDIRECT(D845 &amp; 3):INDIRECT(D845 &amp; 24)))</f>
        <v/>
      </c>
      <c r="F845" s="5" t="str">
        <f t="shared" si="28"/>
        <v/>
      </c>
      <c r="G845" s="5" t="str">
        <f>IF(F845="", "", IF(B845&lt;&gt;"", MATCH(B845, params!$B$2:$R$2, 0), G844))</f>
        <v/>
      </c>
      <c r="H845" s="5" t="str">
        <f t="shared" ca="1" si="27"/>
        <v/>
      </c>
      <c r="M845" s="2"/>
    </row>
    <row r="846" spans="2:13" ht="15.6" x14ac:dyDescent="0.3">
      <c r="B846" s="5" t="str">
        <f>IF(COUNTIF(data_val!$E$3:$E$5, sample_log!$E846), sample_log!$C846 &amp; "_" &amp; sample_log!$D846, "")</f>
        <v/>
      </c>
      <c r="C846" s="5" t="str">
        <f>IF(B846="", IF(F846="", "", C845), IF(sample_log!E846="Triennial SASS", "tri_params", "params"))</f>
        <v/>
      </c>
      <c r="D846" s="5" t="str">
        <f>IF(B846="", "", C846 &amp; "!" &amp; CHAR(65+MATCH(B846, params!$B$2:$R$2, 0)))</f>
        <v/>
      </c>
      <c r="E846" s="5" t="str">
        <f ca="1">IF(B846="", "", COUNTA(INDIRECT(D846 &amp; 3):INDIRECT(D846 &amp; 24)))</f>
        <v/>
      </c>
      <c r="F846" s="5" t="str">
        <f t="shared" si="28"/>
        <v/>
      </c>
      <c r="G846" s="5" t="str">
        <f>IF(F846="", "", IF(B846&lt;&gt;"", MATCH(B846, params!$B$2:$R$2, 0), G845))</f>
        <v/>
      </c>
      <c r="H846" s="5" t="str">
        <f t="shared" ca="1" si="27"/>
        <v/>
      </c>
      <c r="M846" s="2"/>
    </row>
    <row r="847" spans="2:13" ht="15.6" x14ac:dyDescent="0.3">
      <c r="B847" s="5" t="str">
        <f>IF(COUNTIF(data_val!$E$3:$E$5, sample_log!$E847), sample_log!$C847 &amp; "_" &amp; sample_log!$D847, "")</f>
        <v/>
      </c>
      <c r="C847" s="5" t="str">
        <f>IF(B847="", IF(F847="", "", C846), IF(sample_log!E847="Triennial SASS", "tri_params", "params"))</f>
        <v/>
      </c>
      <c r="D847" s="5" t="str">
        <f>IF(B847="", "", C847 &amp; "!" &amp; CHAR(65+MATCH(B847, params!$B$2:$R$2, 0)))</f>
        <v/>
      </c>
      <c r="E847" s="5" t="str">
        <f ca="1">IF(B847="", "", COUNTA(INDIRECT(D847 &amp; 3):INDIRECT(D847 &amp; 24)))</f>
        <v/>
      </c>
      <c r="F847" s="5" t="str">
        <f t="shared" si="28"/>
        <v/>
      </c>
      <c r="G847" s="5" t="str">
        <f>IF(F847="", "", IF(B847&lt;&gt;"", MATCH(B847, params!$B$2:$R$2, 0), G846))</f>
        <v/>
      </c>
      <c r="H847" s="5" t="str">
        <f t="shared" ca="1" si="27"/>
        <v/>
      </c>
      <c r="M847" s="2"/>
    </row>
    <row r="848" spans="2:13" ht="15.6" x14ac:dyDescent="0.3">
      <c r="B848" s="5" t="str">
        <f>IF(COUNTIF(data_val!$E$3:$E$5, sample_log!$E848), sample_log!$C848 &amp; "_" &amp; sample_log!$D848, "")</f>
        <v/>
      </c>
      <c r="C848" s="5" t="str">
        <f>IF(B848="", IF(F848="", "", C847), IF(sample_log!E848="Triennial SASS", "tri_params", "params"))</f>
        <v/>
      </c>
      <c r="D848" s="5" t="str">
        <f>IF(B848="", "", C848 &amp; "!" &amp; CHAR(65+MATCH(B848, params!$B$2:$R$2, 0)))</f>
        <v/>
      </c>
      <c r="E848" s="5" t="str">
        <f ca="1">IF(B848="", "", COUNTA(INDIRECT(D848 &amp; 3):INDIRECT(D848 &amp; 24)))</f>
        <v/>
      </c>
      <c r="F848" s="5" t="str">
        <f t="shared" si="28"/>
        <v/>
      </c>
      <c r="G848" s="5" t="str">
        <f>IF(F848="", "", IF(B848&lt;&gt;"", MATCH(B848, params!$B$2:$R$2, 0), G847))</f>
        <v/>
      </c>
      <c r="H848" s="5" t="str">
        <f t="shared" ca="1" si="27"/>
        <v/>
      </c>
      <c r="M848" s="2"/>
    </row>
    <row r="849" spans="2:13" ht="15.6" x14ac:dyDescent="0.3">
      <c r="B849" s="5" t="str">
        <f>IF(COUNTIF(data_val!$E$3:$E$5, sample_log!$E849), sample_log!$C849 &amp; "_" &amp; sample_log!$D849, "")</f>
        <v/>
      </c>
      <c r="C849" s="5" t="str">
        <f>IF(B849="", IF(F849="", "", C848), IF(sample_log!E849="Triennial SASS", "tri_params", "params"))</f>
        <v/>
      </c>
      <c r="D849" s="5" t="str">
        <f>IF(B849="", "", C849 &amp; "!" &amp; CHAR(65+MATCH(B849, params!$B$2:$R$2, 0)))</f>
        <v/>
      </c>
      <c r="E849" s="5" t="str">
        <f ca="1">IF(B849="", "", COUNTA(INDIRECT(D849 &amp; 3):INDIRECT(D849 &amp; 24)))</f>
        <v/>
      </c>
      <c r="F849" s="5" t="str">
        <f t="shared" si="28"/>
        <v/>
      </c>
      <c r="G849" s="5" t="str">
        <f>IF(F849="", "", IF(B849&lt;&gt;"", MATCH(B849, params!$B$2:$R$2, 0), G848))</f>
        <v/>
      </c>
      <c r="H849" s="5" t="str">
        <f t="shared" ca="1" si="27"/>
        <v/>
      </c>
      <c r="M849" s="2"/>
    </row>
    <row r="850" spans="2:13" ht="15.6" x14ac:dyDescent="0.3">
      <c r="B850" s="5" t="str">
        <f>IF(COUNTIF(data_val!$E$3:$E$5, sample_log!$E850), sample_log!$C850 &amp; "_" &amp; sample_log!$D850, "")</f>
        <v/>
      </c>
      <c r="C850" s="5" t="str">
        <f>IF(B850="", IF(F850="", "", C849), IF(sample_log!E850="Triennial SASS", "tri_params", "params"))</f>
        <v/>
      </c>
      <c r="D850" s="5" t="str">
        <f>IF(B850="", "", C850 &amp; "!" &amp; CHAR(65+MATCH(B850, params!$B$2:$R$2, 0)))</f>
        <v/>
      </c>
      <c r="E850" s="5" t="str">
        <f ca="1">IF(B850="", "", COUNTA(INDIRECT(D850 &amp; 3):INDIRECT(D850 &amp; 24)))</f>
        <v/>
      </c>
      <c r="F850" s="5" t="str">
        <f t="shared" si="28"/>
        <v/>
      </c>
      <c r="G850" s="5" t="str">
        <f>IF(F850="", "", IF(B850&lt;&gt;"", MATCH(B850, params!$B$2:$R$2, 0), G849))</f>
        <v/>
      </c>
      <c r="H850" s="5" t="str">
        <f t="shared" ca="1" si="27"/>
        <v/>
      </c>
      <c r="M850" s="2"/>
    </row>
    <row r="851" spans="2:13" ht="15.6" x14ac:dyDescent="0.3">
      <c r="B851" s="5" t="str">
        <f>IF(COUNTIF(data_val!$E$3:$E$5, sample_log!$E851), sample_log!$C851 &amp; "_" &amp; sample_log!$D851, "")</f>
        <v/>
      </c>
      <c r="C851" s="5" t="str">
        <f>IF(B851="", IF(F851="", "", C850), IF(sample_log!E851="Triennial SASS", "tri_params", "params"))</f>
        <v/>
      </c>
      <c r="D851" s="5" t="str">
        <f>IF(B851="", "", C851 &amp; "!" &amp; CHAR(65+MATCH(B851, params!$B$2:$R$2, 0)))</f>
        <v/>
      </c>
      <c r="E851" s="5" t="str">
        <f ca="1">IF(B851="", "", COUNTA(INDIRECT(D851 &amp; 3):INDIRECT(D851 &amp; 24)))</f>
        <v/>
      </c>
      <c r="F851" s="5" t="str">
        <f t="shared" si="28"/>
        <v/>
      </c>
      <c r="G851" s="5" t="str">
        <f>IF(F851="", "", IF(B851&lt;&gt;"", MATCH(B851, params!$B$2:$R$2, 0), G850))</f>
        <v/>
      </c>
      <c r="H851" s="5" t="str">
        <f t="shared" ca="1" si="27"/>
        <v/>
      </c>
      <c r="M851" s="2"/>
    </row>
    <row r="852" spans="2:13" ht="15.6" x14ac:dyDescent="0.3">
      <c r="B852" s="5" t="str">
        <f>IF(COUNTIF(data_val!$E$3:$E$5, sample_log!$E852), sample_log!$C852 &amp; "_" &amp; sample_log!$D852, "")</f>
        <v/>
      </c>
      <c r="C852" s="5" t="str">
        <f>IF(B852="", IF(F852="", "", C851), IF(sample_log!E852="Triennial SASS", "tri_params", "params"))</f>
        <v/>
      </c>
      <c r="D852" s="5" t="str">
        <f>IF(B852="", "", C852 &amp; "!" &amp; CHAR(65+MATCH(B852, params!$B$2:$R$2, 0)))</f>
        <v/>
      </c>
      <c r="E852" s="5" t="str">
        <f ca="1">IF(B852="", "", COUNTA(INDIRECT(D852 &amp; 3):INDIRECT(D852 &amp; 24)))</f>
        <v/>
      </c>
      <c r="F852" s="5" t="str">
        <f t="shared" si="28"/>
        <v/>
      </c>
      <c r="G852" s="5" t="str">
        <f>IF(F852="", "", IF(B852&lt;&gt;"", MATCH(B852, params!$B$2:$R$2, 0), G851))</f>
        <v/>
      </c>
      <c r="H852" s="5" t="str">
        <f t="shared" ca="1" si="27"/>
        <v/>
      </c>
      <c r="M852" s="2"/>
    </row>
    <row r="853" spans="2:13" ht="15.6" x14ac:dyDescent="0.3">
      <c r="B853" s="5" t="str">
        <f>IF(COUNTIF(data_val!$E$3:$E$5, sample_log!$E853), sample_log!$C853 &amp; "_" &amp; sample_log!$D853, "")</f>
        <v/>
      </c>
      <c r="C853" s="5" t="str">
        <f>IF(B853="", IF(F853="", "", C852), IF(sample_log!E853="Triennial SASS", "tri_params", "params"))</f>
        <v/>
      </c>
      <c r="D853" s="5" t="str">
        <f>IF(B853="", "", C853 &amp; "!" &amp; CHAR(65+MATCH(B853, params!$B$2:$R$2, 0)))</f>
        <v/>
      </c>
      <c r="E853" s="5" t="str">
        <f ca="1">IF(B853="", "", COUNTA(INDIRECT(D853 &amp; 3):INDIRECT(D853 &amp; 24)))</f>
        <v/>
      </c>
      <c r="F853" s="5" t="str">
        <f t="shared" si="28"/>
        <v/>
      </c>
      <c r="G853" s="5" t="str">
        <f>IF(F853="", "", IF(B853&lt;&gt;"", MATCH(B853, params!$B$2:$R$2, 0), G852))</f>
        <v/>
      </c>
      <c r="H853" s="5" t="str">
        <f t="shared" ca="1" si="27"/>
        <v/>
      </c>
      <c r="M853" s="2"/>
    </row>
    <row r="854" spans="2:13" ht="15.6" x14ac:dyDescent="0.3">
      <c r="B854" s="5" t="str">
        <f>IF(COUNTIF(data_val!$E$3:$E$5, sample_log!$E854), sample_log!$C854 &amp; "_" &amp; sample_log!$D854, "")</f>
        <v/>
      </c>
      <c r="C854" s="5" t="str">
        <f>IF(B854="", IF(F854="", "", C853), IF(sample_log!E854="Triennial SASS", "tri_params", "params"))</f>
        <v/>
      </c>
      <c r="D854" s="5" t="str">
        <f>IF(B854="", "", C854 &amp; "!" &amp; CHAR(65+MATCH(B854, params!$B$2:$R$2, 0)))</f>
        <v/>
      </c>
      <c r="E854" s="5" t="str">
        <f ca="1">IF(B854="", "", COUNTA(INDIRECT(D854 &amp; 3):INDIRECT(D854 &amp; 24)))</f>
        <v/>
      </c>
      <c r="F854" s="5" t="str">
        <f t="shared" si="28"/>
        <v/>
      </c>
      <c r="G854" s="5" t="str">
        <f>IF(F854="", "", IF(B854&lt;&gt;"", MATCH(B854, params!$B$2:$R$2, 0), G853))</f>
        <v/>
      </c>
      <c r="H854" s="5" t="str">
        <f t="shared" ca="1" si="27"/>
        <v/>
      </c>
      <c r="M854" s="2"/>
    </row>
    <row r="855" spans="2:13" ht="15.6" x14ac:dyDescent="0.3">
      <c r="B855" s="5" t="str">
        <f>IF(COUNTIF(data_val!$E$3:$E$5, sample_log!$E855), sample_log!$C855 &amp; "_" &amp; sample_log!$D855, "")</f>
        <v/>
      </c>
      <c r="C855" s="5" t="str">
        <f>IF(B855="", IF(F855="", "", C854), IF(sample_log!E855="Triennial SASS", "tri_params", "params"))</f>
        <v/>
      </c>
      <c r="D855" s="5" t="str">
        <f>IF(B855="", "", C855 &amp; "!" &amp; CHAR(65+MATCH(B855, params!$B$2:$R$2, 0)))</f>
        <v/>
      </c>
      <c r="E855" s="5" t="str">
        <f ca="1">IF(B855="", "", COUNTA(INDIRECT(D855 &amp; 3):INDIRECT(D855 &amp; 24)))</f>
        <v/>
      </c>
      <c r="F855" s="5" t="str">
        <f t="shared" si="28"/>
        <v/>
      </c>
      <c r="G855" s="5" t="str">
        <f>IF(F855="", "", IF(B855&lt;&gt;"", MATCH(B855, params!$B$2:$R$2, 0), G854))</f>
        <v/>
      </c>
      <c r="H855" s="5" t="str">
        <f t="shared" ca="1" si="27"/>
        <v/>
      </c>
      <c r="M855" s="2"/>
    </row>
    <row r="856" spans="2:13" ht="15.6" x14ac:dyDescent="0.3">
      <c r="B856" s="5" t="str">
        <f>IF(COUNTIF(data_val!$E$3:$E$5, sample_log!$E856), sample_log!$C856 &amp; "_" &amp; sample_log!$D856, "")</f>
        <v/>
      </c>
      <c r="C856" s="5" t="str">
        <f>IF(B856="", IF(F856="", "", C855), IF(sample_log!E856="Triennial SASS", "tri_params", "params"))</f>
        <v/>
      </c>
      <c r="D856" s="5" t="str">
        <f>IF(B856="", "", C856 &amp; "!" &amp; CHAR(65+MATCH(B856, params!$B$2:$R$2, 0)))</f>
        <v/>
      </c>
      <c r="E856" s="5" t="str">
        <f ca="1">IF(B856="", "", COUNTA(INDIRECT(D856 &amp; 3):INDIRECT(D856 &amp; 24)))</f>
        <v/>
      </c>
      <c r="F856" s="5" t="str">
        <f t="shared" si="28"/>
        <v/>
      </c>
      <c r="G856" s="5" t="str">
        <f>IF(F856="", "", IF(B856&lt;&gt;"", MATCH(B856, params!$B$2:$R$2, 0), G855))</f>
        <v/>
      </c>
      <c r="H856" s="5" t="str">
        <f t="shared" ca="1" si="27"/>
        <v/>
      </c>
      <c r="M856" s="2"/>
    </row>
    <row r="857" spans="2:13" ht="15.6" x14ac:dyDescent="0.3">
      <c r="B857" s="5" t="str">
        <f>IF(COUNTIF(data_val!$E$3:$E$5, sample_log!$E857), sample_log!$C857 &amp; "_" &amp; sample_log!$D857, "")</f>
        <v/>
      </c>
      <c r="C857" s="5" t="str">
        <f>IF(B857="", IF(F857="", "", C856), IF(sample_log!E857="Triennial SASS", "tri_params", "params"))</f>
        <v/>
      </c>
      <c r="D857" s="5" t="str">
        <f>IF(B857="", "", C857 &amp; "!" &amp; CHAR(65+MATCH(B857, params!$B$2:$R$2, 0)))</f>
        <v/>
      </c>
      <c r="E857" s="5" t="str">
        <f ca="1">IF(B857="", "", COUNTA(INDIRECT(D857 &amp; 3):INDIRECT(D857 &amp; 24)))</f>
        <v/>
      </c>
      <c r="F857" s="5" t="str">
        <f t="shared" si="28"/>
        <v/>
      </c>
      <c r="G857" s="5" t="str">
        <f>IF(F857="", "", IF(B857&lt;&gt;"", MATCH(B857, params!$B$2:$R$2, 0), G856))</f>
        <v/>
      </c>
      <c r="H857" s="5" t="str">
        <f t="shared" ref="H857:H920" ca="1" si="29">IF($F857="", "", INDEX(INDIRECT("'" &amp; C857 &amp; "'!$B$3:$R$24"), $F857, $G857))</f>
        <v/>
      </c>
      <c r="M857" s="2"/>
    </row>
    <row r="858" spans="2:13" ht="15.6" x14ac:dyDescent="0.3">
      <c r="B858" s="5" t="str">
        <f>IF(COUNTIF(data_val!$E$3:$E$5, sample_log!$E858), sample_log!$C858 &amp; "_" &amp; sample_log!$D858, "")</f>
        <v/>
      </c>
      <c r="C858" s="5" t="str">
        <f>IF(B858="", IF(F858="", "", C857), IF(sample_log!E858="Triennial SASS", "tri_params", "params"))</f>
        <v/>
      </c>
      <c r="D858" s="5" t="str">
        <f>IF(B858="", "", C858 &amp; "!" &amp; CHAR(65+MATCH(B858, params!$B$2:$R$2, 0)))</f>
        <v/>
      </c>
      <c r="E858" s="5" t="str">
        <f ca="1">IF(B858="", "", COUNTA(INDIRECT(D858 &amp; 3):INDIRECT(D858 &amp; 24)))</f>
        <v/>
      </c>
      <c r="F858" s="5" t="str">
        <f t="shared" si="28"/>
        <v/>
      </c>
      <c r="G858" s="5" t="str">
        <f>IF(F858="", "", IF(B858&lt;&gt;"", MATCH(B858, params!$B$2:$R$2, 0), G857))</f>
        <v/>
      </c>
      <c r="H858" s="5" t="str">
        <f t="shared" ca="1" si="29"/>
        <v/>
      </c>
      <c r="M858" s="2"/>
    </row>
    <row r="859" spans="2:13" ht="15.6" x14ac:dyDescent="0.3">
      <c r="B859" s="5" t="str">
        <f>IF(COUNTIF(data_val!$E$3:$E$5, sample_log!$E859), sample_log!$C859 &amp; "_" &amp; sample_log!$D859, "")</f>
        <v/>
      </c>
      <c r="C859" s="5" t="str">
        <f>IF(B859="", IF(F859="", "", C858), IF(sample_log!E859="Triennial SASS", "tri_params", "params"))</f>
        <v/>
      </c>
      <c r="D859" s="5" t="str">
        <f>IF(B859="", "", C859 &amp; "!" &amp; CHAR(65+MATCH(B859, params!$B$2:$R$2, 0)))</f>
        <v/>
      </c>
      <c r="E859" s="5" t="str">
        <f ca="1">IF(B859="", "", COUNTA(INDIRECT(D859 &amp; 3):INDIRECT(D859 &amp; 24)))</f>
        <v/>
      </c>
      <c r="F859" s="5" t="str">
        <f t="shared" si="28"/>
        <v/>
      </c>
      <c r="G859" s="5" t="str">
        <f>IF(F859="", "", IF(B859&lt;&gt;"", MATCH(B859, params!$B$2:$R$2, 0), G858))</f>
        <v/>
      </c>
      <c r="H859" s="5" t="str">
        <f t="shared" ca="1" si="29"/>
        <v/>
      </c>
      <c r="M859" s="2"/>
    </row>
    <row r="860" spans="2:13" ht="15.6" x14ac:dyDescent="0.3">
      <c r="B860" s="5" t="str">
        <f>IF(COUNTIF(data_val!$E$3:$E$5, sample_log!$E860), sample_log!$C860 &amp; "_" &amp; sample_log!$D860, "")</f>
        <v/>
      </c>
      <c r="C860" s="5" t="str">
        <f>IF(B860="", IF(F860="", "", C859), IF(sample_log!E860="Triennial SASS", "tri_params", "params"))</f>
        <v/>
      </c>
      <c r="D860" s="5" t="str">
        <f>IF(B860="", "", C860 &amp; "!" &amp; CHAR(65+MATCH(B860, params!$B$2:$R$2, 0)))</f>
        <v/>
      </c>
      <c r="E860" s="5" t="str">
        <f ca="1">IF(B860="", "", COUNTA(INDIRECT(D860 &amp; 3):INDIRECT(D860 &amp; 24)))</f>
        <v/>
      </c>
      <c r="F860" s="5" t="str">
        <f t="shared" si="28"/>
        <v/>
      </c>
      <c r="G860" s="5" t="str">
        <f>IF(F860="", "", IF(B860&lt;&gt;"", MATCH(B860, params!$B$2:$R$2, 0), G859))</f>
        <v/>
      </c>
      <c r="H860" s="5" t="str">
        <f t="shared" ca="1" si="29"/>
        <v/>
      </c>
      <c r="M860" s="2"/>
    </row>
    <row r="861" spans="2:13" ht="15.6" x14ac:dyDescent="0.3">
      <c r="B861" s="5" t="str">
        <f>IF(COUNTIF(data_val!$E$3:$E$5, sample_log!$E861), sample_log!$C861 &amp; "_" &amp; sample_log!$D861, "")</f>
        <v/>
      </c>
      <c r="C861" s="5" t="str">
        <f>IF(B861="", IF(F861="", "", C860), IF(sample_log!E861="Triennial SASS", "tri_params", "params"))</f>
        <v/>
      </c>
      <c r="D861" s="5" t="str">
        <f>IF(B861="", "", C861 &amp; "!" &amp; CHAR(65+MATCH(B861, params!$B$2:$R$2, 0)))</f>
        <v/>
      </c>
      <c r="E861" s="5" t="str">
        <f ca="1">IF(B861="", "", COUNTA(INDIRECT(D861 &amp; 3):INDIRECT(D861 &amp; 24)))</f>
        <v/>
      </c>
      <c r="F861" s="5" t="str">
        <f t="shared" si="28"/>
        <v/>
      </c>
      <c r="G861" s="5" t="str">
        <f>IF(F861="", "", IF(B861&lt;&gt;"", MATCH(B861, params!$B$2:$R$2, 0), G860))</f>
        <v/>
      </c>
      <c r="H861" s="5" t="str">
        <f t="shared" ca="1" si="29"/>
        <v/>
      </c>
      <c r="M861" s="2"/>
    </row>
    <row r="862" spans="2:13" ht="15.6" x14ac:dyDescent="0.3">
      <c r="B862" s="5" t="str">
        <f>IF(COUNTIF(data_val!$E$3:$E$5, sample_log!$E862), sample_log!$C862 &amp; "_" &amp; sample_log!$D862, "")</f>
        <v/>
      </c>
      <c r="C862" s="5" t="str">
        <f>IF(B862="", IF(F862="", "", C861), IF(sample_log!E862="Triennial SASS", "tri_params", "params"))</f>
        <v/>
      </c>
      <c r="D862" s="5" t="str">
        <f>IF(B862="", "", C862 &amp; "!" &amp; CHAR(65+MATCH(B862, params!$B$2:$R$2, 0)))</f>
        <v/>
      </c>
      <c r="E862" s="5" t="str">
        <f ca="1">IF(B862="", "", COUNTA(INDIRECT(D862 &amp; 3):INDIRECT(D862 &amp; 24)))</f>
        <v/>
      </c>
      <c r="F862" s="5" t="str">
        <f t="shared" si="28"/>
        <v/>
      </c>
      <c r="G862" s="5" t="str">
        <f>IF(F862="", "", IF(B862&lt;&gt;"", MATCH(B862, params!$B$2:$R$2, 0), G861))</f>
        <v/>
      </c>
      <c r="H862" s="5" t="str">
        <f t="shared" ca="1" si="29"/>
        <v/>
      </c>
      <c r="M862" s="2"/>
    </row>
    <row r="863" spans="2:13" ht="15.6" x14ac:dyDescent="0.3">
      <c r="B863" s="5" t="str">
        <f>IF(COUNTIF(data_val!$E$3:$E$5, sample_log!$E863), sample_log!$C863 &amp; "_" &amp; sample_log!$D863, "")</f>
        <v/>
      </c>
      <c r="C863" s="5" t="str">
        <f>IF(B863="", IF(F863="", "", C862), IF(sample_log!E863="Triennial SASS", "tri_params", "params"))</f>
        <v/>
      </c>
      <c r="D863" s="5" t="str">
        <f>IF(B863="", "", C863 &amp; "!" &amp; CHAR(65+MATCH(B863, params!$B$2:$R$2, 0)))</f>
        <v/>
      </c>
      <c r="E863" s="5" t="str">
        <f ca="1">IF(B863="", "", COUNTA(INDIRECT(D863 &amp; 3):INDIRECT(D863 &amp; 24)))</f>
        <v/>
      </c>
      <c r="F863" s="5" t="str">
        <f t="shared" si="28"/>
        <v/>
      </c>
      <c r="G863" s="5" t="str">
        <f>IF(F863="", "", IF(B863&lt;&gt;"", MATCH(B863, params!$B$2:$R$2, 0), G862))</f>
        <v/>
      </c>
      <c r="H863" s="5" t="str">
        <f t="shared" ca="1" si="29"/>
        <v/>
      </c>
      <c r="M863" s="2"/>
    </row>
    <row r="864" spans="2:13" ht="15.6" x14ac:dyDescent="0.3">
      <c r="B864" s="5" t="str">
        <f>IF(COUNTIF(data_val!$E$3:$E$5, sample_log!$E864), sample_log!$C864 &amp; "_" &amp; sample_log!$D864, "")</f>
        <v/>
      </c>
      <c r="C864" s="5" t="str">
        <f>IF(B864="", IF(F864="", "", C863), IF(sample_log!E864="Triennial SASS", "tri_params", "params"))</f>
        <v/>
      </c>
      <c r="D864" s="5" t="str">
        <f>IF(B864="", "", C864 &amp; "!" &amp; CHAR(65+MATCH(B864, params!$B$2:$R$2, 0)))</f>
        <v/>
      </c>
      <c r="E864" s="5" t="str">
        <f ca="1">IF(B864="", "", COUNTA(INDIRECT(D864 &amp; 3):INDIRECT(D864 &amp; 24)))</f>
        <v/>
      </c>
      <c r="F864" s="5" t="str">
        <f t="shared" si="28"/>
        <v/>
      </c>
      <c r="G864" s="5" t="str">
        <f>IF(F864="", "", IF(B864&lt;&gt;"", MATCH(B864, params!$B$2:$R$2, 0), G863))</f>
        <v/>
      </c>
      <c r="H864" s="5" t="str">
        <f t="shared" ca="1" si="29"/>
        <v/>
      </c>
      <c r="M864" s="2"/>
    </row>
    <row r="865" spans="2:13" ht="15.6" x14ac:dyDescent="0.3">
      <c r="B865" s="5" t="str">
        <f>IF(COUNTIF(data_val!$E$3:$E$5, sample_log!$E865), sample_log!$C865 &amp; "_" &amp; sample_log!$D865, "")</f>
        <v/>
      </c>
      <c r="C865" s="5" t="str">
        <f>IF(B865="", IF(F865="", "", C864), IF(sample_log!E865="Triennial SASS", "tri_params", "params"))</f>
        <v/>
      </c>
      <c r="D865" s="5" t="str">
        <f>IF(B865="", "", C865 &amp; "!" &amp; CHAR(65+MATCH(B865, params!$B$2:$R$2, 0)))</f>
        <v/>
      </c>
      <c r="E865" s="5" t="str">
        <f ca="1">IF(B865="", "", COUNTA(INDIRECT(D865 &amp; 3):INDIRECT(D865 &amp; 24)))</f>
        <v/>
      </c>
      <c r="F865" s="5" t="str">
        <f t="shared" si="28"/>
        <v/>
      </c>
      <c r="G865" s="5" t="str">
        <f>IF(F865="", "", IF(B865&lt;&gt;"", MATCH(B865, params!$B$2:$R$2, 0), G864))</f>
        <v/>
      </c>
      <c r="H865" s="5" t="str">
        <f t="shared" ca="1" si="29"/>
        <v/>
      </c>
      <c r="M865" s="2"/>
    </row>
    <row r="866" spans="2:13" ht="15.6" x14ac:dyDescent="0.3">
      <c r="B866" s="5" t="str">
        <f>IF(COUNTIF(data_val!$E$3:$E$5, sample_log!$E866), sample_log!$C866 &amp; "_" &amp; sample_log!$D866, "")</f>
        <v/>
      </c>
      <c r="C866" s="5" t="str">
        <f>IF(B866="", IF(F866="", "", C865), IF(sample_log!E866="Triennial SASS", "tri_params", "params"))</f>
        <v/>
      </c>
      <c r="D866" s="5" t="str">
        <f>IF(B866="", "", C866 &amp; "!" &amp; CHAR(65+MATCH(B866, params!$B$2:$R$2, 0)))</f>
        <v/>
      </c>
      <c r="E866" s="5" t="str">
        <f ca="1">IF(B866="", "", COUNTA(INDIRECT(D866 &amp; 3):INDIRECT(D866 &amp; 24)))</f>
        <v/>
      </c>
      <c r="F866" s="5" t="str">
        <f t="shared" si="28"/>
        <v/>
      </c>
      <c r="G866" s="5" t="str">
        <f>IF(F866="", "", IF(B866&lt;&gt;"", MATCH(B866, params!$B$2:$R$2, 0), G865))</f>
        <v/>
      </c>
      <c r="H866" s="5" t="str">
        <f t="shared" ca="1" si="29"/>
        <v/>
      </c>
      <c r="M866" s="2"/>
    </row>
    <row r="867" spans="2:13" ht="15.6" x14ac:dyDescent="0.3">
      <c r="B867" s="5" t="str">
        <f>IF(COUNTIF(data_val!$E$3:$E$5, sample_log!$E867), sample_log!$C867 &amp; "_" &amp; sample_log!$D867, "")</f>
        <v/>
      </c>
      <c r="C867" s="5" t="str">
        <f>IF(B867="", IF(F867="", "", C866), IF(sample_log!E867="Triennial SASS", "tri_params", "params"))</f>
        <v/>
      </c>
      <c r="D867" s="5" t="str">
        <f>IF(B867="", "", C867 &amp; "!" &amp; CHAR(65+MATCH(B867, params!$B$2:$R$2, 0)))</f>
        <v/>
      </c>
      <c r="E867" s="5" t="str">
        <f ca="1">IF(B867="", "", COUNTA(INDIRECT(D867 &amp; 3):INDIRECT(D867 &amp; 24)))</f>
        <v/>
      </c>
      <c r="F867" s="5" t="str">
        <f t="shared" si="28"/>
        <v/>
      </c>
      <c r="G867" s="5" t="str">
        <f>IF(F867="", "", IF(B867&lt;&gt;"", MATCH(B867, params!$B$2:$R$2, 0), G866))</f>
        <v/>
      </c>
      <c r="H867" s="5" t="str">
        <f t="shared" ca="1" si="29"/>
        <v/>
      </c>
      <c r="M867" s="2"/>
    </row>
    <row r="868" spans="2:13" ht="15.6" x14ac:dyDescent="0.3">
      <c r="B868" s="5" t="str">
        <f>IF(COUNTIF(data_val!$E$3:$E$5, sample_log!$E868), sample_log!$C868 &amp; "_" &amp; sample_log!$D868, "")</f>
        <v/>
      </c>
      <c r="C868" s="5" t="str">
        <f>IF(B868="", IF(F868="", "", C867), IF(sample_log!E868="Triennial SASS", "tri_params", "params"))</f>
        <v/>
      </c>
      <c r="D868" s="5" t="str">
        <f>IF(B868="", "", C868 &amp; "!" &amp; CHAR(65+MATCH(B868, params!$B$2:$R$2, 0)))</f>
        <v/>
      </c>
      <c r="E868" s="5" t="str">
        <f ca="1">IF(B868="", "", COUNTA(INDIRECT(D868 &amp; 3):INDIRECT(D868 &amp; 24)))</f>
        <v/>
      </c>
      <c r="F868" s="5" t="str">
        <f t="shared" si="28"/>
        <v/>
      </c>
      <c r="G868" s="5" t="str">
        <f>IF(F868="", "", IF(B868&lt;&gt;"", MATCH(B868, params!$B$2:$R$2, 0), G867))</f>
        <v/>
      </c>
      <c r="H868" s="5" t="str">
        <f t="shared" ca="1" si="29"/>
        <v/>
      </c>
      <c r="M868" s="2"/>
    </row>
    <row r="869" spans="2:13" ht="15.6" x14ac:dyDescent="0.3">
      <c r="B869" s="5" t="str">
        <f>IF(COUNTIF(data_val!$E$3:$E$5, sample_log!$E869), sample_log!$C869 &amp; "_" &amp; sample_log!$D869, "")</f>
        <v/>
      </c>
      <c r="C869" s="5" t="str">
        <f>IF(B869="", IF(F869="", "", C868), IF(sample_log!E869="Triennial SASS", "tri_params", "params"))</f>
        <v/>
      </c>
      <c r="D869" s="5" t="str">
        <f>IF(B869="", "", C869 &amp; "!" &amp; CHAR(65+MATCH(B869, params!$B$2:$R$2, 0)))</f>
        <v/>
      </c>
      <c r="E869" s="5" t="str">
        <f ca="1">IF(B869="", "", COUNTA(INDIRECT(D869 &amp; 3):INDIRECT(D869 &amp; 24)))</f>
        <v/>
      </c>
      <c r="F869" s="5" t="str">
        <f t="shared" si="28"/>
        <v/>
      </c>
      <c r="G869" s="5" t="str">
        <f>IF(F869="", "", IF(B869&lt;&gt;"", MATCH(B869, params!$B$2:$R$2, 0), G868))</f>
        <v/>
      </c>
      <c r="H869" s="5" t="str">
        <f t="shared" ca="1" si="29"/>
        <v/>
      </c>
      <c r="M869" s="2"/>
    </row>
    <row r="870" spans="2:13" ht="15.6" x14ac:dyDescent="0.3">
      <c r="B870" s="5" t="str">
        <f>IF(COUNTIF(data_val!$E$3:$E$5, sample_log!$E870), sample_log!$C870 &amp; "_" &amp; sample_log!$D870, "")</f>
        <v/>
      </c>
      <c r="C870" s="5" t="str">
        <f>IF(B870="", IF(F870="", "", C869), IF(sample_log!E870="Triennial SASS", "tri_params", "params"))</f>
        <v/>
      </c>
      <c r="D870" s="5" t="str">
        <f>IF(B870="", "", C870 &amp; "!" &amp; CHAR(65+MATCH(B870, params!$B$2:$R$2, 0)))</f>
        <v/>
      </c>
      <c r="E870" s="5" t="str">
        <f ca="1">IF(B870="", "", COUNTA(INDIRECT(D870 &amp; 3):INDIRECT(D870 &amp; 24)))</f>
        <v/>
      </c>
      <c r="F870" s="5" t="str">
        <f t="shared" si="28"/>
        <v/>
      </c>
      <c r="G870" s="5" t="str">
        <f>IF(F870="", "", IF(B870&lt;&gt;"", MATCH(B870, params!$B$2:$R$2, 0), G869))</f>
        <v/>
      </c>
      <c r="H870" s="5" t="str">
        <f t="shared" ca="1" si="29"/>
        <v/>
      </c>
      <c r="M870" s="2"/>
    </row>
    <row r="871" spans="2:13" ht="15.6" x14ac:dyDescent="0.3">
      <c r="B871" s="5" t="str">
        <f>IF(COUNTIF(data_val!$E$3:$E$5, sample_log!$E871), sample_log!$C871 &amp; "_" &amp; sample_log!$D871, "")</f>
        <v/>
      </c>
      <c r="C871" s="5" t="str">
        <f>IF(B871="", IF(F871="", "", C870), IF(sample_log!E871="Triennial SASS", "tri_params", "params"))</f>
        <v/>
      </c>
      <c r="D871" s="5" t="str">
        <f>IF(B871="", "", C871 &amp; "!" &amp; CHAR(65+MATCH(B871, params!$B$2:$R$2, 0)))</f>
        <v/>
      </c>
      <c r="E871" s="5" t="str">
        <f ca="1">IF(B871="", "", COUNTA(INDIRECT(D871 &amp; 3):INDIRECT(D871 &amp; 24)))</f>
        <v/>
      </c>
      <c r="F871" s="5" t="str">
        <f t="shared" si="28"/>
        <v/>
      </c>
      <c r="G871" s="5" t="str">
        <f>IF(F871="", "", IF(B871&lt;&gt;"", MATCH(B871, params!$B$2:$R$2, 0), G870))</f>
        <v/>
      </c>
      <c r="H871" s="5" t="str">
        <f t="shared" ca="1" si="29"/>
        <v/>
      </c>
      <c r="M871" s="2"/>
    </row>
    <row r="872" spans="2:13" ht="15.6" x14ac:dyDescent="0.3">
      <c r="B872" s="5" t="str">
        <f>IF(COUNTIF(data_val!$E$3:$E$5, sample_log!$E872), sample_log!$C872 &amp; "_" &amp; sample_log!$D872, "")</f>
        <v/>
      </c>
      <c r="C872" s="5" t="str">
        <f>IF(B872="", IF(F872="", "", C871), IF(sample_log!E872="Triennial SASS", "tri_params", "params"))</f>
        <v/>
      </c>
      <c r="D872" s="5" t="str">
        <f>IF(B872="", "", C872 &amp; "!" &amp; CHAR(65+MATCH(B872, params!$B$2:$R$2, 0)))</f>
        <v/>
      </c>
      <c r="E872" s="5" t="str">
        <f ca="1">IF(B872="", "", COUNTA(INDIRECT(D872 &amp; 3):INDIRECT(D872 &amp; 24)))</f>
        <v/>
      </c>
      <c r="F872" s="5" t="str">
        <f t="shared" si="28"/>
        <v/>
      </c>
      <c r="G872" s="5" t="str">
        <f>IF(F872="", "", IF(B872&lt;&gt;"", MATCH(B872, params!$B$2:$R$2, 0), G871))</f>
        <v/>
      </c>
      <c r="H872" s="5" t="str">
        <f t="shared" ca="1" si="29"/>
        <v/>
      </c>
      <c r="M872" s="2"/>
    </row>
    <row r="873" spans="2:13" ht="15.6" x14ac:dyDescent="0.3">
      <c r="B873" s="5" t="str">
        <f>IF(COUNTIF(data_val!$E$3:$E$5, sample_log!$E873), sample_log!$C873 &amp; "_" &amp; sample_log!$D873, "")</f>
        <v/>
      </c>
      <c r="C873" s="5" t="str">
        <f>IF(B873="", IF(F873="", "", C872), IF(sample_log!E873="Triennial SASS", "tri_params", "params"))</f>
        <v/>
      </c>
      <c r="D873" s="5" t="str">
        <f>IF(B873="", "", C873 &amp; "!" &amp; CHAR(65+MATCH(B873, params!$B$2:$R$2, 0)))</f>
        <v/>
      </c>
      <c r="E873" s="5" t="str">
        <f ca="1">IF(B873="", "", COUNTA(INDIRECT(D873 &amp; 3):INDIRECT(D873 &amp; 24)))</f>
        <v/>
      </c>
      <c r="F873" s="5" t="str">
        <f t="shared" si="28"/>
        <v/>
      </c>
      <c r="G873" s="5" t="str">
        <f>IF(F873="", "", IF(B873&lt;&gt;"", MATCH(B873, params!$B$2:$R$2, 0), G872))</f>
        <v/>
      </c>
      <c r="H873" s="5" t="str">
        <f t="shared" ca="1" si="29"/>
        <v/>
      </c>
      <c r="M873" s="2"/>
    </row>
    <row r="874" spans="2:13" ht="15.6" x14ac:dyDescent="0.3">
      <c r="B874" s="5" t="str">
        <f>IF(COUNTIF(data_val!$E$3:$E$5, sample_log!$E874), sample_log!$C874 &amp; "_" &amp; sample_log!$D874, "")</f>
        <v/>
      </c>
      <c r="C874" s="5" t="str">
        <f>IF(B874="", IF(F874="", "", C873), IF(sample_log!E874="Triennial SASS", "tri_params", "params"))</f>
        <v/>
      </c>
      <c r="D874" s="5" t="str">
        <f>IF(B874="", "", C874 &amp; "!" &amp; CHAR(65+MATCH(B874, params!$B$2:$R$2, 0)))</f>
        <v/>
      </c>
      <c r="E874" s="5" t="str">
        <f ca="1">IF(B874="", "", COUNTA(INDIRECT(D874 &amp; 3):INDIRECT(D874 &amp; 24)))</f>
        <v/>
      </c>
      <c r="F874" s="5" t="str">
        <f t="shared" si="28"/>
        <v/>
      </c>
      <c r="G874" s="5" t="str">
        <f>IF(F874="", "", IF(B874&lt;&gt;"", MATCH(B874, params!$B$2:$R$2, 0), G873))</f>
        <v/>
      </c>
      <c r="H874" s="5" t="str">
        <f t="shared" ca="1" si="29"/>
        <v/>
      </c>
      <c r="M874" s="2"/>
    </row>
    <row r="875" spans="2:13" ht="15.6" x14ac:dyDescent="0.3">
      <c r="B875" s="5" t="str">
        <f>IF(COUNTIF(data_val!$E$3:$E$5, sample_log!$E875), sample_log!$C875 &amp; "_" &amp; sample_log!$D875, "")</f>
        <v/>
      </c>
      <c r="C875" s="5" t="str">
        <f>IF(B875="", IF(F875="", "", C874), IF(sample_log!E875="Triennial SASS", "tri_params", "params"))</f>
        <v/>
      </c>
      <c r="D875" s="5" t="str">
        <f>IF(B875="", "", C875 &amp; "!" &amp; CHAR(65+MATCH(B875, params!$B$2:$R$2, 0)))</f>
        <v/>
      </c>
      <c r="E875" s="5" t="str">
        <f ca="1">IF(B875="", "", COUNTA(INDIRECT(D875 &amp; 3):INDIRECT(D875 &amp; 24)))</f>
        <v/>
      </c>
      <c r="F875" s="5" t="str">
        <f t="shared" si="28"/>
        <v/>
      </c>
      <c r="G875" s="5" t="str">
        <f>IF(F875="", "", IF(B875&lt;&gt;"", MATCH(B875, params!$B$2:$R$2, 0), G874))</f>
        <v/>
      </c>
      <c r="H875" s="5" t="str">
        <f t="shared" ca="1" si="29"/>
        <v/>
      </c>
      <c r="M875" s="2"/>
    </row>
    <row r="876" spans="2:13" ht="15.6" x14ac:dyDescent="0.3">
      <c r="B876" s="5" t="str">
        <f>IF(COUNTIF(data_val!$E$3:$E$5, sample_log!$E876), sample_log!$C876 &amp; "_" &amp; sample_log!$D876, "")</f>
        <v/>
      </c>
      <c r="C876" s="5" t="str">
        <f>IF(B876="", IF(F876="", "", C875), IF(sample_log!E876="Triennial SASS", "tri_params", "params"))</f>
        <v/>
      </c>
      <c r="D876" s="5" t="str">
        <f>IF(B876="", "", C876 &amp; "!" &amp; CHAR(65+MATCH(B876, params!$B$2:$R$2, 0)))</f>
        <v/>
      </c>
      <c r="E876" s="5" t="str">
        <f ca="1">IF(B876="", "", COUNTA(INDIRECT(D876 &amp; 3):INDIRECT(D876 &amp; 24)))</f>
        <v/>
      </c>
      <c r="F876" s="5" t="str">
        <f t="shared" si="28"/>
        <v/>
      </c>
      <c r="G876" s="5" t="str">
        <f>IF(F876="", "", IF(B876&lt;&gt;"", MATCH(B876, params!$B$2:$R$2, 0), G875))</f>
        <v/>
      </c>
      <c r="H876" s="5" t="str">
        <f t="shared" ca="1" si="29"/>
        <v/>
      </c>
      <c r="M876" s="2"/>
    </row>
    <row r="877" spans="2:13" ht="15.6" x14ac:dyDescent="0.3">
      <c r="B877" s="5" t="str">
        <f>IF(COUNTIF(data_val!$E$3:$E$5, sample_log!$E877), sample_log!$C877 &amp; "_" &amp; sample_log!$D877, "")</f>
        <v/>
      </c>
      <c r="C877" s="5" t="str">
        <f>IF(B877="", IF(F877="", "", C876), IF(sample_log!E877="Triennial SASS", "tri_params", "params"))</f>
        <v/>
      </c>
      <c r="D877" s="5" t="str">
        <f>IF(B877="", "", C877 &amp; "!" &amp; CHAR(65+MATCH(B877, params!$B$2:$R$2, 0)))</f>
        <v/>
      </c>
      <c r="E877" s="5" t="str">
        <f ca="1">IF(B877="", "", COUNTA(INDIRECT(D877 &amp; 3):INDIRECT(D877 &amp; 24)))</f>
        <v/>
      </c>
      <c r="F877" s="5" t="str">
        <f t="shared" si="28"/>
        <v/>
      </c>
      <c r="G877" s="5" t="str">
        <f>IF(F877="", "", IF(B877&lt;&gt;"", MATCH(B877, params!$B$2:$R$2, 0), G876))</f>
        <v/>
      </c>
      <c r="H877" s="5" t="str">
        <f t="shared" ca="1" si="29"/>
        <v/>
      </c>
      <c r="M877" s="2"/>
    </row>
    <row r="878" spans="2:13" ht="15.6" x14ac:dyDescent="0.3">
      <c r="B878" s="5" t="str">
        <f>IF(COUNTIF(data_val!$E$3:$E$5, sample_log!$E878), sample_log!$C878 &amp; "_" &amp; sample_log!$D878, "")</f>
        <v/>
      </c>
      <c r="C878" s="5" t="str">
        <f>IF(B878="", IF(F878="", "", C877), IF(sample_log!E878="Triennial SASS", "tri_params", "params"))</f>
        <v/>
      </c>
      <c r="D878" s="5" t="str">
        <f>IF(B878="", "", C878 &amp; "!" &amp; CHAR(65+MATCH(B878, params!$B$2:$R$2, 0)))</f>
        <v/>
      </c>
      <c r="E878" s="5" t="str">
        <f ca="1">IF(B878="", "", COUNTA(INDIRECT(D878 &amp; 3):INDIRECT(D878 &amp; 24)))</f>
        <v/>
      </c>
      <c r="F878" s="5" t="str">
        <f t="shared" si="28"/>
        <v/>
      </c>
      <c r="G878" s="5" t="str">
        <f>IF(F878="", "", IF(B878&lt;&gt;"", MATCH(B878, params!$B$2:$R$2, 0), G877))</f>
        <v/>
      </c>
      <c r="H878" s="5" t="str">
        <f t="shared" ca="1" si="29"/>
        <v/>
      </c>
      <c r="M878" s="2"/>
    </row>
    <row r="879" spans="2:13" ht="15.6" x14ac:dyDescent="0.3">
      <c r="B879" s="5" t="str">
        <f>IF(COUNTIF(data_val!$E$3:$E$5, sample_log!$E879), sample_log!$C879 &amp; "_" &amp; sample_log!$D879, "")</f>
        <v/>
      </c>
      <c r="C879" s="5" t="str">
        <f>IF(B879="", IF(F879="", "", C878), IF(sample_log!E879="Triennial SASS", "tri_params", "params"))</f>
        <v/>
      </c>
      <c r="D879" s="5" t="str">
        <f>IF(B879="", "", C879 &amp; "!" &amp; CHAR(65+MATCH(B879, params!$B$2:$R$2, 0)))</f>
        <v/>
      </c>
      <c r="E879" s="5" t="str">
        <f ca="1">IF(B879="", "", COUNTA(INDIRECT(D879 &amp; 3):INDIRECT(D879 &amp; 24)))</f>
        <v/>
      </c>
      <c r="F879" s="5" t="str">
        <f t="shared" si="28"/>
        <v/>
      </c>
      <c r="G879" s="5" t="str">
        <f>IF(F879="", "", IF(B879&lt;&gt;"", MATCH(B879, params!$B$2:$R$2, 0), G878))</f>
        <v/>
      </c>
      <c r="H879" s="5" t="str">
        <f t="shared" ca="1" si="29"/>
        <v/>
      </c>
      <c r="M879" s="2"/>
    </row>
    <row r="880" spans="2:13" ht="15.6" x14ac:dyDescent="0.3">
      <c r="B880" s="5" t="str">
        <f>IF(COUNTIF(data_val!$E$3:$E$5, sample_log!$E880), sample_log!$C880 &amp; "_" &amp; sample_log!$D880, "")</f>
        <v/>
      </c>
      <c r="C880" s="5" t="str">
        <f>IF(B880="", IF(F880="", "", C879), IF(sample_log!E880="Triennial SASS", "tri_params", "params"))</f>
        <v/>
      </c>
      <c r="D880" s="5" t="str">
        <f>IF(B880="", "", C880 &amp; "!" &amp; CHAR(65+MATCH(B880, params!$B$2:$R$2, 0)))</f>
        <v/>
      </c>
      <c r="E880" s="5" t="str">
        <f ca="1">IF(B880="", "", COUNTA(INDIRECT(D880 &amp; 3):INDIRECT(D880 &amp; 24)))</f>
        <v/>
      </c>
      <c r="F880" s="5" t="str">
        <f t="shared" si="28"/>
        <v/>
      </c>
      <c r="G880" s="5" t="str">
        <f>IF(F880="", "", IF(B880&lt;&gt;"", MATCH(B880, params!$B$2:$R$2, 0), G879))</f>
        <v/>
      </c>
      <c r="H880" s="5" t="str">
        <f t="shared" ca="1" si="29"/>
        <v/>
      </c>
      <c r="M880" s="2"/>
    </row>
    <row r="881" spans="2:13" ht="15.6" x14ac:dyDescent="0.3">
      <c r="B881" s="5" t="str">
        <f>IF(COUNTIF(data_val!$E$3:$E$5, sample_log!$E881), sample_log!$C881 &amp; "_" &amp; sample_log!$D881, "")</f>
        <v/>
      </c>
      <c r="C881" s="5" t="str">
        <f>IF(B881="", IF(F881="", "", C880), IF(sample_log!E881="Triennial SASS", "tri_params", "params"))</f>
        <v/>
      </c>
      <c r="D881" s="5" t="str">
        <f>IF(B881="", "", C881 &amp; "!" &amp; CHAR(65+MATCH(B881, params!$B$2:$R$2, 0)))</f>
        <v/>
      </c>
      <c r="E881" s="5" t="str">
        <f ca="1">IF(B881="", "", COUNTA(INDIRECT(D881 &amp; 3):INDIRECT(D881 &amp; 24)))</f>
        <v/>
      </c>
      <c r="F881" s="5" t="str">
        <f t="shared" si="28"/>
        <v/>
      </c>
      <c r="G881" s="5" t="str">
        <f>IF(F881="", "", IF(B881&lt;&gt;"", MATCH(B881, params!$B$2:$R$2, 0), G880))</f>
        <v/>
      </c>
      <c r="H881" s="5" t="str">
        <f t="shared" ca="1" si="29"/>
        <v/>
      </c>
      <c r="M881" s="2"/>
    </row>
    <row r="882" spans="2:13" ht="15.6" x14ac:dyDescent="0.3">
      <c r="B882" s="5" t="str">
        <f>IF(COUNTIF(data_val!$E$3:$E$5, sample_log!$E882), sample_log!$C882 &amp; "_" &amp; sample_log!$D882, "")</f>
        <v/>
      </c>
      <c r="C882" s="5" t="str">
        <f>IF(B882="", IF(F882="", "", C881), IF(sample_log!E882="Triennial SASS", "tri_params", "params"))</f>
        <v/>
      </c>
      <c r="D882" s="5" t="str">
        <f>IF(B882="", "", C882 &amp; "!" &amp; CHAR(65+MATCH(B882, params!$B$2:$R$2, 0)))</f>
        <v/>
      </c>
      <c r="E882" s="5" t="str">
        <f ca="1">IF(B882="", "", COUNTA(INDIRECT(D882 &amp; 3):INDIRECT(D882 &amp; 24)))</f>
        <v/>
      </c>
      <c r="F882" s="5" t="str">
        <f t="shared" si="28"/>
        <v/>
      </c>
      <c r="G882" s="5" t="str">
        <f>IF(F882="", "", IF(B882&lt;&gt;"", MATCH(B882, params!$B$2:$R$2, 0), G881))</f>
        <v/>
      </c>
      <c r="H882" s="5" t="str">
        <f t="shared" ca="1" si="29"/>
        <v/>
      </c>
      <c r="M882" s="2"/>
    </row>
    <row r="883" spans="2:13" ht="15.6" x14ac:dyDescent="0.3">
      <c r="B883" s="5" t="str">
        <f>IF(COUNTIF(data_val!$E$3:$E$5, sample_log!$E883), sample_log!$C883 &amp; "_" &amp; sample_log!$D883, "")</f>
        <v/>
      </c>
      <c r="C883" s="5" t="str">
        <f>IF(B883="", IF(F883="", "", C882), IF(sample_log!E883="Triennial SASS", "tri_params", "params"))</f>
        <v/>
      </c>
      <c r="D883" s="5" t="str">
        <f>IF(B883="", "", C883 &amp; "!" &amp; CHAR(65+MATCH(B883, params!$B$2:$R$2, 0)))</f>
        <v/>
      </c>
      <c r="E883" s="5" t="str">
        <f ca="1">IF(B883="", "", COUNTA(INDIRECT(D883 &amp; 3):INDIRECT(D883 &amp; 24)))</f>
        <v/>
      </c>
      <c r="F883" s="5" t="str">
        <f t="shared" si="28"/>
        <v/>
      </c>
      <c r="G883" s="5" t="str">
        <f>IF(F883="", "", IF(B883&lt;&gt;"", MATCH(B883, params!$B$2:$R$2, 0), G882))</f>
        <v/>
      </c>
      <c r="H883" s="5" t="str">
        <f t="shared" ca="1" si="29"/>
        <v/>
      </c>
      <c r="M883" s="2"/>
    </row>
    <row r="884" spans="2:13" ht="15.6" x14ac:dyDescent="0.3">
      <c r="B884" s="5" t="str">
        <f>IF(COUNTIF(data_val!$E$3:$E$5, sample_log!$E884), sample_log!$C884 &amp; "_" &amp; sample_log!$D884, "")</f>
        <v/>
      </c>
      <c r="C884" s="5" t="str">
        <f>IF(B884="", IF(F884="", "", C883), IF(sample_log!E884="Triennial SASS", "tri_params", "params"))</f>
        <v/>
      </c>
      <c r="D884" s="5" t="str">
        <f>IF(B884="", "", C884 &amp; "!" &amp; CHAR(65+MATCH(B884, params!$B$2:$R$2, 0)))</f>
        <v/>
      </c>
      <c r="E884" s="5" t="str">
        <f ca="1">IF(B884="", "", COUNTA(INDIRECT(D884 &amp; 3):INDIRECT(D884 &amp; 24)))</f>
        <v/>
      </c>
      <c r="F884" s="5" t="str">
        <f t="shared" si="28"/>
        <v/>
      </c>
      <c r="G884" s="5" t="str">
        <f>IF(F884="", "", IF(B884&lt;&gt;"", MATCH(B884, params!$B$2:$R$2, 0), G883))</f>
        <v/>
      </c>
      <c r="H884" s="5" t="str">
        <f t="shared" ca="1" si="29"/>
        <v/>
      </c>
      <c r="M884" s="2"/>
    </row>
    <row r="885" spans="2:13" ht="15.6" x14ac:dyDescent="0.3">
      <c r="B885" s="5" t="str">
        <f>IF(COUNTIF(data_val!$E$3:$E$5, sample_log!$E885), sample_log!$C885 &amp; "_" &amp; sample_log!$D885, "")</f>
        <v/>
      </c>
      <c r="C885" s="5" t="str">
        <f>IF(B885="", IF(F885="", "", C884), IF(sample_log!E885="Triennial SASS", "tri_params", "params"))</f>
        <v/>
      </c>
      <c r="D885" s="5" t="str">
        <f>IF(B885="", "", C885 &amp; "!" &amp; CHAR(65+MATCH(B885, params!$B$2:$R$2, 0)))</f>
        <v/>
      </c>
      <c r="E885" s="5" t="str">
        <f ca="1">IF(B885="", "", COUNTA(INDIRECT(D885 &amp; 3):INDIRECT(D885 &amp; 24)))</f>
        <v/>
      </c>
      <c r="F885" s="5" t="str">
        <f t="shared" si="28"/>
        <v/>
      </c>
      <c r="G885" s="5" t="str">
        <f>IF(F885="", "", IF(B885&lt;&gt;"", MATCH(B885, params!$B$2:$R$2, 0), G884))</f>
        <v/>
      </c>
      <c r="H885" s="5" t="str">
        <f t="shared" ca="1" si="29"/>
        <v/>
      </c>
      <c r="M885" s="2"/>
    </row>
    <row r="886" spans="2:13" ht="15.6" x14ac:dyDescent="0.3">
      <c r="B886" s="5" t="str">
        <f>IF(COUNTIF(data_val!$E$3:$E$5, sample_log!$E886), sample_log!$C886 &amp; "_" &amp; sample_log!$D886, "")</f>
        <v/>
      </c>
      <c r="C886" s="5" t="str">
        <f>IF(B886="", IF(F886="", "", C885), IF(sample_log!E886="Triennial SASS", "tri_params", "params"))</f>
        <v/>
      </c>
      <c r="D886" s="5" t="str">
        <f>IF(B886="", "", C886 &amp; "!" &amp; CHAR(65+MATCH(B886, params!$B$2:$R$2, 0)))</f>
        <v/>
      </c>
      <c r="E886" s="5" t="str">
        <f ca="1">IF(B886="", "", COUNTA(INDIRECT(D886 &amp; 3):INDIRECT(D886 &amp; 24)))</f>
        <v/>
      </c>
      <c r="F886" s="5" t="str">
        <f t="shared" si="28"/>
        <v/>
      </c>
      <c r="G886" s="5" t="str">
        <f>IF(F886="", "", IF(B886&lt;&gt;"", MATCH(B886, params!$B$2:$R$2, 0), G885))</f>
        <v/>
      </c>
      <c r="H886" s="5" t="str">
        <f t="shared" ca="1" si="29"/>
        <v/>
      </c>
      <c r="M886" s="2"/>
    </row>
    <row r="887" spans="2:13" ht="15.6" x14ac:dyDescent="0.3">
      <c r="B887" s="5" t="str">
        <f>IF(COUNTIF(data_val!$E$3:$E$5, sample_log!$E887), sample_log!$C887 &amp; "_" &amp; sample_log!$D887, "")</f>
        <v/>
      </c>
      <c r="C887" s="5" t="str">
        <f>IF(B887="", IF(F887="", "", C886), IF(sample_log!E887="Triennial SASS", "tri_params", "params"))</f>
        <v/>
      </c>
      <c r="D887" s="5" t="str">
        <f>IF(B887="", "", C887 &amp; "!" &amp; CHAR(65+MATCH(B887, params!$B$2:$R$2, 0)))</f>
        <v/>
      </c>
      <c r="E887" s="5" t="str">
        <f ca="1">IF(B887="", "", COUNTA(INDIRECT(D887 &amp; 3):INDIRECT(D887 &amp; 24)))</f>
        <v/>
      </c>
      <c r="F887" s="5" t="str">
        <f t="shared" si="28"/>
        <v/>
      </c>
      <c r="G887" s="5" t="str">
        <f>IF(F887="", "", IF(B887&lt;&gt;"", MATCH(B887, params!$B$2:$R$2, 0), G886))</f>
        <v/>
      </c>
      <c r="H887" s="5" t="str">
        <f t="shared" ca="1" si="29"/>
        <v/>
      </c>
      <c r="M887" s="2"/>
    </row>
    <row r="888" spans="2:13" ht="15.6" x14ac:dyDescent="0.3">
      <c r="B888" s="5" t="str">
        <f>IF(COUNTIF(data_val!$E$3:$E$5, sample_log!$E888), sample_log!$C888 &amp; "_" &amp; sample_log!$D888, "")</f>
        <v/>
      </c>
      <c r="C888" s="5" t="str">
        <f>IF(B888="", IF(F888="", "", C887), IF(sample_log!E888="Triennial SASS", "tri_params", "params"))</f>
        <v/>
      </c>
      <c r="D888" s="5" t="str">
        <f>IF(B888="", "", C888 &amp; "!" &amp; CHAR(65+MATCH(B888, params!$B$2:$R$2, 0)))</f>
        <v/>
      </c>
      <c r="E888" s="5" t="str">
        <f ca="1">IF(B888="", "", COUNTA(INDIRECT(D888 &amp; 3):INDIRECT(D888 &amp; 24)))</f>
        <v/>
      </c>
      <c r="F888" s="5" t="str">
        <f t="shared" si="28"/>
        <v/>
      </c>
      <c r="G888" s="5" t="str">
        <f>IF(F888="", "", IF(B888&lt;&gt;"", MATCH(B888, params!$B$2:$R$2, 0), G887))</f>
        <v/>
      </c>
      <c r="H888" s="5" t="str">
        <f t="shared" ca="1" si="29"/>
        <v/>
      </c>
      <c r="M888" s="2"/>
    </row>
    <row r="889" spans="2:13" ht="15.6" x14ac:dyDescent="0.3">
      <c r="B889" s="5" t="str">
        <f>IF(COUNTIF(data_val!$E$3:$E$5, sample_log!$E889), sample_log!$C889 &amp; "_" &amp; sample_log!$D889, "")</f>
        <v/>
      </c>
      <c r="C889" s="5" t="str">
        <f>IF(B889="", IF(F889="", "", C888), IF(sample_log!E889="Triennial SASS", "tri_params", "params"))</f>
        <v/>
      </c>
      <c r="D889" s="5" t="str">
        <f>IF(B889="", "", C889 &amp; "!" &amp; CHAR(65+MATCH(B889, params!$B$2:$R$2, 0)))</f>
        <v/>
      </c>
      <c r="E889" s="5" t="str">
        <f ca="1">IF(B889="", "", COUNTA(INDIRECT(D889 &amp; 3):INDIRECT(D889 &amp; 24)))</f>
        <v/>
      </c>
      <c r="F889" s="5" t="str">
        <f t="shared" si="28"/>
        <v/>
      </c>
      <c r="G889" s="5" t="str">
        <f>IF(F889="", "", IF(B889&lt;&gt;"", MATCH(B889, params!$B$2:$R$2, 0), G888))</f>
        <v/>
      </c>
      <c r="H889" s="5" t="str">
        <f t="shared" ca="1" si="29"/>
        <v/>
      </c>
      <c r="M889" s="2"/>
    </row>
    <row r="890" spans="2:13" ht="15.6" x14ac:dyDescent="0.3">
      <c r="B890" s="5" t="str">
        <f>IF(COUNTIF(data_val!$E$3:$E$5, sample_log!$E890), sample_log!$C890 &amp; "_" &amp; sample_log!$D890, "")</f>
        <v/>
      </c>
      <c r="C890" s="5" t="str">
        <f>IF(B890="", IF(F890="", "", C889), IF(sample_log!E890="Triennial SASS", "tri_params", "params"))</f>
        <v/>
      </c>
      <c r="D890" s="5" t="str">
        <f>IF(B890="", "", C890 &amp; "!" &amp; CHAR(65+MATCH(B890, params!$B$2:$R$2, 0)))</f>
        <v/>
      </c>
      <c r="E890" s="5" t="str">
        <f ca="1">IF(B890="", "", COUNTA(INDIRECT(D890 &amp; 3):INDIRECT(D890 &amp; 24)))</f>
        <v/>
      </c>
      <c r="F890" s="5" t="str">
        <f t="shared" si="28"/>
        <v/>
      </c>
      <c r="G890" s="5" t="str">
        <f>IF(F890="", "", IF(B890&lt;&gt;"", MATCH(B890, params!$B$2:$R$2, 0), G889))</f>
        <v/>
      </c>
      <c r="H890" s="5" t="str">
        <f t="shared" ca="1" si="29"/>
        <v/>
      </c>
      <c r="M890" s="2"/>
    </row>
    <row r="891" spans="2:13" ht="15.6" x14ac:dyDescent="0.3">
      <c r="B891" s="5" t="str">
        <f>IF(COUNTIF(data_val!$E$3:$E$5, sample_log!$E891), sample_log!$C891 &amp; "_" &amp; sample_log!$D891, "")</f>
        <v/>
      </c>
      <c r="C891" s="5" t="str">
        <f>IF(B891="", IF(F891="", "", C890), IF(sample_log!E891="Triennial SASS", "tri_params", "params"))</f>
        <v/>
      </c>
      <c r="D891" s="5" t="str">
        <f>IF(B891="", "", C891 &amp; "!" &amp; CHAR(65+MATCH(B891, params!$B$2:$R$2, 0)))</f>
        <v/>
      </c>
      <c r="E891" s="5" t="str">
        <f ca="1">IF(B891="", "", COUNTA(INDIRECT(D891 &amp; 3):INDIRECT(D891 &amp; 24)))</f>
        <v/>
      </c>
      <c r="F891" s="5" t="str">
        <f t="shared" si="28"/>
        <v/>
      </c>
      <c r="G891" s="5" t="str">
        <f>IF(F891="", "", IF(B891&lt;&gt;"", MATCH(B891, params!$B$2:$R$2, 0), G890))</f>
        <v/>
      </c>
      <c r="H891" s="5" t="str">
        <f t="shared" ca="1" si="29"/>
        <v/>
      </c>
      <c r="M891" s="2"/>
    </row>
    <row r="892" spans="2:13" ht="15.6" x14ac:dyDescent="0.3">
      <c r="B892" s="5" t="str">
        <f>IF(COUNTIF(data_val!$E$3:$E$5, sample_log!$E892), sample_log!$C892 &amp; "_" &amp; sample_log!$D892, "")</f>
        <v/>
      </c>
      <c r="C892" s="5" t="str">
        <f>IF(B892="", IF(F892="", "", C891), IF(sample_log!E892="Triennial SASS", "tri_params", "params"))</f>
        <v/>
      </c>
      <c r="D892" s="5" t="str">
        <f>IF(B892="", "", C892 &amp; "!" &amp; CHAR(65+MATCH(B892, params!$B$2:$R$2, 0)))</f>
        <v/>
      </c>
      <c r="E892" s="5" t="str">
        <f ca="1">IF(B892="", "", COUNTA(INDIRECT(D892 &amp; 3):INDIRECT(D892 &amp; 24)))</f>
        <v/>
      </c>
      <c r="F892" s="5" t="str">
        <f t="shared" si="28"/>
        <v/>
      </c>
      <c r="G892" s="5" t="str">
        <f>IF(F892="", "", IF(B892&lt;&gt;"", MATCH(B892, params!$B$2:$R$2, 0), G891))</f>
        <v/>
      </c>
      <c r="H892" s="5" t="str">
        <f t="shared" ca="1" si="29"/>
        <v/>
      </c>
      <c r="M892" s="2"/>
    </row>
    <row r="893" spans="2:13" ht="15.6" x14ac:dyDescent="0.3">
      <c r="B893" s="5" t="str">
        <f>IF(COUNTIF(data_val!$E$3:$E$5, sample_log!$E893), sample_log!$C893 &amp; "_" &amp; sample_log!$D893, "")</f>
        <v/>
      </c>
      <c r="C893" s="5" t="str">
        <f>IF(B893="", IF(F893="", "", C892), IF(sample_log!E893="Triennial SASS", "tri_params", "params"))</f>
        <v/>
      </c>
      <c r="D893" s="5" t="str">
        <f>IF(B893="", "", C893 &amp; "!" &amp; CHAR(65+MATCH(B893, params!$B$2:$R$2, 0)))</f>
        <v/>
      </c>
      <c r="E893" s="5" t="str">
        <f ca="1">IF(B893="", "", COUNTA(INDIRECT(D893 &amp; 3):INDIRECT(D893 &amp; 24)))</f>
        <v/>
      </c>
      <c r="F893" s="5" t="str">
        <f t="shared" si="28"/>
        <v/>
      </c>
      <c r="G893" s="5" t="str">
        <f>IF(F893="", "", IF(B893&lt;&gt;"", MATCH(B893, params!$B$2:$R$2, 0), G892))</f>
        <v/>
      </c>
      <c r="H893" s="5" t="str">
        <f t="shared" ca="1" si="29"/>
        <v/>
      </c>
      <c r="M893" s="2"/>
    </row>
    <row r="894" spans="2:13" ht="15.6" x14ac:dyDescent="0.3">
      <c r="B894" s="5" t="str">
        <f>IF(COUNTIF(data_val!$E$3:$E$5, sample_log!$E894), sample_log!$C894 &amp; "_" &amp; sample_log!$D894, "")</f>
        <v/>
      </c>
      <c r="C894" s="5" t="str">
        <f>IF(B894="", IF(F894="", "", C893), IF(sample_log!E894="Triennial SASS", "tri_params", "params"))</f>
        <v/>
      </c>
      <c r="D894" s="5" t="str">
        <f>IF(B894="", "", C894 &amp; "!" &amp; CHAR(65+MATCH(B894, params!$B$2:$R$2, 0)))</f>
        <v/>
      </c>
      <c r="E894" s="5" t="str">
        <f ca="1">IF(B894="", "", COUNTA(INDIRECT(D894 &amp; 3):INDIRECT(D894 &amp; 24)))</f>
        <v/>
      </c>
      <c r="F894" s="5" t="str">
        <f t="shared" si="28"/>
        <v/>
      </c>
      <c r="G894" s="5" t="str">
        <f>IF(F894="", "", IF(B894&lt;&gt;"", MATCH(B894, params!$B$2:$R$2, 0), G893))</f>
        <v/>
      </c>
      <c r="H894" s="5" t="str">
        <f t="shared" ca="1" si="29"/>
        <v/>
      </c>
      <c r="M894" s="2"/>
    </row>
    <row r="895" spans="2:13" ht="15.6" x14ac:dyDescent="0.3">
      <c r="B895" s="5" t="str">
        <f>IF(COUNTIF(data_val!$E$3:$E$5, sample_log!$E895), sample_log!$C895 &amp; "_" &amp; sample_log!$D895, "")</f>
        <v/>
      </c>
      <c r="C895" s="5" t="str">
        <f>IF(B895="", IF(F895="", "", C894), IF(sample_log!E895="Triennial SASS", "tri_params", "params"))</f>
        <v/>
      </c>
      <c r="D895" s="5" t="str">
        <f>IF(B895="", "", C895 &amp; "!" &amp; CHAR(65+MATCH(B895, params!$B$2:$R$2, 0)))</f>
        <v/>
      </c>
      <c r="E895" s="5" t="str">
        <f ca="1">IF(B895="", "", COUNTA(INDIRECT(D895 &amp; 3):INDIRECT(D895 &amp; 24)))</f>
        <v/>
      </c>
      <c r="F895" s="5" t="str">
        <f t="shared" si="28"/>
        <v/>
      </c>
      <c r="G895" s="5" t="str">
        <f>IF(F895="", "", IF(B895&lt;&gt;"", MATCH(B895, params!$B$2:$R$2, 0), G894))</f>
        <v/>
      </c>
      <c r="H895" s="5" t="str">
        <f t="shared" ca="1" si="29"/>
        <v/>
      </c>
      <c r="M895" s="2"/>
    </row>
    <row r="896" spans="2:13" ht="15.6" x14ac:dyDescent="0.3">
      <c r="B896" s="5" t="str">
        <f>IF(COUNTIF(data_val!$E$3:$E$5, sample_log!$E896), sample_log!$C896 &amp; "_" &amp; sample_log!$D896, "")</f>
        <v/>
      </c>
      <c r="C896" s="5" t="str">
        <f>IF(B896="", IF(F896="", "", C895), IF(sample_log!E896="Triennial SASS", "tri_params", "params"))</f>
        <v/>
      </c>
      <c r="D896" s="5" t="str">
        <f>IF(B896="", "", C896 &amp; "!" &amp; CHAR(65+MATCH(B896, params!$B$2:$R$2, 0)))</f>
        <v/>
      </c>
      <c r="E896" s="5" t="str">
        <f ca="1">IF(B896="", "", COUNTA(INDIRECT(D896 &amp; 3):INDIRECT(D896 &amp; 24)))</f>
        <v/>
      </c>
      <c r="F896" s="5" t="str">
        <f t="shared" si="28"/>
        <v/>
      </c>
      <c r="G896" s="5" t="str">
        <f>IF(F896="", "", IF(B896&lt;&gt;"", MATCH(B896, params!$B$2:$R$2, 0), G895))</f>
        <v/>
      </c>
      <c r="H896" s="5" t="str">
        <f t="shared" ca="1" si="29"/>
        <v/>
      </c>
      <c r="M896" s="2"/>
    </row>
    <row r="897" spans="2:13" ht="15.6" x14ac:dyDescent="0.3">
      <c r="B897" s="5" t="str">
        <f>IF(COUNTIF(data_val!$E$3:$E$5, sample_log!$E897), sample_log!$C897 &amp; "_" &amp; sample_log!$D897, "")</f>
        <v/>
      </c>
      <c r="C897" s="5" t="str">
        <f>IF(B897="", IF(F897="", "", C896), IF(sample_log!E897="Triennial SASS", "tri_params", "params"))</f>
        <v/>
      </c>
      <c r="D897" s="5" t="str">
        <f>IF(B897="", "", C897 &amp; "!" &amp; CHAR(65+MATCH(B897, params!$B$2:$R$2, 0)))</f>
        <v/>
      </c>
      <c r="E897" s="5" t="str">
        <f ca="1">IF(B897="", "", COUNTA(INDIRECT(D897 &amp; 3):INDIRECT(D897 &amp; 24)))</f>
        <v/>
      </c>
      <c r="F897" s="5" t="str">
        <f t="shared" si="28"/>
        <v/>
      </c>
      <c r="G897" s="5" t="str">
        <f>IF(F897="", "", IF(B897&lt;&gt;"", MATCH(B897, params!$B$2:$R$2, 0), G896))</f>
        <v/>
      </c>
      <c r="H897" s="5" t="str">
        <f t="shared" ca="1" si="29"/>
        <v/>
      </c>
      <c r="M897" s="2"/>
    </row>
    <row r="898" spans="2:13" ht="15.6" x14ac:dyDescent="0.3">
      <c r="B898" s="5" t="str">
        <f>IF(COUNTIF(data_val!$E$3:$E$5, sample_log!$E898), sample_log!$C898 &amp; "_" &amp; sample_log!$D898, "")</f>
        <v/>
      </c>
      <c r="C898" s="5" t="str">
        <f>IF(B898="", IF(F898="", "", C897), IF(sample_log!E898="Triennial SASS", "tri_params", "params"))</f>
        <v/>
      </c>
      <c r="D898" s="5" t="str">
        <f>IF(B898="", "", C898 &amp; "!" &amp; CHAR(65+MATCH(B898, params!$B$2:$R$2, 0)))</f>
        <v/>
      </c>
      <c r="E898" s="5" t="str">
        <f ca="1">IF(B898="", "", COUNTA(INDIRECT(D898 &amp; 3):INDIRECT(D898 &amp; 24)))</f>
        <v/>
      </c>
      <c r="F898" s="5" t="str">
        <f t="shared" si="28"/>
        <v/>
      </c>
      <c r="G898" s="5" t="str">
        <f>IF(F898="", "", IF(B898&lt;&gt;"", MATCH(B898, params!$B$2:$R$2, 0), G897))</f>
        <v/>
      </c>
      <c r="H898" s="5" t="str">
        <f t="shared" ca="1" si="29"/>
        <v/>
      </c>
      <c r="M898" s="2"/>
    </row>
    <row r="899" spans="2:13" ht="15.6" x14ac:dyDescent="0.3">
      <c r="B899" s="5" t="str">
        <f>IF(COUNTIF(data_val!$E$3:$E$5, sample_log!$E899), sample_log!$C899 &amp; "_" &amp; sample_log!$D899, "")</f>
        <v/>
      </c>
      <c r="C899" s="5" t="str">
        <f>IF(B899="", IF(F899="", "", C898), IF(sample_log!E899="Triennial SASS", "tri_params", "params"))</f>
        <v/>
      </c>
      <c r="D899" s="5" t="str">
        <f>IF(B899="", "", C899 &amp; "!" &amp; CHAR(65+MATCH(B899, params!$B$2:$R$2, 0)))</f>
        <v/>
      </c>
      <c r="E899" s="5" t="str">
        <f ca="1">IF(B899="", "", COUNTA(INDIRECT(D899 &amp; 3):INDIRECT(D899 &amp; 24)))</f>
        <v/>
      </c>
      <c r="F899" s="5" t="str">
        <f t="shared" ref="F899:F962" si="30">IF(B899="", IF(NOT(ISNUMBER(F898)), "", IF(F898-1&gt;0, F898-1, "")), E899)</f>
        <v/>
      </c>
      <c r="G899" s="5" t="str">
        <f>IF(F899="", "", IF(B899&lt;&gt;"", MATCH(B899, params!$B$2:$R$2, 0), G898))</f>
        <v/>
      </c>
      <c r="H899" s="5" t="str">
        <f t="shared" ca="1" si="29"/>
        <v/>
      </c>
      <c r="M899" s="2"/>
    </row>
    <row r="900" spans="2:13" ht="15.6" x14ac:dyDescent="0.3">
      <c r="B900" s="5" t="str">
        <f>IF(COUNTIF(data_val!$E$3:$E$5, sample_log!$E900), sample_log!$C900 &amp; "_" &amp; sample_log!$D900, "")</f>
        <v/>
      </c>
      <c r="C900" s="5" t="str">
        <f>IF(B900="", IF(F900="", "", C899), IF(sample_log!E900="Triennial SASS", "tri_params", "params"))</f>
        <v/>
      </c>
      <c r="D900" s="5" t="str">
        <f>IF(B900="", "", C900 &amp; "!" &amp; CHAR(65+MATCH(B900, params!$B$2:$R$2, 0)))</f>
        <v/>
      </c>
      <c r="E900" s="5" t="str">
        <f ca="1">IF(B900="", "", COUNTA(INDIRECT(D900 &amp; 3):INDIRECT(D900 &amp; 24)))</f>
        <v/>
      </c>
      <c r="F900" s="5" t="str">
        <f t="shared" si="30"/>
        <v/>
      </c>
      <c r="G900" s="5" t="str">
        <f>IF(F900="", "", IF(B900&lt;&gt;"", MATCH(B900, params!$B$2:$R$2, 0), G899))</f>
        <v/>
      </c>
      <c r="H900" s="5" t="str">
        <f t="shared" ca="1" si="29"/>
        <v/>
      </c>
      <c r="M900" s="2"/>
    </row>
    <row r="901" spans="2:13" ht="15.6" x14ac:dyDescent="0.3">
      <c r="B901" s="5" t="str">
        <f>IF(COUNTIF(data_val!$E$3:$E$5, sample_log!$E901), sample_log!$C901 &amp; "_" &amp; sample_log!$D901, "")</f>
        <v/>
      </c>
      <c r="C901" s="5" t="str">
        <f>IF(B901="", IF(F901="", "", C900), IF(sample_log!E901="Triennial SASS", "tri_params", "params"))</f>
        <v/>
      </c>
      <c r="D901" s="5" t="str">
        <f>IF(B901="", "", C901 &amp; "!" &amp; CHAR(65+MATCH(B901, params!$B$2:$R$2, 0)))</f>
        <v/>
      </c>
      <c r="E901" s="5" t="str">
        <f ca="1">IF(B901="", "", COUNTA(INDIRECT(D901 &amp; 3):INDIRECT(D901 &amp; 24)))</f>
        <v/>
      </c>
      <c r="F901" s="5" t="str">
        <f t="shared" si="30"/>
        <v/>
      </c>
      <c r="G901" s="5" t="str">
        <f>IF(F901="", "", IF(B901&lt;&gt;"", MATCH(B901, params!$B$2:$R$2, 0), G900))</f>
        <v/>
      </c>
      <c r="H901" s="5" t="str">
        <f t="shared" ca="1" si="29"/>
        <v/>
      </c>
      <c r="M901" s="2"/>
    </row>
    <row r="902" spans="2:13" ht="15.6" x14ac:dyDescent="0.3">
      <c r="B902" s="5" t="str">
        <f>IF(COUNTIF(data_val!$E$3:$E$5, sample_log!$E902), sample_log!$C902 &amp; "_" &amp; sample_log!$D902, "")</f>
        <v/>
      </c>
      <c r="C902" s="5" t="str">
        <f>IF(B902="", IF(F902="", "", C901), IF(sample_log!E902="Triennial SASS", "tri_params", "params"))</f>
        <v/>
      </c>
      <c r="D902" s="5" t="str">
        <f>IF(B902="", "", C902 &amp; "!" &amp; CHAR(65+MATCH(B902, params!$B$2:$R$2, 0)))</f>
        <v/>
      </c>
      <c r="E902" s="5" t="str">
        <f ca="1">IF(B902="", "", COUNTA(INDIRECT(D902 &amp; 3):INDIRECT(D902 &amp; 24)))</f>
        <v/>
      </c>
      <c r="F902" s="5" t="str">
        <f t="shared" si="30"/>
        <v/>
      </c>
      <c r="G902" s="5" t="str">
        <f>IF(F902="", "", IF(B902&lt;&gt;"", MATCH(B902, params!$B$2:$R$2, 0), G901))</f>
        <v/>
      </c>
      <c r="H902" s="5" t="str">
        <f t="shared" ca="1" si="29"/>
        <v/>
      </c>
      <c r="M902" s="2"/>
    </row>
    <row r="903" spans="2:13" ht="15.6" x14ac:dyDescent="0.3">
      <c r="B903" s="5" t="str">
        <f>IF(COUNTIF(data_val!$E$3:$E$5, sample_log!$E903), sample_log!$C903 &amp; "_" &amp; sample_log!$D903, "")</f>
        <v/>
      </c>
      <c r="C903" s="5" t="str">
        <f>IF(B903="", IF(F903="", "", C902), IF(sample_log!E903="Triennial SASS", "tri_params", "params"))</f>
        <v/>
      </c>
      <c r="D903" s="5" t="str">
        <f>IF(B903="", "", C903 &amp; "!" &amp; CHAR(65+MATCH(B903, params!$B$2:$R$2, 0)))</f>
        <v/>
      </c>
      <c r="E903" s="5" t="str">
        <f ca="1">IF(B903="", "", COUNTA(INDIRECT(D903 &amp; 3):INDIRECT(D903 &amp; 24)))</f>
        <v/>
      </c>
      <c r="F903" s="5" t="str">
        <f t="shared" si="30"/>
        <v/>
      </c>
      <c r="G903" s="5" t="str">
        <f>IF(F903="", "", IF(B903&lt;&gt;"", MATCH(B903, params!$B$2:$R$2, 0), G902))</f>
        <v/>
      </c>
      <c r="H903" s="5" t="str">
        <f t="shared" ca="1" si="29"/>
        <v/>
      </c>
      <c r="M903" s="2"/>
    </row>
    <row r="904" spans="2:13" ht="15.6" x14ac:dyDescent="0.3">
      <c r="B904" s="5" t="str">
        <f>IF(COUNTIF(data_val!$E$3:$E$5, sample_log!$E904), sample_log!$C904 &amp; "_" &amp; sample_log!$D904, "")</f>
        <v/>
      </c>
      <c r="C904" s="5" t="str">
        <f>IF(B904="", IF(F904="", "", C903), IF(sample_log!E904="Triennial SASS", "tri_params", "params"))</f>
        <v/>
      </c>
      <c r="D904" s="5" t="str">
        <f>IF(B904="", "", C904 &amp; "!" &amp; CHAR(65+MATCH(B904, params!$B$2:$R$2, 0)))</f>
        <v/>
      </c>
      <c r="E904" s="5" t="str">
        <f ca="1">IF(B904="", "", COUNTA(INDIRECT(D904 &amp; 3):INDIRECT(D904 &amp; 24)))</f>
        <v/>
      </c>
      <c r="F904" s="5" t="str">
        <f t="shared" si="30"/>
        <v/>
      </c>
      <c r="G904" s="5" t="str">
        <f>IF(F904="", "", IF(B904&lt;&gt;"", MATCH(B904, params!$B$2:$R$2, 0), G903))</f>
        <v/>
      </c>
      <c r="H904" s="5" t="str">
        <f t="shared" ca="1" si="29"/>
        <v/>
      </c>
      <c r="M904" s="2"/>
    </row>
    <row r="905" spans="2:13" ht="15.6" x14ac:dyDescent="0.3">
      <c r="B905" s="5" t="str">
        <f>IF(COUNTIF(data_val!$E$3:$E$5, sample_log!$E905), sample_log!$C905 &amp; "_" &amp; sample_log!$D905, "")</f>
        <v/>
      </c>
      <c r="C905" s="5" t="str">
        <f>IF(B905="", IF(F905="", "", C904), IF(sample_log!E905="Triennial SASS", "tri_params", "params"))</f>
        <v/>
      </c>
      <c r="D905" s="5" t="str">
        <f>IF(B905="", "", C905 &amp; "!" &amp; CHAR(65+MATCH(B905, params!$B$2:$R$2, 0)))</f>
        <v/>
      </c>
      <c r="E905" s="5" t="str">
        <f ca="1">IF(B905="", "", COUNTA(INDIRECT(D905 &amp; 3):INDIRECT(D905 &amp; 24)))</f>
        <v/>
      </c>
      <c r="F905" s="5" t="str">
        <f t="shared" si="30"/>
        <v/>
      </c>
      <c r="G905" s="5" t="str">
        <f>IF(F905="", "", IF(B905&lt;&gt;"", MATCH(B905, params!$B$2:$R$2, 0), G904))</f>
        <v/>
      </c>
      <c r="H905" s="5" t="str">
        <f t="shared" ca="1" si="29"/>
        <v/>
      </c>
      <c r="M905" s="2"/>
    </row>
    <row r="906" spans="2:13" ht="15.6" x14ac:dyDescent="0.3">
      <c r="B906" s="5" t="str">
        <f>IF(COUNTIF(data_val!$E$3:$E$5, sample_log!$E906), sample_log!$C906 &amp; "_" &amp; sample_log!$D906, "")</f>
        <v/>
      </c>
      <c r="C906" s="5" t="str">
        <f>IF(B906="", IF(F906="", "", C905), IF(sample_log!E906="Triennial SASS", "tri_params", "params"))</f>
        <v/>
      </c>
      <c r="D906" s="5" t="str">
        <f>IF(B906="", "", C906 &amp; "!" &amp; CHAR(65+MATCH(B906, params!$B$2:$R$2, 0)))</f>
        <v/>
      </c>
      <c r="E906" s="5" t="str">
        <f ca="1">IF(B906="", "", COUNTA(INDIRECT(D906 &amp; 3):INDIRECT(D906 &amp; 24)))</f>
        <v/>
      </c>
      <c r="F906" s="5" t="str">
        <f t="shared" si="30"/>
        <v/>
      </c>
      <c r="G906" s="5" t="str">
        <f>IF(F906="", "", IF(B906&lt;&gt;"", MATCH(B906, params!$B$2:$R$2, 0), G905))</f>
        <v/>
      </c>
      <c r="H906" s="5" t="str">
        <f t="shared" ca="1" si="29"/>
        <v/>
      </c>
      <c r="M906" s="2"/>
    </row>
    <row r="907" spans="2:13" ht="15.6" x14ac:dyDescent="0.3">
      <c r="B907" s="5" t="str">
        <f>IF(COUNTIF(data_val!$E$3:$E$5, sample_log!$E907), sample_log!$C907 &amp; "_" &amp; sample_log!$D907, "")</f>
        <v/>
      </c>
      <c r="C907" s="5" t="str">
        <f>IF(B907="", IF(F907="", "", C906), IF(sample_log!E907="Triennial SASS", "tri_params", "params"))</f>
        <v/>
      </c>
      <c r="D907" s="5" t="str">
        <f>IF(B907="", "", C907 &amp; "!" &amp; CHAR(65+MATCH(B907, params!$B$2:$R$2, 0)))</f>
        <v/>
      </c>
      <c r="E907" s="5" t="str">
        <f ca="1">IF(B907="", "", COUNTA(INDIRECT(D907 &amp; 3):INDIRECT(D907 &amp; 24)))</f>
        <v/>
      </c>
      <c r="F907" s="5" t="str">
        <f t="shared" si="30"/>
        <v/>
      </c>
      <c r="G907" s="5" t="str">
        <f>IF(F907="", "", IF(B907&lt;&gt;"", MATCH(B907, params!$B$2:$R$2, 0), G906))</f>
        <v/>
      </c>
      <c r="H907" s="5" t="str">
        <f t="shared" ca="1" si="29"/>
        <v/>
      </c>
      <c r="M907" s="2"/>
    </row>
    <row r="908" spans="2:13" ht="15.6" x14ac:dyDescent="0.3">
      <c r="B908" s="5" t="str">
        <f>IF(COUNTIF(data_val!$E$3:$E$5, sample_log!$E908), sample_log!$C908 &amp; "_" &amp; sample_log!$D908, "")</f>
        <v/>
      </c>
      <c r="C908" s="5" t="str">
        <f>IF(B908="", IF(F908="", "", C907), IF(sample_log!E908="Triennial SASS", "tri_params", "params"))</f>
        <v/>
      </c>
      <c r="D908" s="5" t="str">
        <f>IF(B908="", "", C908 &amp; "!" &amp; CHAR(65+MATCH(B908, params!$B$2:$R$2, 0)))</f>
        <v/>
      </c>
      <c r="E908" s="5" t="str">
        <f ca="1">IF(B908="", "", COUNTA(INDIRECT(D908 &amp; 3):INDIRECT(D908 &amp; 24)))</f>
        <v/>
      </c>
      <c r="F908" s="5" t="str">
        <f t="shared" si="30"/>
        <v/>
      </c>
      <c r="G908" s="5" t="str">
        <f>IF(F908="", "", IF(B908&lt;&gt;"", MATCH(B908, params!$B$2:$R$2, 0), G907))</f>
        <v/>
      </c>
      <c r="H908" s="5" t="str">
        <f t="shared" ca="1" si="29"/>
        <v/>
      </c>
      <c r="M908" s="2"/>
    </row>
    <row r="909" spans="2:13" ht="15.6" x14ac:dyDescent="0.3">
      <c r="B909" s="5" t="str">
        <f>IF(COUNTIF(data_val!$E$3:$E$5, sample_log!$E909), sample_log!$C909 &amp; "_" &amp; sample_log!$D909, "")</f>
        <v/>
      </c>
      <c r="C909" s="5" t="str">
        <f>IF(B909="", IF(F909="", "", C908), IF(sample_log!E909="Triennial SASS", "tri_params", "params"))</f>
        <v/>
      </c>
      <c r="D909" s="5" t="str">
        <f>IF(B909="", "", C909 &amp; "!" &amp; CHAR(65+MATCH(B909, params!$B$2:$R$2, 0)))</f>
        <v/>
      </c>
      <c r="E909" s="5" t="str">
        <f ca="1">IF(B909="", "", COUNTA(INDIRECT(D909 &amp; 3):INDIRECT(D909 &amp; 24)))</f>
        <v/>
      </c>
      <c r="F909" s="5" t="str">
        <f t="shared" si="30"/>
        <v/>
      </c>
      <c r="G909" s="5" t="str">
        <f>IF(F909="", "", IF(B909&lt;&gt;"", MATCH(B909, params!$B$2:$R$2, 0), G908))</f>
        <v/>
      </c>
      <c r="H909" s="5" t="str">
        <f t="shared" ca="1" si="29"/>
        <v/>
      </c>
      <c r="M909" s="2"/>
    </row>
    <row r="910" spans="2:13" ht="15.6" x14ac:dyDescent="0.3">
      <c r="B910" s="5" t="str">
        <f>IF(COUNTIF(data_val!$E$3:$E$5, sample_log!$E910), sample_log!$C910 &amp; "_" &amp; sample_log!$D910, "")</f>
        <v/>
      </c>
      <c r="C910" s="5" t="str">
        <f>IF(B910="", IF(F910="", "", C909), IF(sample_log!E910="Triennial SASS", "tri_params", "params"))</f>
        <v/>
      </c>
      <c r="D910" s="5" t="str">
        <f>IF(B910="", "", C910 &amp; "!" &amp; CHAR(65+MATCH(B910, params!$B$2:$R$2, 0)))</f>
        <v/>
      </c>
      <c r="E910" s="5" t="str">
        <f ca="1">IF(B910="", "", COUNTA(INDIRECT(D910 &amp; 3):INDIRECT(D910 &amp; 24)))</f>
        <v/>
      </c>
      <c r="F910" s="5" t="str">
        <f t="shared" si="30"/>
        <v/>
      </c>
      <c r="G910" s="5" t="str">
        <f>IF(F910="", "", IF(B910&lt;&gt;"", MATCH(B910, params!$B$2:$R$2, 0), G909))</f>
        <v/>
      </c>
      <c r="H910" s="5" t="str">
        <f t="shared" ca="1" si="29"/>
        <v/>
      </c>
      <c r="M910" s="2"/>
    </row>
    <row r="911" spans="2:13" ht="15.6" x14ac:dyDescent="0.3">
      <c r="B911" s="5" t="str">
        <f>IF(COUNTIF(data_val!$E$3:$E$5, sample_log!$E911), sample_log!$C911 &amp; "_" &amp; sample_log!$D911, "")</f>
        <v/>
      </c>
      <c r="C911" s="5" t="str">
        <f>IF(B911="", IF(F911="", "", C910), IF(sample_log!E911="Triennial SASS", "tri_params", "params"))</f>
        <v/>
      </c>
      <c r="D911" s="5" t="str">
        <f>IF(B911="", "", C911 &amp; "!" &amp; CHAR(65+MATCH(B911, params!$B$2:$R$2, 0)))</f>
        <v/>
      </c>
      <c r="E911" s="5" t="str">
        <f ca="1">IF(B911="", "", COUNTA(INDIRECT(D911 &amp; 3):INDIRECT(D911 &amp; 24)))</f>
        <v/>
      </c>
      <c r="F911" s="5" t="str">
        <f t="shared" si="30"/>
        <v/>
      </c>
      <c r="G911" s="5" t="str">
        <f>IF(F911="", "", IF(B911&lt;&gt;"", MATCH(B911, params!$B$2:$R$2, 0), G910))</f>
        <v/>
      </c>
      <c r="H911" s="5" t="str">
        <f t="shared" ca="1" si="29"/>
        <v/>
      </c>
      <c r="M911" s="2"/>
    </row>
    <row r="912" spans="2:13" ht="15.6" x14ac:dyDescent="0.3">
      <c r="B912" s="5" t="str">
        <f>IF(COUNTIF(data_val!$E$3:$E$5, sample_log!$E912), sample_log!$C912 &amp; "_" &amp; sample_log!$D912, "")</f>
        <v/>
      </c>
      <c r="C912" s="5" t="str">
        <f>IF(B912="", IF(F912="", "", C911), IF(sample_log!E912="Triennial SASS", "tri_params", "params"))</f>
        <v/>
      </c>
      <c r="D912" s="5" t="str">
        <f>IF(B912="", "", C912 &amp; "!" &amp; CHAR(65+MATCH(B912, params!$B$2:$R$2, 0)))</f>
        <v/>
      </c>
      <c r="E912" s="5" t="str">
        <f ca="1">IF(B912="", "", COUNTA(INDIRECT(D912 &amp; 3):INDIRECT(D912 &amp; 24)))</f>
        <v/>
      </c>
      <c r="F912" s="5" t="str">
        <f t="shared" si="30"/>
        <v/>
      </c>
      <c r="G912" s="5" t="str">
        <f>IF(F912="", "", IF(B912&lt;&gt;"", MATCH(B912, params!$B$2:$R$2, 0), G911))</f>
        <v/>
      </c>
      <c r="H912" s="5" t="str">
        <f t="shared" ca="1" si="29"/>
        <v/>
      </c>
      <c r="M912" s="2"/>
    </row>
    <row r="913" spans="2:13" ht="15.6" x14ac:dyDescent="0.3">
      <c r="B913" s="5" t="str">
        <f>IF(COUNTIF(data_val!$E$3:$E$5, sample_log!$E913), sample_log!$C913 &amp; "_" &amp; sample_log!$D913, "")</f>
        <v/>
      </c>
      <c r="C913" s="5" t="str">
        <f>IF(B913="", IF(F913="", "", C912), IF(sample_log!E913="Triennial SASS", "tri_params", "params"))</f>
        <v/>
      </c>
      <c r="D913" s="5" t="str">
        <f>IF(B913="", "", C913 &amp; "!" &amp; CHAR(65+MATCH(B913, params!$B$2:$R$2, 0)))</f>
        <v/>
      </c>
      <c r="E913" s="5" t="str">
        <f ca="1">IF(B913="", "", COUNTA(INDIRECT(D913 &amp; 3):INDIRECT(D913 &amp; 24)))</f>
        <v/>
      </c>
      <c r="F913" s="5" t="str">
        <f t="shared" si="30"/>
        <v/>
      </c>
      <c r="G913" s="5" t="str">
        <f>IF(F913="", "", IF(B913&lt;&gt;"", MATCH(B913, params!$B$2:$R$2, 0), G912))</f>
        <v/>
      </c>
      <c r="H913" s="5" t="str">
        <f t="shared" ca="1" si="29"/>
        <v/>
      </c>
      <c r="M913" s="2"/>
    </row>
    <row r="914" spans="2:13" ht="15.6" x14ac:dyDescent="0.3">
      <c r="B914" s="5" t="str">
        <f>IF(COUNTIF(data_val!$E$3:$E$5, sample_log!$E914), sample_log!$C914 &amp; "_" &amp; sample_log!$D914, "")</f>
        <v/>
      </c>
      <c r="C914" s="5" t="str">
        <f>IF(B914="", IF(F914="", "", C913), IF(sample_log!E914="Triennial SASS", "tri_params", "params"))</f>
        <v/>
      </c>
      <c r="D914" s="5" t="str">
        <f>IF(B914="", "", C914 &amp; "!" &amp; CHAR(65+MATCH(B914, params!$B$2:$R$2, 0)))</f>
        <v/>
      </c>
      <c r="E914" s="5" t="str">
        <f ca="1">IF(B914="", "", COUNTA(INDIRECT(D914 &amp; 3):INDIRECT(D914 &amp; 24)))</f>
        <v/>
      </c>
      <c r="F914" s="5" t="str">
        <f t="shared" si="30"/>
        <v/>
      </c>
      <c r="G914" s="5" t="str">
        <f>IF(F914="", "", IF(B914&lt;&gt;"", MATCH(B914, params!$B$2:$R$2, 0), G913))</f>
        <v/>
      </c>
      <c r="H914" s="5" t="str">
        <f t="shared" ca="1" si="29"/>
        <v/>
      </c>
      <c r="M914" s="2"/>
    </row>
    <row r="915" spans="2:13" ht="15.6" x14ac:dyDescent="0.3">
      <c r="B915" s="5" t="str">
        <f>IF(COUNTIF(data_val!$E$3:$E$5, sample_log!$E915), sample_log!$C915 &amp; "_" &amp; sample_log!$D915, "")</f>
        <v/>
      </c>
      <c r="C915" s="5" t="str">
        <f>IF(B915="", IF(F915="", "", C914), IF(sample_log!E915="Triennial SASS", "tri_params", "params"))</f>
        <v/>
      </c>
      <c r="D915" s="5" t="str">
        <f>IF(B915="", "", C915 &amp; "!" &amp; CHAR(65+MATCH(B915, params!$B$2:$R$2, 0)))</f>
        <v/>
      </c>
      <c r="E915" s="5" t="str">
        <f ca="1">IF(B915="", "", COUNTA(INDIRECT(D915 &amp; 3):INDIRECT(D915 &amp; 24)))</f>
        <v/>
      </c>
      <c r="F915" s="5" t="str">
        <f t="shared" si="30"/>
        <v/>
      </c>
      <c r="G915" s="5" t="str">
        <f>IF(F915="", "", IF(B915&lt;&gt;"", MATCH(B915, params!$B$2:$R$2, 0), G914))</f>
        <v/>
      </c>
      <c r="H915" s="5" t="str">
        <f t="shared" ca="1" si="29"/>
        <v/>
      </c>
      <c r="M915" s="2"/>
    </row>
    <row r="916" spans="2:13" ht="15.6" x14ac:dyDescent="0.3">
      <c r="B916" s="5" t="str">
        <f>IF(COUNTIF(data_val!$E$3:$E$5, sample_log!$E916), sample_log!$C916 &amp; "_" &amp; sample_log!$D916, "")</f>
        <v/>
      </c>
      <c r="C916" s="5" t="str">
        <f>IF(B916="", IF(F916="", "", C915), IF(sample_log!E916="Triennial SASS", "tri_params", "params"))</f>
        <v/>
      </c>
      <c r="D916" s="5" t="str">
        <f>IF(B916="", "", C916 &amp; "!" &amp; CHAR(65+MATCH(B916, params!$B$2:$R$2, 0)))</f>
        <v/>
      </c>
      <c r="E916" s="5" t="str">
        <f ca="1">IF(B916="", "", COUNTA(INDIRECT(D916 &amp; 3):INDIRECT(D916 &amp; 24)))</f>
        <v/>
      </c>
      <c r="F916" s="5" t="str">
        <f t="shared" si="30"/>
        <v/>
      </c>
      <c r="G916" s="5" t="str">
        <f>IF(F916="", "", IF(B916&lt;&gt;"", MATCH(B916, params!$B$2:$R$2, 0), G915))</f>
        <v/>
      </c>
      <c r="H916" s="5" t="str">
        <f t="shared" ca="1" si="29"/>
        <v/>
      </c>
      <c r="M916" s="2"/>
    </row>
    <row r="917" spans="2:13" ht="15.6" x14ac:dyDescent="0.3">
      <c r="B917" s="5" t="str">
        <f>IF(COUNTIF(data_val!$E$3:$E$5, sample_log!$E917), sample_log!$C917 &amp; "_" &amp; sample_log!$D917, "")</f>
        <v/>
      </c>
      <c r="C917" s="5" t="str">
        <f>IF(B917="", IF(F917="", "", C916), IF(sample_log!E917="Triennial SASS", "tri_params", "params"))</f>
        <v/>
      </c>
      <c r="D917" s="5" t="str">
        <f>IF(B917="", "", C917 &amp; "!" &amp; CHAR(65+MATCH(B917, params!$B$2:$R$2, 0)))</f>
        <v/>
      </c>
      <c r="E917" s="5" t="str">
        <f ca="1">IF(B917="", "", COUNTA(INDIRECT(D917 &amp; 3):INDIRECT(D917 &amp; 24)))</f>
        <v/>
      </c>
      <c r="F917" s="5" t="str">
        <f t="shared" si="30"/>
        <v/>
      </c>
      <c r="G917" s="5" t="str">
        <f>IF(F917="", "", IF(B917&lt;&gt;"", MATCH(B917, params!$B$2:$R$2, 0), G916))</f>
        <v/>
      </c>
      <c r="H917" s="5" t="str">
        <f t="shared" ca="1" si="29"/>
        <v/>
      </c>
      <c r="M917" s="2"/>
    </row>
    <row r="918" spans="2:13" ht="15.6" x14ac:dyDescent="0.3">
      <c r="B918" s="5" t="str">
        <f>IF(COUNTIF(data_val!$E$3:$E$5, sample_log!$E918), sample_log!$C918 &amp; "_" &amp; sample_log!$D918, "")</f>
        <v/>
      </c>
      <c r="C918" s="5" t="str">
        <f>IF(B918="", IF(F918="", "", C917), IF(sample_log!E918="Triennial SASS", "tri_params", "params"))</f>
        <v/>
      </c>
      <c r="D918" s="5" t="str">
        <f>IF(B918="", "", C918 &amp; "!" &amp; CHAR(65+MATCH(B918, params!$B$2:$R$2, 0)))</f>
        <v/>
      </c>
      <c r="E918" s="5" t="str">
        <f ca="1">IF(B918="", "", COUNTA(INDIRECT(D918 &amp; 3):INDIRECT(D918 &amp; 24)))</f>
        <v/>
      </c>
      <c r="F918" s="5" t="str">
        <f t="shared" si="30"/>
        <v/>
      </c>
      <c r="G918" s="5" t="str">
        <f>IF(F918="", "", IF(B918&lt;&gt;"", MATCH(B918, params!$B$2:$R$2, 0), G917))</f>
        <v/>
      </c>
      <c r="H918" s="5" t="str">
        <f t="shared" ca="1" si="29"/>
        <v/>
      </c>
      <c r="M918" s="2"/>
    </row>
    <row r="919" spans="2:13" ht="15.6" x14ac:dyDescent="0.3">
      <c r="B919" s="5" t="str">
        <f>IF(COUNTIF(data_val!$E$3:$E$5, sample_log!$E919), sample_log!$C919 &amp; "_" &amp; sample_log!$D919, "")</f>
        <v/>
      </c>
      <c r="C919" s="5" t="str">
        <f>IF(B919="", IF(F919="", "", C918), IF(sample_log!E919="Triennial SASS", "tri_params", "params"))</f>
        <v/>
      </c>
      <c r="D919" s="5" t="str">
        <f>IF(B919="", "", C919 &amp; "!" &amp; CHAR(65+MATCH(B919, params!$B$2:$R$2, 0)))</f>
        <v/>
      </c>
      <c r="E919" s="5" t="str">
        <f ca="1">IF(B919="", "", COUNTA(INDIRECT(D919 &amp; 3):INDIRECT(D919 &amp; 24)))</f>
        <v/>
      </c>
      <c r="F919" s="5" t="str">
        <f t="shared" si="30"/>
        <v/>
      </c>
      <c r="G919" s="5" t="str">
        <f>IF(F919="", "", IF(B919&lt;&gt;"", MATCH(B919, params!$B$2:$R$2, 0), G918))</f>
        <v/>
      </c>
      <c r="H919" s="5" t="str">
        <f t="shared" ca="1" si="29"/>
        <v/>
      </c>
      <c r="M919" s="2"/>
    </row>
    <row r="920" spans="2:13" ht="15.6" x14ac:dyDescent="0.3">
      <c r="B920" s="5" t="str">
        <f>IF(COUNTIF(data_val!$E$3:$E$5, sample_log!$E920), sample_log!$C920 &amp; "_" &amp; sample_log!$D920, "")</f>
        <v/>
      </c>
      <c r="C920" s="5" t="str">
        <f>IF(B920="", IF(F920="", "", C919), IF(sample_log!E920="Triennial SASS", "tri_params", "params"))</f>
        <v/>
      </c>
      <c r="D920" s="5" t="str">
        <f>IF(B920="", "", C920 &amp; "!" &amp; CHAR(65+MATCH(B920, params!$B$2:$R$2, 0)))</f>
        <v/>
      </c>
      <c r="E920" s="5" t="str">
        <f ca="1">IF(B920="", "", COUNTA(INDIRECT(D920 &amp; 3):INDIRECT(D920 &amp; 24)))</f>
        <v/>
      </c>
      <c r="F920" s="5" t="str">
        <f t="shared" si="30"/>
        <v/>
      </c>
      <c r="G920" s="5" t="str">
        <f>IF(F920="", "", IF(B920&lt;&gt;"", MATCH(B920, params!$B$2:$R$2, 0), G919))</f>
        <v/>
      </c>
      <c r="H920" s="5" t="str">
        <f t="shared" ca="1" si="29"/>
        <v/>
      </c>
      <c r="M920" s="2"/>
    </row>
    <row r="921" spans="2:13" ht="15.6" x14ac:dyDescent="0.3">
      <c r="B921" s="5" t="str">
        <f>IF(COUNTIF(data_val!$E$3:$E$5, sample_log!$E921), sample_log!$C921 &amp; "_" &amp; sample_log!$D921, "")</f>
        <v/>
      </c>
      <c r="C921" s="5" t="str">
        <f>IF(B921="", IF(F921="", "", C920), IF(sample_log!E921="Triennial SASS", "tri_params", "params"))</f>
        <v/>
      </c>
      <c r="D921" s="5" t="str">
        <f>IF(B921="", "", C921 &amp; "!" &amp; CHAR(65+MATCH(B921, params!$B$2:$R$2, 0)))</f>
        <v/>
      </c>
      <c r="E921" s="5" t="str">
        <f ca="1">IF(B921="", "", COUNTA(INDIRECT(D921 &amp; 3):INDIRECT(D921 &amp; 24)))</f>
        <v/>
      </c>
      <c r="F921" s="5" t="str">
        <f t="shared" si="30"/>
        <v/>
      </c>
      <c r="G921" s="5" t="str">
        <f>IF(F921="", "", IF(B921&lt;&gt;"", MATCH(B921, params!$B$2:$R$2, 0), G920))</f>
        <v/>
      </c>
      <c r="H921" s="5" t="str">
        <f t="shared" ref="H921:H984" ca="1" si="31">IF($F921="", "", INDEX(INDIRECT("'" &amp; C921 &amp; "'!$B$3:$R$24"), $F921, $G921))</f>
        <v/>
      </c>
      <c r="M921" s="2"/>
    </row>
    <row r="922" spans="2:13" ht="15.6" x14ac:dyDescent="0.3">
      <c r="B922" s="5" t="str">
        <f>IF(COUNTIF(data_val!$E$3:$E$5, sample_log!$E922), sample_log!$C922 &amp; "_" &amp; sample_log!$D922, "")</f>
        <v/>
      </c>
      <c r="C922" s="5" t="str">
        <f>IF(B922="", IF(F922="", "", C921), IF(sample_log!E922="Triennial SASS", "tri_params", "params"))</f>
        <v/>
      </c>
      <c r="D922" s="5" t="str">
        <f>IF(B922="", "", C922 &amp; "!" &amp; CHAR(65+MATCH(B922, params!$B$2:$R$2, 0)))</f>
        <v/>
      </c>
      <c r="E922" s="5" t="str">
        <f ca="1">IF(B922="", "", COUNTA(INDIRECT(D922 &amp; 3):INDIRECT(D922 &amp; 24)))</f>
        <v/>
      </c>
      <c r="F922" s="5" t="str">
        <f t="shared" si="30"/>
        <v/>
      </c>
      <c r="G922" s="5" t="str">
        <f>IF(F922="", "", IF(B922&lt;&gt;"", MATCH(B922, params!$B$2:$R$2, 0), G921))</f>
        <v/>
      </c>
      <c r="H922" s="5" t="str">
        <f t="shared" ca="1" si="31"/>
        <v/>
      </c>
      <c r="M922" s="2"/>
    </row>
    <row r="923" spans="2:13" ht="15.6" x14ac:dyDescent="0.3">
      <c r="B923" s="5" t="str">
        <f>IF(COUNTIF(data_val!$E$3:$E$5, sample_log!$E923), sample_log!$C923 &amp; "_" &amp; sample_log!$D923, "")</f>
        <v/>
      </c>
      <c r="C923" s="5" t="str">
        <f>IF(B923="", IF(F923="", "", C922), IF(sample_log!E923="Triennial SASS", "tri_params", "params"))</f>
        <v/>
      </c>
      <c r="D923" s="5" t="str">
        <f>IF(B923="", "", C923 &amp; "!" &amp; CHAR(65+MATCH(B923, params!$B$2:$R$2, 0)))</f>
        <v/>
      </c>
      <c r="E923" s="5" t="str">
        <f ca="1">IF(B923="", "", COUNTA(INDIRECT(D923 &amp; 3):INDIRECT(D923 &amp; 24)))</f>
        <v/>
      </c>
      <c r="F923" s="5" t="str">
        <f t="shared" si="30"/>
        <v/>
      </c>
      <c r="G923" s="5" t="str">
        <f>IF(F923="", "", IF(B923&lt;&gt;"", MATCH(B923, params!$B$2:$R$2, 0), G922))</f>
        <v/>
      </c>
      <c r="H923" s="5" t="str">
        <f t="shared" ca="1" si="31"/>
        <v/>
      </c>
      <c r="M923" s="2"/>
    </row>
    <row r="924" spans="2:13" ht="15.6" x14ac:dyDescent="0.3">
      <c r="B924" s="5" t="str">
        <f>IF(COUNTIF(data_val!$E$3:$E$5, sample_log!$E924), sample_log!$C924 &amp; "_" &amp; sample_log!$D924, "")</f>
        <v/>
      </c>
      <c r="C924" s="5" t="str">
        <f>IF(B924="", IF(F924="", "", C923), IF(sample_log!E924="Triennial SASS", "tri_params", "params"))</f>
        <v/>
      </c>
      <c r="D924" s="5" t="str">
        <f>IF(B924="", "", C924 &amp; "!" &amp; CHAR(65+MATCH(B924, params!$B$2:$R$2, 0)))</f>
        <v/>
      </c>
      <c r="E924" s="5" t="str">
        <f ca="1">IF(B924="", "", COUNTA(INDIRECT(D924 &amp; 3):INDIRECT(D924 &amp; 24)))</f>
        <v/>
      </c>
      <c r="F924" s="5" t="str">
        <f t="shared" si="30"/>
        <v/>
      </c>
      <c r="G924" s="5" t="str">
        <f>IF(F924="", "", IF(B924&lt;&gt;"", MATCH(B924, params!$B$2:$R$2, 0), G923))</f>
        <v/>
      </c>
      <c r="H924" s="5" t="str">
        <f t="shared" ca="1" si="31"/>
        <v/>
      </c>
      <c r="M924" s="2"/>
    </row>
    <row r="925" spans="2:13" ht="15.6" x14ac:dyDescent="0.3">
      <c r="B925" s="5" t="str">
        <f>IF(COUNTIF(data_val!$E$3:$E$5, sample_log!$E925), sample_log!$C925 &amp; "_" &amp; sample_log!$D925, "")</f>
        <v/>
      </c>
      <c r="C925" s="5" t="str">
        <f>IF(B925="", IF(F925="", "", C924), IF(sample_log!E925="Triennial SASS", "tri_params", "params"))</f>
        <v/>
      </c>
      <c r="D925" s="5" t="str">
        <f>IF(B925="", "", C925 &amp; "!" &amp; CHAR(65+MATCH(B925, params!$B$2:$R$2, 0)))</f>
        <v/>
      </c>
      <c r="E925" s="5" t="str">
        <f ca="1">IF(B925="", "", COUNTA(INDIRECT(D925 &amp; 3):INDIRECT(D925 &amp; 24)))</f>
        <v/>
      </c>
      <c r="F925" s="5" t="str">
        <f t="shared" si="30"/>
        <v/>
      </c>
      <c r="G925" s="5" t="str">
        <f>IF(F925="", "", IF(B925&lt;&gt;"", MATCH(B925, params!$B$2:$R$2, 0), G924))</f>
        <v/>
      </c>
      <c r="H925" s="5" t="str">
        <f t="shared" ca="1" si="31"/>
        <v/>
      </c>
      <c r="M925" s="2"/>
    </row>
    <row r="926" spans="2:13" ht="15.6" x14ac:dyDescent="0.3">
      <c r="B926" s="5" t="str">
        <f>IF(COUNTIF(data_val!$E$3:$E$5, sample_log!$E926), sample_log!$C926 &amp; "_" &amp; sample_log!$D926, "")</f>
        <v/>
      </c>
      <c r="C926" s="5" t="str">
        <f>IF(B926="", IF(F926="", "", C925), IF(sample_log!E926="Triennial SASS", "tri_params", "params"))</f>
        <v/>
      </c>
      <c r="D926" s="5" t="str">
        <f>IF(B926="", "", C926 &amp; "!" &amp; CHAR(65+MATCH(B926, params!$B$2:$R$2, 0)))</f>
        <v/>
      </c>
      <c r="E926" s="5" t="str">
        <f ca="1">IF(B926="", "", COUNTA(INDIRECT(D926 &amp; 3):INDIRECT(D926 &amp; 24)))</f>
        <v/>
      </c>
      <c r="F926" s="5" t="str">
        <f t="shared" si="30"/>
        <v/>
      </c>
      <c r="G926" s="5" t="str">
        <f>IF(F926="", "", IF(B926&lt;&gt;"", MATCH(B926, params!$B$2:$R$2, 0), G925))</f>
        <v/>
      </c>
      <c r="H926" s="5" t="str">
        <f t="shared" ca="1" si="31"/>
        <v/>
      </c>
      <c r="M926" s="2"/>
    </row>
    <row r="927" spans="2:13" ht="15.6" x14ac:dyDescent="0.3">
      <c r="B927" s="5" t="str">
        <f>IF(COUNTIF(data_val!$E$3:$E$5, sample_log!$E927), sample_log!$C927 &amp; "_" &amp; sample_log!$D927, "")</f>
        <v/>
      </c>
      <c r="C927" s="5" t="str">
        <f>IF(B927="", IF(F927="", "", C926), IF(sample_log!E927="Triennial SASS", "tri_params", "params"))</f>
        <v/>
      </c>
      <c r="D927" s="5" t="str">
        <f>IF(B927="", "", C927 &amp; "!" &amp; CHAR(65+MATCH(B927, params!$B$2:$R$2, 0)))</f>
        <v/>
      </c>
      <c r="E927" s="5" t="str">
        <f ca="1">IF(B927="", "", COUNTA(INDIRECT(D927 &amp; 3):INDIRECT(D927 &amp; 24)))</f>
        <v/>
      </c>
      <c r="F927" s="5" t="str">
        <f t="shared" si="30"/>
        <v/>
      </c>
      <c r="G927" s="5" t="str">
        <f>IF(F927="", "", IF(B927&lt;&gt;"", MATCH(B927, params!$B$2:$R$2, 0), G926))</f>
        <v/>
      </c>
      <c r="H927" s="5" t="str">
        <f t="shared" ca="1" si="31"/>
        <v/>
      </c>
      <c r="M927" s="2"/>
    </row>
    <row r="928" spans="2:13" ht="15.6" x14ac:dyDescent="0.3">
      <c r="B928" s="5" t="str">
        <f>IF(COUNTIF(data_val!$E$3:$E$5, sample_log!$E928), sample_log!$C928 &amp; "_" &amp; sample_log!$D928, "")</f>
        <v/>
      </c>
      <c r="C928" s="5" t="str">
        <f>IF(B928="", IF(F928="", "", C927), IF(sample_log!E928="Triennial SASS", "tri_params", "params"))</f>
        <v/>
      </c>
      <c r="D928" s="5" t="str">
        <f>IF(B928="", "", C928 &amp; "!" &amp; CHAR(65+MATCH(B928, params!$B$2:$R$2, 0)))</f>
        <v/>
      </c>
      <c r="E928" s="5" t="str">
        <f ca="1">IF(B928="", "", COUNTA(INDIRECT(D928 &amp; 3):INDIRECT(D928 &amp; 24)))</f>
        <v/>
      </c>
      <c r="F928" s="5" t="str">
        <f t="shared" si="30"/>
        <v/>
      </c>
      <c r="G928" s="5" t="str">
        <f>IF(F928="", "", IF(B928&lt;&gt;"", MATCH(B928, params!$B$2:$R$2, 0), G927))</f>
        <v/>
      </c>
      <c r="H928" s="5" t="str">
        <f t="shared" ca="1" si="31"/>
        <v/>
      </c>
      <c r="M928" s="2"/>
    </row>
    <row r="929" spans="2:13" ht="15.6" x14ac:dyDescent="0.3">
      <c r="B929" s="5" t="str">
        <f>IF(COUNTIF(data_val!$E$3:$E$5, sample_log!$E929), sample_log!$C929 &amp; "_" &amp; sample_log!$D929, "")</f>
        <v/>
      </c>
      <c r="C929" s="5" t="str">
        <f>IF(B929="", IF(F929="", "", C928), IF(sample_log!E929="Triennial SASS", "tri_params", "params"))</f>
        <v/>
      </c>
      <c r="D929" s="5" t="str">
        <f>IF(B929="", "", C929 &amp; "!" &amp; CHAR(65+MATCH(B929, params!$B$2:$R$2, 0)))</f>
        <v/>
      </c>
      <c r="E929" s="5" t="str">
        <f ca="1">IF(B929="", "", COUNTA(INDIRECT(D929 &amp; 3):INDIRECT(D929 &amp; 24)))</f>
        <v/>
      </c>
      <c r="F929" s="5" t="str">
        <f t="shared" si="30"/>
        <v/>
      </c>
      <c r="G929" s="5" t="str">
        <f>IF(F929="", "", IF(B929&lt;&gt;"", MATCH(B929, params!$B$2:$R$2, 0), G928))</f>
        <v/>
      </c>
      <c r="H929" s="5" t="str">
        <f t="shared" ca="1" si="31"/>
        <v/>
      </c>
      <c r="M929" s="2"/>
    </row>
    <row r="930" spans="2:13" ht="15.6" x14ac:dyDescent="0.3">
      <c r="B930" s="5" t="str">
        <f>IF(COUNTIF(data_val!$E$3:$E$5, sample_log!$E930), sample_log!$C930 &amp; "_" &amp; sample_log!$D930, "")</f>
        <v/>
      </c>
      <c r="C930" s="5" t="str">
        <f>IF(B930="", IF(F930="", "", C929), IF(sample_log!E930="Triennial SASS", "tri_params", "params"))</f>
        <v/>
      </c>
      <c r="D930" s="5" t="str">
        <f>IF(B930="", "", C930 &amp; "!" &amp; CHAR(65+MATCH(B930, params!$B$2:$R$2, 0)))</f>
        <v/>
      </c>
      <c r="E930" s="5" t="str">
        <f ca="1">IF(B930="", "", COUNTA(INDIRECT(D930 &amp; 3):INDIRECT(D930 &amp; 24)))</f>
        <v/>
      </c>
      <c r="F930" s="5" t="str">
        <f t="shared" si="30"/>
        <v/>
      </c>
      <c r="G930" s="5" t="str">
        <f>IF(F930="", "", IF(B930&lt;&gt;"", MATCH(B930, params!$B$2:$R$2, 0), G929))</f>
        <v/>
      </c>
      <c r="H930" s="5" t="str">
        <f t="shared" ca="1" si="31"/>
        <v/>
      </c>
      <c r="M930" s="2"/>
    </row>
    <row r="931" spans="2:13" ht="15.6" x14ac:dyDescent="0.3">
      <c r="B931" s="5" t="str">
        <f>IF(COUNTIF(data_val!$E$3:$E$5, sample_log!$E931), sample_log!$C931 &amp; "_" &amp; sample_log!$D931, "")</f>
        <v/>
      </c>
      <c r="C931" s="5" t="str">
        <f>IF(B931="", IF(F931="", "", C930), IF(sample_log!E931="Triennial SASS", "tri_params", "params"))</f>
        <v/>
      </c>
      <c r="D931" s="5" t="str">
        <f>IF(B931="", "", C931 &amp; "!" &amp; CHAR(65+MATCH(B931, params!$B$2:$R$2, 0)))</f>
        <v/>
      </c>
      <c r="E931" s="5" t="str">
        <f ca="1">IF(B931="", "", COUNTA(INDIRECT(D931 &amp; 3):INDIRECT(D931 &amp; 24)))</f>
        <v/>
      </c>
      <c r="F931" s="5" t="str">
        <f t="shared" si="30"/>
        <v/>
      </c>
      <c r="G931" s="5" t="str">
        <f>IF(F931="", "", IF(B931&lt;&gt;"", MATCH(B931, params!$B$2:$R$2, 0), G930))</f>
        <v/>
      </c>
      <c r="H931" s="5" t="str">
        <f t="shared" ca="1" si="31"/>
        <v/>
      </c>
      <c r="M931" s="2"/>
    </row>
    <row r="932" spans="2:13" ht="15.6" x14ac:dyDescent="0.3">
      <c r="B932" s="5" t="str">
        <f>IF(COUNTIF(data_val!$E$3:$E$5, sample_log!$E932), sample_log!$C932 &amp; "_" &amp; sample_log!$D932, "")</f>
        <v/>
      </c>
      <c r="C932" s="5" t="str">
        <f>IF(B932="", IF(F932="", "", C931), IF(sample_log!E932="Triennial SASS", "tri_params", "params"))</f>
        <v/>
      </c>
      <c r="D932" s="5" t="str">
        <f>IF(B932="", "", C932 &amp; "!" &amp; CHAR(65+MATCH(B932, params!$B$2:$R$2, 0)))</f>
        <v/>
      </c>
      <c r="E932" s="5" t="str">
        <f ca="1">IF(B932="", "", COUNTA(INDIRECT(D932 &amp; 3):INDIRECT(D932 &amp; 24)))</f>
        <v/>
      </c>
      <c r="F932" s="5" t="str">
        <f t="shared" si="30"/>
        <v/>
      </c>
      <c r="G932" s="5" t="str">
        <f>IF(F932="", "", IF(B932&lt;&gt;"", MATCH(B932, params!$B$2:$R$2, 0), G931))</f>
        <v/>
      </c>
      <c r="H932" s="5" t="str">
        <f t="shared" ca="1" si="31"/>
        <v/>
      </c>
      <c r="M932" s="2"/>
    </row>
    <row r="933" spans="2:13" ht="15.6" x14ac:dyDescent="0.3">
      <c r="B933" s="5" t="str">
        <f>IF(COUNTIF(data_val!$E$3:$E$5, sample_log!$E933), sample_log!$C933 &amp; "_" &amp; sample_log!$D933, "")</f>
        <v/>
      </c>
      <c r="C933" s="5" t="str">
        <f>IF(B933="", IF(F933="", "", C932), IF(sample_log!E933="Triennial SASS", "tri_params", "params"))</f>
        <v/>
      </c>
      <c r="D933" s="5" t="str">
        <f>IF(B933="", "", C933 &amp; "!" &amp; CHAR(65+MATCH(B933, params!$B$2:$R$2, 0)))</f>
        <v/>
      </c>
      <c r="E933" s="5" t="str">
        <f ca="1">IF(B933="", "", COUNTA(INDIRECT(D933 &amp; 3):INDIRECT(D933 &amp; 24)))</f>
        <v/>
      </c>
      <c r="F933" s="5" t="str">
        <f t="shared" si="30"/>
        <v/>
      </c>
      <c r="G933" s="5" t="str">
        <f>IF(F933="", "", IF(B933&lt;&gt;"", MATCH(B933, params!$B$2:$R$2, 0), G932))</f>
        <v/>
      </c>
      <c r="H933" s="5" t="str">
        <f t="shared" ca="1" si="31"/>
        <v/>
      </c>
      <c r="M933" s="2"/>
    </row>
    <row r="934" spans="2:13" ht="15.6" x14ac:dyDescent="0.3">
      <c r="B934" s="5" t="str">
        <f>IF(COUNTIF(data_val!$E$3:$E$5, sample_log!$E934), sample_log!$C934 &amp; "_" &amp; sample_log!$D934, "")</f>
        <v/>
      </c>
      <c r="C934" s="5" t="str">
        <f>IF(B934="", IF(F934="", "", C933), IF(sample_log!E934="Triennial SASS", "tri_params", "params"))</f>
        <v/>
      </c>
      <c r="D934" s="5" t="str">
        <f>IF(B934="", "", C934 &amp; "!" &amp; CHAR(65+MATCH(B934, params!$B$2:$R$2, 0)))</f>
        <v/>
      </c>
      <c r="E934" s="5" t="str">
        <f ca="1">IF(B934="", "", COUNTA(INDIRECT(D934 &amp; 3):INDIRECT(D934 &amp; 24)))</f>
        <v/>
      </c>
      <c r="F934" s="5" t="str">
        <f t="shared" si="30"/>
        <v/>
      </c>
      <c r="G934" s="5" t="str">
        <f>IF(F934="", "", IF(B934&lt;&gt;"", MATCH(B934, params!$B$2:$R$2, 0), G933))</f>
        <v/>
      </c>
      <c r="H934" s="5" t="str">
        <f t="shared" ca="1" si="31"/>
        <v/>
      </c>
      <c r="M934" s="2"/>
    </row>
    <row r="935" spans="2:13" ht="15.6" x14ac:dyDescent="0.3">
      <c r="B935" s="5" t="str">
        <f>IF(COUNTIF(data_val!$E$3:$E$5, sample_log!$E935), sample_log!$C935 &amp; "_" &amp; sample_log!$D935, "")</f>
        <v/>
      </c>
      <c r="C935" s="5" t="str">
        <f>IF(B935="", IF(F935="", "", C934), IF(sample_log!E935="Triennial SASS", "tri_params", "params"))</f>
        <v/>
      </c>
      <c r="D935" s="5" t="str">
        <f>IF(B935="", "", C935 &amp; "!" &amp; CHAR(65+MATCH(B935, params!$B$2:$R$2, 0)))</f>
        <v/>
      </c>
      <c r="E935" s="5" t="str">
        <f ca="1">IF(B935="", "", COUNTA(INDIRECT(D935 &amp; 3):INDIRECT(D935 &amp; 24)))</f>
        <v/>
      </c>
      <c r="F935" s="5" t="str">
        <f t="shared" si="30"/>
        <v/>
      </c>
      <c r="G935" s="5" t="str">
        <f>IF(F935="", "", IF(B935&lt;&gt;"", MATCH(B935, params!$B$2:$R$2, 0), G934))</f>
        <v/>
      </c>
      <c r="H935" s="5" t="str">
        <f t="shared" ca="1" si="31"/>
        <v/>
      </c>
      <c r="M935" s="2"/>
    </row>
    <row r="936" spans="2:13" ht="15.6" x14ac:dyDescent="0.3">
      <c r="B936" s="5" t="str">
        <f>IF(COUNTIF(data_val!$E$3:$E$5, sample_log!$E936), sample_log!$C936 &amp; "_" &amp; sample_log!$D936, "")</f>
        <v/>
      </c>
      <c r="C936" s="5" t="str">
        <f>IF(B936="", IF(F936="", "", C935), IF(sample_log!E936="Triennial SASS", "tri_params", "params"))</f>
        <v/>
      </c>
      <c r="D936" s="5" t="str">
        <f>IF(B936="", "", C936 &amp; "!" &amp; CHAR(65+MATCH(B936, params!$B$2:$R$2, 0)))</f>
        <v/>
      </c>
      <c r="E936" s="5" t="str">
        <f ca="1">IF(B936="", "", COUNTA(INDIRECT(D936 &amp; 3):INDIRECT(D936 &amp; 24)))</f>
        <v/>
      </c>
      <c r="F936" s="5" t="str">
        <f t="shared" si="30"/>
        <v/>
      </c>
      <c r="G936" s="5" t="str">
        <f>IF(F936="", "", IF(B936&lt;&gt;"", MATCH(B936, params!$B$2:$R$2, 0), G935))</f>
        <v/>
      </c>
      <c r="H936" s="5" t="str">
        <f t="shared" ca="1" si="31"/>
        <v/>
      </c>
      <c r="M936" s="2"/>
    </row>
    <row r="937" spans="2:13" ht="15.6" x14ac:dyDescent="0.3">
      <c r="B937" s="5" t="str">
        <f>IF(COUNTIF(data_val!$E$3:$E$5, sample_log!$E937), sample_log!$C937 &amp; "_" &amp; sample_log!$D937, "")</f>
        <v/>
      </c>
      <c r="C937" s="5" t="str">
        <f>IF(B937="", IF(F937="", "", C936), IF(sample_log!E937="Triennial SASS", "tri_params", "params"))</f>
        <v/>
      </c>
      <c r="D937" s="5" t="str">
        <f>IF(B937="", "", C937 &amp; "!" &amp; CHAR(65+MATCH(B937, params!$B$2:$R$2, 0)))</f>
        <v/>
      </c>
      <c r="E937" s="5" t="str">
        <f ca="1">IF(B937="", "", COUNTA(INDIRECT(D937 &amp; 3):INDIRECT(D937 &amp; 24)))</f>
        <v/>
      </c>
      <c r="F937" s="5" t="str">
        <f t="shared" si="30"/>
        <v/>
      </c>
      <c r="G937" s="5" t="str">
        <f>IF(F937="", "", IF(B937&lt;&gt;"", MATCH(B937, params!$B$2:$R$2, 0), G936))</f>
        <v/>
      </c>
      <c r="H937" s="5" t="str">
        <f t="shared" ca="1" si="31"/>
        <v/>
      </c>
      <c r="M937" s="2"/>
    </row>
    <row r="938" spans="2:13" ht="15.6" x14ac:dyDescent="0.3">
      <c r="B938" s="5" t="str">
        <f>IF(COUNTIF(data_val!$E$3:$E$5, sample_log!$E938), sample_log!$C938 &amp; "_" &amp; sample_log!$D938, "")</f>
        <v/>
      </c>
      <c r="C938" s="5" t="str">
        <f>IF(B938="", IF(F938="", "", C937), IF(sample_log!E938="Triennial SASS", "tri_params", "params"))</f>
        <v/>
      </c>
      <c r="D938" s="5" t="str">
        <f>IF(B938="", "", C938 &amp; "!" &amp; CHAR(65+MATCH(B938, params!$B$2:$R$2, 0)))</f>
        <v/>
      </c>
      <c r="E938" s="5" t="str">
        <f ca="1">IF(B938="", "", COUNTA(INDIRECT(D938 &amp; 3):INDIRECT(D938 &amp; 24)))</f>
        <v/>
      </c>
      <c r="F938" s="5" t="str">
        <f t="shared" si="30"/>
        <v/>
      </c>
      <c r="G938" s="5" t="str">
        <f>IF(F938="", "", IF(B938&lt;&gt;"", MATCH(B938, params!$B$2:$R$2, 0), G937))</f>
        <v/>
      </c>
      <c r="H938" s="5" t="str">
        <f t="shared" ca="1" si="31"/>
        <v/>
      </c>
      <c r="M938" s="2"/>
    </row>
    <row r="939" spans="2:13" ht="15.6" x14ac:dyDescent="0.3">
      <c r="B939" s="5" t="str">
        <f>IF(COUNTIF(data_val!$E$3:$E$5, sample_log!$E939), sample_log!$C939 &amp; "_" &amp; sample_log!$D939, "")</f>
        <v/>
      </c>
      <c r="C939" s="5" t="str">
        <f>IF(B939="", IF(F939="", "", C938), IF(sample_log!E939="Triennial SASS", "tri_params", "params"))</f>
        <v/>
      </c>
      <c r="D939" s="5" t="str">
        <f>IF(B939="", "", C939 &amp; "!" &amp; CHAR(65+MATCH(B939, params!$B$2:$R$2, 0)))</f>
        <v/>
      </c>
      <c r="E939" s="5" t="str">
        <f ca="1">IF(B939="", "", COUNTA(INDIRECT(D939 &amp; 3):INDIRECT(D939 &amp; 24)))</f>
        <v/>
      </c>
      <c r="F939" s="5" t="str">
        <f t="shared" si="30"/>
        <v/>
      </c>
      <c r="G939" s="5" t="str">
        <f>IF(F939="", "", IF(B939&lt;&gt;"", MATCH(B939, params!$B$2:$R$2, 0), G938))</f>
        <v/>
      </c>
      <c r="H939" s="5" t="str">
        <f t="shared" ca="1" si="31"/>
        <v/>
      </c>
      <c r="M939" s="2"/>
    </row>
    <row r="940" spans="2:13" ht="15.6" x14ac:dyDescent="0.3">
      <c r="B940" s="5" t="str">
        <f>IF(COUNTIF(data_val!$E$3:$E$5, sample_log!$E940), sample_log!$C940 &amp; "_" &amp; sample_log!$D940, "")</f>
        <v/>
      </c>
      <c r="C940" s="5" t="str">
        <f>IF(B940="", IF(F940="", "", C939), IF(sample_log!E940="Triennial SASS", "tri_params", "params"))</f>
        <v/>
      </c>
      <c r="D940" s="5" t="str">
        <f>IF(B940="", "", C940 &amp; "!" &amp; CHAR(65+MATCH(B940, params!$B$2:$R$2, 0)))</f>
        <v/>
      </c>
      <c r="E940" s="5" t="str">
        <f ca="1">IF(B940="", "", COUNTA(INDIRECT(D940 &amp; 3):INDIRECT(D940 &amp; 24)))</f>
        <v/>
      </c>
      <c r="F940" s="5" t="str">
        <f t="shared" si="30"/>
        <v/>
      </c>
      <c r="G940" s="5" t="str">
        <f>IF(F940="", "", IF(B940&lt;&gt;"", MATCH(B940, params!$B$2:$R$2, 0), G939))</f>
        <v/>
      </c>
      <c r="H940" s="5" t="str">
        <f t="shared" ca="1" si="31"/>
        <v/>
      </c>
      <c r="M940" s="2"/>
    </row>
    <row r="941" spans="2:13" ht="15.6" x14ac:dyDescent="0.3">
      <c r="B941" s="5" t="str">
        <f>IF(COUNTIF(data_val!$E$3:$E$5, sample_log!$E941), sample_log!$C941 &amp; "_" &amp; sample_log!$D941, "")</f>
        <v/>
      </c>
      <c r="C941" s="5" t="str">
        <f>IF(B941="", IF(F941="", "", C940), IF(sample_log!E941="Triennial SASS", "tri_params", "params"))</f>
        <v/>
      </c>
      <c r="D941" s="5" t="str">
        <f>IF(B941="", "", C941 &amp; "!" &amp; CHAR(65+MATCH(B941, params!$B$2:$R$2, 0)))</f>
        <v/>
      </c>
      <c r="E941" s="5" t="str">
        <f ca="1">IF(B941="", "", COUNTA(INDIRECT(D941 &amp; 3):INDIRECT(D941 &amp; 24)))</f>
        <v/>
      </c>
      <c r="F941" s="5" t="str">
        <f t="shared" si="30"/>
        <v/>
      </c>
      <c r="G941" s="5" t="str">
        <f>IF(F941="", "", IF(B941&lt;&gt;"", MATCH(B941, params!$B$2:$R$2, 0), G940))</f>
        <v/>
      </c>
      <c r="H941" s="5" t="str">
        <f t="shared" ca="1" si="31"/>
        <v/>
      </c>
      <c r="M941" s="2"/>
    </row>
    <row r="942" spans="2:13" ht="15.6" x14ac:dyDescent="0.3">
      <c r="B942" s="5" t="str">
        <f>IF(COUNTIF(data_val!$E$3:$E$5, sample_log!$E942), sample_log!$C942 &amp; "_" &amp; sample_log!$D942, "")</f>
        <v/>
      </c>
      <c r="C942" s="5" t="str">
        <f>IF(B942="", IF(F942="", "", C941), IF(sample_log!E942="Triennial SASS", "tri_params", "params"))</f>
        <v/>
      </c>
      <c r="D942" s="5" t="str">
        <f>IF(B942="", "", C942 &amp; "!" &amp; CHAR(65+MATCH(B942, params!$B$2:$R$2, 0)))</f>
        <v/>
      </c>
      <c r="E942" s="5" t="str">
        <f ca="1">IF(B942="", "", COUNTA(INDIRECT(D942 &amp; 3):INDIRECT(D942 &amp; 24)))</f>
        <v/>
      </c>
      <c r="F942" s="5" t="str">
        <f t="shared" si="30"/>
        <v/>
      </c>
      <c r="G942" s="5" t="str">
        <f>IF(F942="", "", IF(B942&lt;&gt;"", MATCH(B942, params!$B$2:$R$2, 0), G941))</f>
        <v/>
      </c>
      <c r="H942" s="5" t="str">
        <f t="shared" ca="1" si="31"/>
        <v/>
      </c>
      <c r="M942" s="2"/>
    </row>
    <row r="943" spans="2:13" ht="15.6" x14ac:dyDescent="0.3">
      <c r="B943" s="5" t="str">
        <f>IF(COUNTIF(data_val!$E$3:$E$5, sample_log!$E943), sample_log!$C943 &amp; "_" &amp; sample_log!$D943, "")</f>
        <v/>
      </c>
      <c r="C943" s="5" t="str">
        <f>IF(B943="", IF(F943="", "", C942), IF(sample_log!E943="Triennial SASS", "tri_params", "params"))</f>
        <v/>
      </c>
      <c r="D943" s="5" t="str">
        <f>IF(B943="", "", C943 &amp; "!" &amp; CHAR(65+MATCH(B943, params!$B$2:$R$2, 0)))</f>
        <v/>
      </c>
      <c r="E943" s="5" t="str">
        <f ca="1">IF(B943="", "", COUNTA(INDIRECT(D943 &amp; 3):INDIRECT(D943 &amp; 24)))</f>
        <v/>
      </c>
      <c r="F943" s="5" t="str">
        <f t="shared" si="30"/>
        <v/>
      </c>
      <c r="G943" s="5" t="str">
        <f>IF(F943="", "", IF(B943&lt;&gt;"", MATCH(B943, params!$B$2:$R$2, 0), G942))</f>
        <v/>
      </c>
      <c r="H943" s="5" t="str">
        <f t="shared" ca="1" si="31"/>
        <v/>
      </c>
      <c r="M943" s="2"/>
    </row>
    <row r="944" spans="2:13" ht="15.6" x14ac:dyDescent="0.3">
      <c r="B944" s="5" t="str">
        <f>IF(COUNTIF(data_val!$E$3:$E$5, sample_log!$E944), sample_log!$C944 &amp; "_" &amp; sample_log!$D944, "")</f>
        <v/>
      </c>
      <c r="C944" s="5" t="str">
        <f>IF(B944="", IF(F944="", "", C943), IF(sample_log!E944="Triennial SASS", "tri_params", "params"))</f>
        <v/>
      </c>
      <c r="D944" s="5" t="str">
        <f>IF(B944="", "", C944 &amp; "!" &amp; CHAR(65+MATCH(B944, params!$B$2:$R$2, 0)))</f>
        <v/>
      </c>
      <c r="E944" s="5" t="str">
        <f ca="1">IF(B944="", "", COUNTA(INDIRECT(D944 &amp; 3):INDIRECT(D944 &amp; 24)))</f>
        <v/>
      </c>
      <c r="F944" s="5" t="str">
        <f t="shared" si="30"/>
        <v/>
      </c>
      <c r="G944" s="5" t="str">
        <f>IF(F944="", "", IF(B944&lt;&gt;"", MATCH(B944, params!$B$2:$R$2, 0), G943))</f>
        <v/>
      </c>
      <c r="H944" s="5" t="str">
        <f t="shared" ca="1" si="31"/>
        <v/>
      </c>
      <c r="M944" s="2"/>
    </row>
    <row r="945" spans="2:13" ht="15.6" x14ac:dyDescent="0.3">
      <c r="B945" s="5" t="str">
        <f>IF(COUNTIF(data_val!$E$3:$E$5, sample_log!$E945), sample_log!$C945 &amp; "_" &amp; sample_log!$D945, "")</f>
        <v/>
      </c>
      <c r="C945" s="5" t="str">
        <f>IF(B945="", IF(F945="", "", C944), IF(sample_log!E945="Triennial SASS", "tri_params", "params"))</f>
        <v/>
      </c>
      <c r="D945" s="5" t="str">
        <f>IF(B945="", "", C945 &amp; "!" &amp; CHAR(65+MATCH(B945, params!$B$2:$R$2, 0)))</f>
        <v/>
      </c>
      <c r="E945" s="5" t="str">
        <f ca="1">IF(B945="", "", COUNTA(INDIRECT(D945 &amp; 3):INDIRECT(D945 &amp; 24)))</f>
        <v/>
      </c>
      <c r="F945" s="5" t="str">
        <f t="shared" si="30"/>
        <v/>
      </c>
      <c r="G945" s="5" t="str">
        <f>IF(F945="", "", IF(B945&lt;&gt;"", MATCH(B945, params!$B$2:$R$2, 0), G944))</f>
        <v/>
      </c>
      <c r="H945" s="5" t="str">
        <f t="shared" ca="1" si="31"/>
        <v/>
      </c>
      <c r="M945" s="2"/>
    </row>
    <row r="946" spans="2:13" ht="15.6" x14ac:dyDescent="0.3">
      <c r="B946" s="5" t="str">
        <f>IF(COUNTIF(data_val!$E$3:$E$5, sample_log!$E946), sample_log!$C946 &amp; "_" &amp; sample_log!$D946, "")</f>
        <v/>
      </c>
      <c r="C946" s="5" t="str">
        <f>IF(B946="", IF(F946="", "", C945), IF(sample_log!E946="Triennial SASS", "tri_params", "params"))</f>
        <v/>
      </c>
      <c r="D946" s="5" t="str">
        <f>IF(B946="", "", C946 &amp; "!" &amp; CHAR(65+MATCH(B946, params!$B$2:$R$2, 0)))</f>
        <v/>
      </c>
      <c r="E946" s="5" t="str">
        <f ca="1">IF(B946="", "", COUNTA(INDIRECT(D946 &amp; 3):INDIRECT(D946 &amp; 24)))</f>
        <v/>
      </c>
      <c r="F946" s="5" t="str">
        <f t="shared" si="30"/>
        <v/>
      </c>
      <c r="G946" s="5" t="str">
        <f>IF(F946="", "", IF(B946&lt;&gt;"", MATCH(B946, params!$B$2:$R$2, 0), G945))</f>
        <v/>
      </c>
      <c r="H946" s="5" t="str">
        <f t="shared" ca="1" si="31"/>
        <v/>
      </c>
      <c r="M946" s="2"/>
    </row>
    <row r="947" spans="2:13" ht="15.6" x14ac:dyDescent="0.3">
      <c r="B947" s="5" t="str">
        <f>IF(COUNTIF(data_val!$E$3:$E$5, sample_log!$E947), sample_log!$C947 &amp; "_" &amp; sample_log!$D947, "")</f>
        <v/>
      </c>
      <c r="C947" s="5" t="str">
        <f>IF(B947="", IF(F947="", "", C946), IF(sample_log!E947="Triennial SASS", "tri_params", "params"))</f>
        <v/>
      </c>
      <c r="D947" s="5" t="str">
        <f>IF(B947="", "", C947 &amp; "!" &amp; CHAR(65+MATCH(B947, params!$B$2:$R$2, 0)))</f>
        <v/>
      </c>
      <c r="E947" s="5" t="str">
        <f ca="1">IF(B947="", "", COUNTA(INDIRECT(D947 &amp; 3):INDIRECT(D947 &amp; 24)))</f>
        <v/>
      </c>
      <c r="F947" s="5" t="str">
        <f t="shared" si="30"/>
        <v/>
      </c>
      <c r="G947" s="5" t="str">
        <f>IF(F947="", "", IF(B947&lt;&gt;"", MATCH(B947, params!$B$2:$R$2, 0), G946))</f>
        <v/>
      </c>
      <c r="H947" s="5" t="str">
        <f t="shared" ca="1" si="31"/>
        <v/>
      </c>
      <c r="M947" s="2"/>
    </row>
    <row r="948" spans="2:13" ht="15.6" x14ac:dyDescent="0.3">
      <c r="B948" s="5" t="str">
        <f>IF(COUNTIF(data_val!$E$3:$E$5, sample_log!$E948), sample_log!$C948 &amp; "_" &amp; sample_log!$D948, "")</f>
        <v/>
      </c>
      <c r="C948" s="5" t="str">
        <f>IF(B948="", IF(F948="", "", C947), IF(sample_log!E948="Triennial SASS", "tri_params", "params"))</f>
        <v/>
      </c>
      <c r="D948" s="5" t="str">
        <f>IF(B948="", "", C948 &amp; "!" &amp; CHAR(65+MATCH(B948, params!$B$2:$R$2, 0)))</f>
        <v/>
      </c>
      <c r="E948" s="5" t="str">
        <f ca="1">IF(B948="", "", COUNTA(INDIRECT(D948 &amp; 3):INDIRECT(D948 &amp; 24)))</f>
        <v/>
      </c>
      <c r="F948" s="5" t="str">
        <f t="shared" si="30"/>
        <v/>
      </c>
      <c r="G948" s="5" t="str">
        <f>IF(F948="", "", IF(B948&lt;&gt;"", MATCH(B948, params!$B$2:$R$2, 0), G947))</f>
        <v/>
      </c>
      <c r="H948" s="5" t="str">
        <f t="shared" ca="1" si="31"/>
        <v/>
      </c>
      <c r="M948" s="2"/>
    </row>
    <row r="949" spans="2:13" ht="15.6" x14ac:dyDescent="0.3">
      <c r="B949" s="5" t="str">
        <f>IF(COUNTIF(data_val!$E$3:$E$5, sample_log!$E949), sample_log!$C949 &amp; "_" &amp; sample_log!$D949, "")</f>
        <v/>
      </c>
      <c r="C949" s="5" t="str">
        <f>IF(B949="", IF(F949="", "", C948), IF(sample_log!E949="Triennial SASS", "tri_params", "params"))</f>
        <v/>
      </c>
      <c r="D949" s="5" t="str">
        <f>IF(B949="", "", C949 &amp; "!" &amp; CHAR(65+MATCH(B949, params!$B$2:$R$2, 0)))</f>
        <v/>
      </c>
      <c r="E949" s="5" t="str">
        <f ca="1">IF(B949="", "", COUNTA(INDIRECT(D949 &amp; 3):INDIRECT(D949 &amp; 24)))</f>
        <v/>
      </c>
      <c r="F949" s="5" t="str">
        <f t="shared" si="30"/>
        <v/>
      </c>
      <c r="G949" s="5" t="str">
        <f>IF(F949="", "", IF(B949&lt;&gt;"", MATCH(B949, params!$B$2:$R$2, 0), G948))</f>
        <v/>
      </c>
      <c r="H949" s="5" t="str">
        <f t="shared" ca="1" si="31"/>
        <v/>
      </c>
      <c r="M949" s="2"/>
    </row>
    <row r="950" spans="2:13" ht="15.6" x14ac:dyDescent="0.3">
      <c r="B950" s="5" t="str">
        <f>IF(COUNTIF(data_val!$E$3:$E$5, sample_log!$E950), sample_log!$C950 &amp; "_" &amp; sample_log!$D950, "")</f>
        <v/>
      </c>
      <c r="C950" s="5" t="str">
        <f>IF(B950="", IF(F950="", "", C949), IF(sample_log!E950="Triennial SASS", "tri_params", "params"))</f>
        <v/>
      </c>
      <c r="D950" s="5" t="str">
        <f>IF(B950="", "", C950 &amp; "!" &amp; CHAR(65+MATCH(B950, params!$B$2:$R$2, 0)))</f>
        <v/>
      </c>
      <c r="E950" s="5" t="str">
        <f ca="1">IF(B950="", "", COUNTA(INDIRECT(D950 &amp; 3):INDIRECT(D950 &amp; 24)))</f>
        <v/>
      </c>
      <c r="F950" s="5" t="str">
        <f t="shared" si="30"/>
        <v/>
      </c>
      <c r="G950" s="5" t="str">
        <f>IF(F950="", "", IF(B950&lt;&gt;"", MATCH(B950, params!$B$2:$R$2, 0), G949))</f>
        <v/>
      </c>
      <c r="H950" s="5" t="str">
        <f t="shared" ca="1" si="31"/>
        <v/>
      </c>
      <c r="M950" s="2"/>
    </row>
    <row r="951" spans="2:13" ht="15.6" x14ac:dyDescent="0.3">
      <c r="B951" s="5" t="str">
        <f>IF(COUNTIF(data_val!$E$3:$E$5, sample_log!$E951), sample_log!$C951 &amp; "_" &amp; sample_log!$D951, "")</f>
        <v/>
      </c>
      <c r="C951" s="5" t="str">
        <f>IF(B951="", IF(F951="", "", C950), IF(sample_log!E951="Triennial SASS", "tri_params", "params"))</f>
        <v/>
      </c>
      <c r="D951" s="5" t="str">
        <f>IF(B951="", "", C951 &amp; "!" &amp; CHAR(65+MATCH(B951, params!$B$2:$R$2, 0)))</f>
        <v/>
      </c>
      <c r="E951" s="5" t="str">
        <f ca="1">IF(B951="", "", COUNTA(INDIRECT(D951 &amp; 3):INDIRECT(D951 &amp; 24)))</f>
        <v/>
      </c>
      <c r="F951" s="5" t="str">
        <f t="shared" si="30"/>
        <v/>
      </c>
      <c r="G951" s="5" t="str">
        <f>IF(F951="", "", IF(B951&lt;&gt;"", MATCH(B951, params!$B$2:$R$2, 0), G950))</f>
        <v/>
      </c>
      <c r="H951" s="5" t="str">
        <f t="shared" ca="1" si="31"/>
        <v/>
      </c>
      <c r="M951" s="2"/>
    </row>
    <row r="952" spans="2:13" ht="15.6" x14ac:dyDescent="0.3">
      <c r="B952" s="5" t="str">
        <f>IF(COUNTIF(data_val!$E$3:$E$5, sample_log!$E952), sample_log!$C952 &amp; "_" &amp; sample_log!$D952, "")</f>
        <v/>
      </c>
      <c r="C952" s="5" t="str">
        <f>IF(B952="", IF(F952="", "", C951), IF(sample_log!E952="Triennial SASS", "tri_params", "params"))</f>
        <v/>
      </c>
      <c r="D952" s="5" t="str">
        <f>IF(B952="", "", C952 &amp; "!" &amp; CHAR(65+MATCH(B952, params!$B$2:$R$2, 0)))</f>
        <v/>
      </c>
      <c r="E952" s="5" t="str">
        <f ca="1">IF(B952="", "", COUNTA(INDIRECT(D952 &amp; 3):INDIRECT(D952 &amp; 24)))</f>
        <v/>
      </c>
      <c r="F952" s="5" t="str">
        <f t="shared" si="30"/>
        <v/>
      </c>
      <c r="G952" s="5" t="str">
        <f>IF(F952="", "", IF(B952&lt;&gt;"", MATCH(B952, params!$B$2:$R$2, 0), G951))</f>
        <v/>
      </c>
      <c r="H952" s="5" t="str">
        <f t="shared" ca="1" si="31"/>
        <v/>
      </c>
      <c r="M952" s="2"/>
    </row>
    <row r="953" spans="2:13" ht="15.6" x14ac:dyDescent="0.3">
      <c r="B953" s="5" t="str">
        <f>IF(COUNTIF(data_val!$E$3:$E$5, sample_log!$E953), sample_log!$C953 &amp; "_" &amp; sample_log!$D953, "")</f>
        <v/>
      </c>
      <c r="C953" s="5" t="str">
        <f>IF(B953="", IF(F953="", "", C952), IF(sample_log!E953="Triennial SASS", "tri_params", "params"))</f>
        <v/>
      </c>
      <c r="D953" s="5" t="str">
        <f>IF(B953="", "", C953 &amp; "!" &amp; CHAR(65+MATCH(B953, params!$B$2:$R$2, 0)))</f>
        <v/>
      </c>
      <c r="E953" s="5" t="str">
        <f ca="1">IF(B953="", "", COUNTA(INDIRECT(D953 &amp; 3):INDIRECT(D953 &amp; 24)))</f>
        <v/>
      </c>
      <c r="F953" s="5" t="str">
        <f t="shared" si="30"/>
        <v/>
      </c>
      <c r="G953" s="5" t="str">
        <f>IF(F953="", "", IF(B953&lt;&gt;"", MATCH(B953, params!$B$2:$R$2, 0), G952))</f>
        <v/>
      </c>
      <c r="H953" s="5" t="str">
        <f t="shared" ca="1" si="31"/>
        <v/>
      </c>
      <c r="M953" s="2"/>
    </row>
    <row r="954" spans="2:13" ht="15.6" x14ac:dyDescent="0.3">
      <c r="B954" s="5" t="str">
        <f>IF(COUNTIF(data_val!$E$3:$E$5, sample_log!$E954), sample_log!$C954 &amp; "_" &amp; sample_log!$D954, "")</f>
        <v/>
      </c>
      <c r="C954" s="5" t="str">
        <f>IF(B954="", IF(F954="", "", C953), IF(sample_log!E954="Triennial SASS", "tri_params", "params"))</f>
        <v/>
      </c>
      <c r="D954" s="5" t="str">
        <f>IF(B954="", "", C954 &amp; "!" &amp; CHAR(65+MATCH(B954, params!$B$2:$R$2, 0)))</f>
        <v/>
      </c>
      <c r="E954" s="5" t="str">
        <f ca="1">IF(B954="", "", COUNTA(INDIRECT(D954 &amp; 3):INDIRECT(D954 &amp; 24)))</f>
        <v/>
      </c>
      <c r="F954" s="5" t="str">
        <f t="shared" si="30"/>
        <v/>
      </c>
      <c r="G954" s="5" t="str">
        <f>IF(F954="", "", IF(B954&lt;&gt;"", MATCH(B954, params!$B$2:$R$2, 0), G953))</f>
        <v/>
      </c>
      <c r="H954" s="5" t="str">
        <f t="shared" ca="1" si="31"/>
        <v/>
      </c>
      <c r="M954" s="2"/>
    </row>
    <row r="955" spans="2:13" ht="15.6" x14ac:dyDescent="0.3">
      <c r="B955" s="5" t="str">
        <f>IF(COUNTIF(data_val!$E$3:$E$5, sample_log!$E955), sample_log!$C955 &amp; "_" &amp; sample_log!$D955, "")</f>
        <v/>
      </c>
      <c r="C955" s="5" t="str">
        <f>IF(B955="", IF(F955="", "", C954), IF(sample_log!E955="Triennial SASS", "tri_params", "params"))</f>
        <v/>
      </c>
      <c r="D955" s="5" t="str">
        <f>IF(B955="", "", C955 &amp; "!" &amp; CHAR(65+MATCH(B955, params!$B$2:$R$2, 0)))</f>
        <v/>
      </c>
      <c r="E955" s="5" t="str">
        <f ca="1">IF(B955="", "", COUNTA(INDIRECT(D955 &amp; 3):INDIRECT(D955 &amp; 24)))</f>
        <v/>
      </c>
      <c r="F955" s="5" t="str">
        <f t="shared" si="30"/>
        <v/>
      </c>
      <c r="G955" s="5" t="str">
        <f>IF(F955="", "", IF(B955&lt;&gt;"", MATCH(B955, params!$B$2:$R$2, 0), G954))</f>
        <v/>
      </c>
      <c r="H955" s="5" t="str">
        <f t="shared" ca="1" si="31"/>
        <v/>
      </c>
      <c r="M955" s="2"/>
    </row>
    <row r="956" spans="2:13" ht="15.6" x14ac:dyDescent="0.3">
      <c r="B956" s="5" t="str">
        <f>IF(COUNTIF(data_val!$E$3:$E$5, sample_log!$E956), sample_log!$C956 &amp; "_" &amp; sample_log!$D956, "")</f>
        <v/>
      </c>
      <c r="C956" s="5" t="str">
        <f>IF(B956="", IF(F956="", "", C955), IF(sample_log!E956="Triennial SASS", "tri_params", "params"))</f>
        <v/>
      </c>
      <c r="D956" s="5" t="str">
        <f>IF(B956="", "", C956 &amp; "!" &amp; CHAR(65+MATCH(B956, params!$B$2:$R$2, 0)))</f>
        <v/>
      </c>
      <c r="E956" s="5" t="str">
        <f ca="1">IF(B956="", "", COUNTA(INDIRECT(D956 &amp; 3):INDIRECT(D956 &amp; 24)))</f>
        <v/>
      </c>
      <c r="F956" s="5" t="str">
        <f t="shared" si="30"/>
        <v/>
      </c>
      <c r="G956" s="5" t="str">
        <f>IF(F956="", "", IF(B956&lt;&gt;"", MATCH(B956, params!$B$2:$R$2, 0), G955))</f>
        <v/>
      </c>
      <c r="H956" s="5" t="str">
        <f t="shared" ca="1" si="31"/>
        <v/>
      </c>
      <c r="M956" s="2"/>
    </row>
    <row r="957" spans="2:13" ht="15.6" x14ac:dyDescent="0.3">
      <c r="B957" s="5" t="str">
        <f>IF(COUNTIF(data_val!$E$3:$E$5, sample_log!$E957), sample_log!$C957 &amp; "_" &amp; sample_log!$D957, "")</f>
        <v/>
      </c>
      <c r="C957" s="5" t="str">
        <f>IF(B957="", IF(F957="", "", C956), IF(sample_log!E957="Triennial SASS", "tri_params", "params"))</f>
        <v/>
      </c>
      <c r="D957" s="5" t="str">
        <f>IF(B957="", "", C957 &amp; "!" &amp; CHAR(65+MATCH(B957, params!$B$2:$R$2, 0)))</f>
        <v/>
      </c>
      <c r="E957" s="5" t="str">
        <f ca="1">IF(B957="", "", COUNTA(INDIRECT(D957 &amp; 3):INDIRECT(D957 &amp; 24)))</f>
        <v/>
      </c>
      <c r="F957" s="5" t="str">
        <f t="shared" si="30"/>
        <v/>
      </c>
      <c r="G957" s="5" t="str">
        <f>IF(F957="", "", IF(B957&lt;&gt;"", MATCH(B957, params!$B$2:$R$2, 0), G956))</f>
        <v/>
      </c>
      <c r="H957" s="5" t="str">
        <f t="shared" ca="1" si="31"/>
        <v/>
      </c>
      <c r="M957" s="2"/>
    </row>
    <row r="958" spans="2:13" ht="15.6" x14ac:dyDescent="0.3">
      <c r="B958" s="5" t="str">
        <f>IF(COUNTIF(data_val!$E$3:$E$5, sample_log!$E958), sample_log!$C958 &amp; "_" &amp; sample_log!$D958, "")</f>
        <v/>
      </c>
      <c r="C958" s="5" t="str">
        <f>IF(B958="", IF(F958="", "", C957), IF(sample_log!E958="Triennial SASS", "tri_params", "params"))</f>
        <v/>
      </c>
      <c r="D958" s="5" t="str">
        <f>IF(B958="", "", C958 &amp; "!" &amp; CHAR(65+MATCH(B958, params!$B$2:$R$2, 0)))</f>
        <v/>
      </c>
      <c r="E958" s="5" t="str">
        <f ca="1">IF(B958="", "", COUNTA(INDIRECT(D958 &amp; 3):INDIRECT(D958 &amp; 24)))</f>
        <v/>
      </c>
      <c r="F958" s="5" t="str">
        <f t="shared" si="30"/>
        <v/>
      </c>
      <c r="G958" s="5" t="str">
        <f>IF(F958="", "", IF(B958&lt;&gt;"", MATCH(B958, params!$B$2:$R$2, 0), G957))</f>
        <v/>
      </c>
      <c r="H958" s="5" t="str">
        <f t="shared" ca="1" si="31"/>
        <v/>
      </c>
      <c r="M958" s="2"/>
    </row>
    <row r="959" spans="2:13" ht="15.6" x14ac:dyDescent="0.3">
      <c r="B959" s="5" t="str">
        <f>IF(COUNTIF(data_val!$E$3:$E$5, sample_log!$E959), sample_log!$C959 &amp; "_" &amp; sample_log!$D959, "")</f>
        <v/>
      </c>
      <c r="C959" s="5" t="str">
        <f>IF(B959="", IF(F959="", "", C958), IF(sample_log!E959="Triennial SASS", "tri_params", "params"))</f>
        <v/>
      </c>
      <c r="D959" s="5" t="str">
        <f>IF(B959="", "", C959 &amp; "!" &amp; CHAR(65+MATCH(B959, params!$B$2:$R$2, 0)))</f>
        <v/>
      </c>
      <c r="E959" s="5" t="str">
        <f ca="1">IF(B959="", "", COUNTA(INDIRECT(D959 &amp; 3):INDIRECT(D959 &amp; 24)))</f>
        <v/>
      </c>
      <c r="F959" s="5" t="str">
        <f t="shared" si="30"/>
        <v/>
      </c>
      <c r="G959" s="5" t="str">
        <f>IF(F959="", "", IF(B959&lt;&gt;"", MATCH(B959, params!$B$2:$R$2, 0), G958))</f>
        <v/>
      </c>
      <c r="H959" s="5" t="str">
        <f t="shared" ca="1" si="31"/>
        <v/>
      </c>
      <c r="M959" s="2"/>
    </row>
    <row r="960" spans="2:13" ht="15.6" x14ac:dyDescent="0.3">
      <c r="B960" s="5" t="str">
        <f>IF(COUNTIF(data_val!$E$3:$E$5, sample_log!$E960), sample_log!$C960 &amp; "_" &amp; sample_log!$D960, "")</f>
        <v/>
      </c>
      <c r="C960" s="5" t="str">
        <f>IF(B960="", IF(F960="", "", C959), IF(sample_log!E960="Triennial SASS", "tri_params", "params"))</f>
        <v/>
      </c>
      <c r="D960" s="5" t="str">
        <f>IF(B960="", "", C960 &amp; "!" &amp; CHAR(65+MATCH(B960, params!$B$2:$R$2, 0)))</f>
        <v/>
      </c>
      <c r="E960" s="5" t="str">
        <f ca="1">IF(B960="", "", COUNTA(INDIRECT(D960 &amp; 3):INDIRECT(D960 &amp; 24)))</f>
        <v/>
      </c>
      <c r="F960" s="5" t="str">
        <f t="shared" si="30"/>
        <v/>
      </c>
      <c r="G960" s="5" t="str">
        <f>IF(F960="", "", IF(B960&lt;&gt;"", MATCH(B960, params!$B$2:$R$2, 0), G959))</f>
        <v/>
      </c>
      <c r="H960" s="5" t="str">
        <f t="shared" ca="1" si="31"/>
        <v/>
      </c>
      <c r="M960" s="2"/>
    </row>
    <row r="961" spans="2:13" ht="15.6" x14ac:dyDescent="0.3">
      <c r="B961" s="5" t="str">
        <f>IF(COUNTIF(data_val!$E$3:$E$5, sample_log!$E961), sample_log!$C961 &amp; "_" &amp; sample_log!$D961, "")</f>
        <v/>
      </c>
      <c r="C961" s="5" t="str">
        <f>IF(B961="", IF(F961="", "", C960), IF(sample_log!E961="Triennial SASS", "tri_params", "params"))</f>
        <v/>
      </c>
      <c r="D961" s="5" t="str">
        <f>IF(B961="", "", C961 &amp; "!" &amp; CHAR(65+MATCH(B961, params!$B$2:$R$2, 0)))</f>
        <v/>
      </c>
      <c r="E961" s="5" t="str">
        <f ca="1">IF(B961="", "", COUNTA(INDIRECT(D961 &amp; 3):INDIRECT(D961 &amp; 24)))</f>
        <v/>
      </c>
      <c r="F961" s="5" t="str">
        <f t="shared" si="30"/>
        <v/>
      </c>
      <c r="G961" s="5" t="str">
        <f>IF(F961="", "", IF(B961&lt;&gt;"", MATCH(B961, params!$B$2:$R$2, 0), G960))</f>
        <v/>
      </c>
      <c r="H961" s="5" t="str">
        <f t="shared" ca="1" si="31"/>
        <v/>
      </c>
      <c r="M961" s="2"/>
    </row>
    <row r="962" spans="2:13" ht="15.6" x14ac:dyDescent="0.3">
      <c r="B962" s="5" t="str">
        <f>IF(COUNTIF(data_val!$E$3:$E$5, sample_log!$E962), sample_log!$C962 &amp; "_" &amp; sample_log!$D962, "")</f>
        <v/>
      </c>
      <c r="C962" s="5" t="str">
        <f>IF(B962="", IF(F962="", "", C961), IF(sample_log!E962="Triennial SASS", "tri_params", "params"))</f>
        <v/>
      </c>
      <c r="D962" s="5" t="str">
        <f>IF(B962="", "", C962 &amp; "!" &amp; CHAR(65+MATCH(B962, params!$B$2:$R$2, 0)))</f>
        <v/>
      </c>
      <c r="E962" s="5" t="str">
        <f ca="1">IF(B962="", "", COUNTA(INDIRECT(D962 &amp; 3):INDIRECT(D962 &amp; 24)))</f>
        <v/>
      </c>
      <c r="F962" s="5" t="str">
        <f t="shared" si="30"/>
        <v/>
      </c>
      <c r="G962" s="5" t="str">
        <f>IF(F962="", "", IF(B962&lt;&gt;"", MATCH(B962, params!$B$2:$R$2, 0), G961))</f>
        <v/>
      </c>
      <c r="H962" s="5" t="str">
        <f t="shared" ca="1" si="31"/>
        <v/>
      </c>
      <c r="M962" s="2"/>
    </row>
    <row r="963" spans="2:13" ht="15.6" x14ac:dyDescent="0.3">
      <c r="B963" s="5" t="str">
        <f>IF(COUNTIF(data_val!$E$3:$E$5, sample_log!$E963), sample_log!$C963 &amp; "_" &amp; sample_log!$D963, "")</f>
        <v/>
      </c>
      <c r="C963" s="5" t="str">
        <f>IF(B963="", IF(F963="", "", C962), IF(sample_log!E963="Triennial SASS", "tri_params", "params"))</f>
        <v/>
      </c>
      <c r="D963" s="5" t="str">
        <f>IF(B963="", "", C963 &amp; "!" &amp; CHAR(65+MATCH(B963, params!$B$2:$R$2, 0)))</f>
        <v/>
      </c>
      <c r="E963" s="5" t="str">
        <f ca="1">IF(B963="", "", COUNTA(INDIRECT(D963 &amp; 3):INDIRECT(D963 &amp; 24)))</f>
        <v/>
      </c>
      <c r="F963" s="5" t="str">
        <f t="shared" ref="F963:F1026" si="32">IF(B963="", IF(NOT(ISNUMBER(F962)), "", IF(F962-1&gt;0, F962-1, "")), E963)</f>
        <v/>
      </c>
      <c r="G963" s="5" t="str">
        <f>IF(F963="", "", IF(B963&lt;&gt;"", MATCH(B963, params!$B$2:$R$2, 0), G962))</f>
        <v/>
      </c>
      <c r="H963" s="5" t="str">
        <f t="shared" ca="1" si="31"/>
        <v/>
      </c>
      <c r="M963" s="2"/>
    </row>
    <row r="964" spans="2:13" ht="15.6" x14ac:dyDescent="0.3">
      <c r="B964" s="5" t="str">
        <f>IF(COUNTIF(data_val!$E$3:$E$5, sample_log!$E964), sample_log!$C964 &amp; "_" &amp; sample_log!$D964, "")</f>
        <v/>
      </c>
      <c r="C964" s="5" t="str">
        <f>IF(B964="", IF(F964="", "", C963), IF(sample_log!E964="Triennial SASS", "tri_params", "params"))</f>
        <v/>
      </c>
      <c r="D964" s="5" t="str">
        <f>IF(B964="", "", C964 &amp; "!" &amp; CHAR(65+MATCH(B964, params!$B$2:$R$2, 0)))</f>
        <v/>
      </c>
      <c r="E964" s="5" t="str">
        <f ca="1">IF(B964="", "", COUNTA(INDIRECT(D964 &amp; 3):INDIRECT(D964 &amp; 24)))</f>
        <v/>
      </c>
      <c r="F964" s="5" t="str">
        <f t="shared" si="32"/>
        <v/>
      </c>
      <c r="G964" s="5" t="str">
        <f>IF(F964="", "", IF(B964&lt;&gt;"", MATCH(B964, params!$B$2:$R$2, 0), G963))</f>
        <v/>
      </c>
      <c r="H964" s="5" t="str">
        <f t="shared" ca="1" si="31"/>
        <v/>
      </c>
      <c r="M964" s="2"/>
    </row>
    <row r="965" spans="2:13" ht="15.6" x14ac:dyDescent="0.3">
      <c r="B965" s="5" t="str">
        <f>IF(COUNTIF(data_val!$E$3:$E$5, sample_log!$E965), sample_log!$C965 &amp; "_" &amp; sample_log!$D965, "")</f>
        <v/>
      </c>
      <c r="C965" s="5" t="str">
        <f>IF(B965="", IF(F965="", "", C964), IF(sample_log!E965="Triennial SASS", "tri_params", "params"))</f>
        <v/>
      </c>
      <c r="D965" s="5" t="str">
        <f>IF(B965="", "", C965 &amp; "!" &amp; CHAR(65+MATCH(B965, params!$B$2:$R$2, 0)))</f>
        <v/>
      </c>
      <c r="E965" s="5" t="str">
        <f ca="1">IF(B965="", "", COUNTA(INDIRECT(D965 &amp; 3):INDIRECT(D965 &amp; 24)))</f>
        <v/>
      </c>
      <c r="F965" s="5" t="str">
        <f t="shared" si="32"/>
        <v/>
      </c>
      <c r="G965" s="5" t="str">
        <f>IF(F965="", "", IF(B965&lt;&gt;"", MATCH(B965, params!$B$2:$R$2, 0), G964))</f>
        <v/>
      </c>
      <c r="H965" s="5" t="str">
        <f t="shared" ca="1" si="31"/>
        <v/>
      </c>
      <c r="M965" s="2"/>
    </row>
    <row r="966" spans="2:13" ht="15.6" x14ac:dyDescent="0.3">
      <c r="B966" s="5" t="str">
        <f>IF(COUNTIF(data_val!$E$3:$E$5, sample_log!$E966), sample_log!$C966 &amp; "_" &amp; sample_log!$D966, "")</f>
        <v/>
      </c>
      <c r="C966" s="5" t="str">
        <f>IF(B966="", IF(F966="", "", C965), IF(sample_log!E966="Triennial SASS", "tri_params", "params"))</f>
        <v/>
      </c>
      <c r="D966" s="5" t="str">
        <f>IF(B966="", "", C966 &amp; "!" &amp; CHAR(65+MATCH(B966, params!$B$2:$R$2, 0)))</f>
        <v/>
      </c>
      <c r="E966" s="5" t="str">
        <f ca="1">IF(B966="", "", COUNTA(INDIRECT(D966 &amp; 3):INDIRECT(D966 &amp; 24)))</f>
        <v/>
      </c>
      <c r="F966" s="5" t="str">
        <f t="shared" si="32"/>
        <v/>
      </c>
      <c r="G966" s="5" t="str">
        <f>IF(F966="", "", IF(B966&lt;&gt;"", MATCH(B966, params!$B$2:$R$2, 0), G965))</f>
        <v/>
      </c>
      <c r="H966" s="5" t="str">
        <f t="shared" ca="1" si="31"/>
        <v/>
      </c>
      <c r="M966" s="2"/>
    </row>
    <row r="967" spans="2:13" ht="15.6" x14ac:dyDescent="0.3">
      <c r="B967" s="5" t="str">
        <f>IF(COUNTIF(data_val!$E$3:$E$5, sample_log!$E967), sample_log!$C967 &amp; "_" &amp; sample_log!$D967, "")</f>
        <v/>
      </c>
      <c r="C967" s="5" t="str">
        <f>IF(B967="", IF(F967="", "", C966), IF(sample_log!E967="Triennial SASS", "tri_params", "params"))</f>
        <v/>
      </c>
      <c r="D967" s="5" t="str">
        <f>IF(B967="", "", C967 &amp; "!" &amp; CHAR(65+MATCH(B967, params!$B$2:$R$2, 0)))</f>
        <v/>
      </c>
      <c r="E967" s="5" t="str">
        <f ca="1">IF(B967="", "", COUNTA(INDIRECT(D967 &amp; 3):INDIRECT(D967 &amp; 24)))</f>
        <v/>
      </c>
      <c r="F967" s="5" t="str">
        <f t="shared" si="32"/>
        <v/>
      </c>
      <c r="G967" s="5" t="str">
        <f>IF(F967="", "", IF(B967&lt;&gt;"", MATCH(B967, params!$B$2:$R$2, 0), G966))</f>
        <v/>
      </c>
      <c r="H967" s="5" t="str">
        <f t="shared" ca="1" si="31"/>
        <v/>
      </c>
      <c r="M967" s="2"/>
    </row>
    <row r="968" spans="2:13" ht="15.6" x14ac:dyDescent="0.3">
      <c r="B968" s="5" t="str">
        <f>IF(COUNTIF(data_val!$E$3:$E$5, sample_log!$E968), sample_log!$C968 &amp; "_" &amp; sample_log!$D968, "")</f>
        <v/>
      </c>
      <c r="C968" s="5" t="str">
        <f>IF(B968="", IF(F968="", "", C967), IF(sample_log!E968="Triennial SASS", "tri_params", "params"))</f>
        <v/>
      </c>
      <c r="D968" s="5" t="str">
        <f>IF(B968="", "", C968 &amp; "!" &amp; CHAR(65+MATCH(B968, params!$B$2:$R$2, 0)))</f>
        <v/>
      </c>
      <c r="E968" s="5" t="str">
        <f ca="1">IF(B968="", "", COUNTA(INDIRECT(D968 &amp; 3):INDIRECT(D968 &amp; 24)))</f>
        <v/>
      </c>
      <c r="F968" s="5" t="str">
        <f t="shared" si="32"/>
        <v/>
      </c>
      <c r="G968" s="5" t="str">
        <f>IF(F968="", "", IF(B968&lt;&gt;"", MATCH(B968, params!$B$2:$R$2, 0), G967))</f>
        <v/>
      </c>
      <c r="H968" s="5" t="str">
        <f t="shared" ca="1" si="31"/>
        <v/>
      </c>
      <c r="M968" s="2"/>
    </row>
    <row r="969" spans="2:13" ht="15.6" x14ac:dyDescent="0.3">
      <c r="B969" s="5" t="str">
        <f>IF(COUNTIF(data_val!$E$3:$E$5, sample_log!$E969), sample_log!$C969 &amp; "_" &amp; sample_log!$D969, "")</f>
        <v/>
      </c>
      <c r="C969" s="5" t="str">
        <f>IF(B969="", IF(F969="", "", C968), IF(sample_log!E969="Triennial SASS", "tri_params", "params"))</f>
        <v/>
      </c>
      <c r="D969" s="5" t="str">
        <f>IF(B969="", "", C969 &amp; "!" &amp; CHAR(65+MATCH(B969, params!$B$2:$R$2, 0)))</f>
        <v/>
      </c>
      <c r="E969" s="5" t="str">
        <f ca="1">IF(B969="", "", COUNTA(INDIRECT(D969 &amp; 3):INDIRECT(D969 &amp; 24)))</f>
        <v/>
      </c>
      <c r="F969" s="5" t="str">
        <f t="shared" si="32"/>
        <v/>
      </c>
      <c r="G969" s="5" t="str">
        <f>IF(F969="", "", IF(B969&lt;&gt;"", MATCH(B969, params!$B$2:$R$2, 0), G968))</f>
        <v/>
      </c>
      <c r="H969" s="5" t="str">
        <f t="shared" ca="1" si="31"/>
        <v/>
      </c>
      <c r="M969" s="2"/>
    </row>
    <row r="970" spans="2:13" ht="15.6" x14ac:dyDescent="0.3">
      <c r="B970" s="5" t="str">
        <f>IF(COUNTIF(data_val!$E$3:$E$5, sample_log!$E970), sample_log!$C970 &amp; "_" &amp; sample_log!$D970, "")</f>
        <v/>
      </c>
      <c r="C970" s="5" t="str">
        <f>IF(B970="", IF(F970="", "", C969), IF(sample_log!E970="Triennial SASS", "tri_params", "params"))</f>
        <v/>
      </c>
      <c r="D970" s="5" t="str">
        <f>IF(B970="", "", C970 &amp; "!" &amp; CHAR(65+MATCH(B970, params!$B$2:$R$2, 0)))</f>
        <v/>
      </c>
      <c r="E970" s="5" t="str">
        <f ca="1">IF(B970="", "", COUNTA(INDIRECT(D970 &amp; 3):INDIRECT(D970 &amp; 24)))</f>
        <v/>
      </c>
      <c r="F970" s="5" t="str">
        <f t="shared" si="32"/>
        <v/>
      </c>
      <c r="G970" s="5" t="str">
        <f>IF(F970="", "", IF(B970&lt;&gt;"", MATCH(B970, params!$B$2:$R$2, 0), G969))</f>
        <v/>
      </c>
      <c r="H970" s="5" t="str">
        <f t="shared" ca="1" si="31"/>
        <v/>
      </c>
      <c r="M970" s="2"/>
    </row>
    <row r="971" spans="2:13" ht="15.6" x14ac:dyDescent="0.3">
      <c r="B971" s="5" t="str">
        <f>IF(COUNTIF(data_val!$E$3:$E$5, sample_log!$E971), sample_log!$C971 &amp; "_" &amp; sample_log!$D971, "")</f>
        <v/>
      </c>
      <c r="C971" s="5" t="str">
        <f>IF(B971="", IF(F971="", "", C970), IF(sample_log!E971="Triennial SASS", "tri_params", "params"))</f>
        <v/>
      </c>
      <c r="D971" s="5" t="str">
        <f>IF(B971="", "", C971 &amp; "!" &amp; CHAR(65+MATCH(B971, params!$B$2:$R$2, 0)))</f>
        <v/>
      </c>
      <c r="E971" s="5" t="str">
        <f ca="1">IF(B971="", "", COUNTA(INDIRECT(D971 &amp; 3):INDIRECT(D971 &amp; 24)))</f>
        <v/>
      </c>
      <c r="F971" s="5" t="str">
        <f t="shared" si="32"/>
        <v/>
      </c>
      <c r="G971" s="5" t="str">
        <f>IF(F971="", "", IF(B971&lt;&gt;"", MATCH(B971, params!$B$2:$R$2, 0), G970))</f>
        <v/>
      </c>
      <c r="H971" s="5" t="str">
        <f t="shared" ca="1" si="31"/>
        <v/>
      </c>
      <c r="M971" s="2"/>
    </row>
    <row r="972" spans="2:13" ht="15.6" x14ac:dyDescent="0.3">
      <c r="B972" s="5" t="str">
        <f>IF(COUNTIF(data_val!$E$3:$E$5, sample_log!$E972), sample_log!$C972 &amp; "_" &amp; sample_log!$D972, "")</f>
        <v/>
      </c>
      <c r="C972" s="5" t="str">
        <f>IF(B972="", IF(F972="", "", C971), IF(sample_log!E972="Triennial SASS", "tri_params", "params"))</f>
        <v/>
      </c>
      <c r="D972" s="5" t="str">
        <f>IF(B972="", "", C972 &amp; "!" &amp; CHAR(65+MATCH(B972, params!$B$2:$R$2, 0)))</f>
        <v/>
      </c>
      <c r="E972" s="5" t="str">
        <f ca="1">IF(B972="", "", COUNTA(INDIRECT(D972 &amp; 3):INDIRECT(D972 &amp; 24)))</f>
        <v/>
      </c>
      <c r="F972" s="5" t="str">
        <f t="shared" si="32"/>
        <v/>
      </c>
      <c r="G972" s="5" t="str">
        <f>IF(F972="", "", IF(B972&lt;&gt;"", MATCH(B972, params!$B$2:$R$2, 0), G971))</f>
        <v/>
      </c>
      <c r="H972" s="5" t="str">
        <f t="shared" ca="1" si="31"/>
        <v/>
      </c>
      <c r="M972" s="2"/>
    </row>
    <row r="973" spans="2:13" ht="15.6" x14ac:dyDescent="0.3">
      <c r="B973" s="5" t="str">
        <f>IF(COUNTIF(data_val!$E$3:$E$5, sample_log!$E973), sample_log!$C973 &amp; "_" &amp; sample_log!$D973, "")</f>
        <v/>
      </c>
      <c r="C973" s="5" t="str">
        <f>IF(B973="", IF(F973="", "", C972), IF(sample_log!E973="Triennial SASS", "tri_params", "params"))</f>
        <v/>
      </c>
      <c r="D973" s="5" t="str">
        <f>IF(B973="", "", C973 &amp; "!" &amp; CHAR(65+MATCH(B973, params!$B$2:$R$2, 0)))</f>
        <v/>
      </c>
      <c r="E973" s="5" t="str">
        <f ca="1">IF(B973="", "", COUNTA(INDIRECT(D973 &amp; 3):INDIRECT(D973 &amp; 24)))</f>
        <v/>
      </c>
      <c r="F973" s="5" t="str">
        <f t="shared" si="32"/>
        <v/>
      </c>
      <c r="G973" s="5" t="str">
        <f>IF(F973="", "", IF(B973&lt;&gt;"", MATCH(B973, params!$B$2:$R$2, 0), G972))</f>
        <v/>
      </c>
      <c r="H973" s="5" t="str">
        <f t="shared" ca="1" si="31"/>
        <v/>
      </c>
      <c r="M973" s="2"/>
    </row>
    <row r="974" spans="2:13" ht="15.6" x14ac:dyDescent="0.3">
      <c r="B974" s="5" t="str">
        <f>IF(COUNTIF(data_val!$E$3:$E$5, sample_log!$E974), sample_log!$C974 &amp; "_" &amp; sample_log!$D974, "")</f>
        <v/>
      </c>
      <c r="C974" s="5" t="str">
        <f>IF(B974="", IF(F974="", "", C973), IF(sample_log!E974="Triennial SASS", "tri_params", "params"))</f>
        <v/>
      </c>
      <c r="D974" s="5" t="str">
        <f>IF(B974="", "", C974 &amp; "!" &amp; CHAR(65+MATCH(B974, params!$B$2:$R$2, 0)))</f>
        <v/>
      </c>
      <c r="E974" s="5" t="str">
        <f ca="1">IF(B974="", "", COUNTA(INDIRECT(D974 &amp; 3):INDIRECT(D974 &amp; 24)))</f>
        <v/>
      </c>
      <c r="F974" s="5" t="str">
        <f t="shared" si="32"/>
        <v/>
      </c>
      <c r="G974" s="5" t="str">
        <f>IF(F974="", "", IF(B974&lt;&gt;"", MATCH(B974, params!$B$2:$R$2, 0), G973))</f>
        <v/>
      </c>
      <c r="H974" s="5" t="str">
        <f t="shared" ca="1" si="31"/>
        <v/>
      </c>
      <c r="M974" s="2"/>
    </row>
    <row r="975" spans="2:13" ht="15.6" x14ac:dyDescent="0.3">
      <c r="B975" s="5" t="str">
        <f>IF(COUNTIF(data_val!$E$3:$E$5, sample_log!$E975), sample_log!$C975 &amp; "_" &amp; sample_log!$D975, "")</f>
        <v/>
      </c>
      <c r="C975" s="5" t="str">
        <f>IF(B975="", IF(F975="", "", C974), IF(sample_log!E975="Triennial SASS", "tri_params", "params"))</f>
        <v/>
      </c>
      <c r="D975" s="5" t="str">
        <f>IF(B975="", "", C975 &amp; "!" &amp; CHAR(65+MATCH(B975, params!$B$2:$R$2, 0)))</f>
        <v/>
      </c>
      <c r="E975" s="5" t="str">
        <f ca="1">IF(B975="", "", COUNTA(INDIRECT(D975 &amp; 3):INDIRECT(D975 &amp; 24)))</f>
        <v/>
      </c>
      <c r="F975" s="5" t="str">
        <f t="shared" si="32"/>
        <v/>
      </c>
      <c r="G975" s="5" t="str">
        <f>IF(F975="", "", IF(B975&lt;&gt;"", MATCH(B975, params!$B$2:$R$2, 0), G974))</f>
        <v/>
      </c>
      <c r="H975" s="5" t="str">
        <f t="shared" ca="1" si="31"/>
        <v/>
      </c>
      <c r="M975" s="2"/>
    </row>
    <row r="976" spans="2:13" ht="15.6" x14ac:dyDescent="0.3">
      <c r="B976" s="5" t="str">
        <f>IF(COUNTIF(data_val!$E$3:$E$5, sample_log!$E976), sample_log!$C976 &amp; "_" &amp; sample_log!$D976, "")</f>
        <v/>
      </c>
      <c r="C976" s="5" t="str">
        <f>IF(B976="", IF(F976="", "", C975), IF(sample_log!E976="Triennial SASS", "tri_params", "params"))</f>
        <v/>
      </c>
      <c r="D976" s="5" t="str">
        <f>IF(B976="", "", C976 &amp; "!" &amp; CHAR(65+MATCH(B976, params!$B$2:$R$2, 0)))</f>
        <v/>
      </c>
      <c r="E976" s="5" t="str">
        <f ca="1">IF(B976="", "", COUNTA(INDIRECT(D976 &amp; 3):INDIRECT(D976 &amp; 24)))</f>
        <v/>
      </c>
      <c r="F976" s="5" t="str">
        <f t="shared" si="32"/>
        <v/>
      </c>
      <c r="G976" s="5" t="str">
        <f>IF(F976="", "", IF(B976&lt;&gt;"", MATCH(B976, params!$B$2:$R$2, 0), G975))</f>
        <v/>
      </c>
      <c r="H976" s="5" t="str">
        <f t="shared" ca="1" si="31"/>
        <v/>
      </c>
      <c r="M976" s="2"/>
    </row>
    <row r="977" spans="2:13" ht="15.6" x14ac:dyDescent="0.3">
      <c r="B977" s="5" t="str">
        <f>IF(COUNTIF(data_val!$E$3:$E$5, sample_log!$E977), sample_log!$C977 &amp; "_" &amp; sample_log!$D977, "")</f>
        <v/>
      </c>
      <c r="C977" s="5" t="str">
        <f>IF(B977="", IF(F977="", "", C976), IF(sample_log!E977="Triennial SASS", "tri_params", "params"))</f>
        <v/>
      </c>
      <c r="D977" s="5" t="str">
        <f>IF(B977="", "", C977 &amp; "!" &amp; CHAR(65+MATCH(B977, params!$B$2:$R$2, 0)))</f>
        <v/>
      </c>
      <c r="E977" s="5" t="str">
        <f ca="1">IF(B977="", "", COUNTA(INDIRECT(D977 &amp; 3):INDIRECT(D977 &amp; 24)))</f>
        <v/>
      </c>
      <c r="F977" s="5" t="str">
        <f t="shared" si="32"/>
        <v/>
      </c>
      <c r="G977" s="5" t="str">
        <f>IF(F977="", "", IF(B977&lt;&gt;"", MATCH(B977, params!$B$2:$R$2, 0), G976))</f>
        <v/>
      </c>
      <c r="H977" s="5" t="str">
        <f t="shared" ca="1" si="31"/>
        <v/>
      </c>
      <c r="M977" s="2"/>
    </row>
    <row r="978" spans="2:13" ht="15.6" x14ac:dyDescent="0.3">
      <c r="B978" s="5" t="str">
        <f>IF(COUNTIF(data_val!$E$3:$E$5, sample_log!$E978), sample_log!$C978 &amp; "_" &amp; sample_log!$D978, "")</f>
        <v/>
      </c>
      <c r="C978" s="5" t="str">
        <f>IF(B978="", IF(F978="", "", C977), IF(sample_log!E978="Triennial SASS", "tri_params", "params"))</f>
        <v/>
      </c>
      <c r="D978" s="5" t="str">
        <f>IF(B978="", "", C978 &amp; "!" &amp; CHAR(65+MATCH(B978, params!$B$2:$R$2, 0)))</f>
        <v/>
      </c>
      <c r="E978" s="5" t="str">
        <f ca="1">IF(B978="", "", COUNTA(INDIRECT(D978 &amp; 3):INDIRECT(D978 &amp; 24)))</f>
        <v/>
      </c>
      <c r="F978" s="5" t="str">
        <f t="shared" si="32"/>
        <v/>
      </c>
      <c r="G978" s="5" t="str">
        <f>IF(F978="", "", IF(B978&lt;&gt;"", MATCH(B978, params!$B$2:$R$2, 0), G977))</f>
        <v/>
      </c>
      <c r="H978" s="5" t="str">
        <f t="shared" ca="1" si="31"/>
        <v/>
      </c>
      <c r="M978" s="2"/>
    </row>
    <row r="979" spans="2:13" ht="15.6" x14ac:dyDescent="0.3">
      <c r="B979" s="5" t="str">
        <f>IF(COUNTIF(data_val!$E$3:$E$5, sample_log!$E979), sample_log!$C979 &amp; "_" &amp; sample_log!$D979, "")</f>
        <v/>
      </c>
      <c r="C979" s="5" t="str">
        <f>IF(B979="", IF(F979="", "", C978), IF(sample_log!E979="Triennial SASS", "tri_params", "params"))</f>
        <v/>
      </c>
      <c r="D979" s="5" t="str">
        <f>IF(B979="", "", C979 &amp; "!" &amp; CHAR(65+MATCH(B979, params!$B$2:$R$2, 0)))</f>
        <v/>
      </c>
      <c r="E979" s="5" t="str">
        <f ca="1">IF(B979="", "", COUNTA(INDIRECT(D979 &amp; 3):INDIRECT(D979 &amp; 24)))</f>
        <v/>
      </c>
      <c r="F979" s="5" t="str">
        <f t="shared" si="32"/>
        <v/>
      </c>
      <c r="G979" s="5" t="str">
        <f>IF(F979="", "", IF(B979&lt;&gt;"", MATCH(B979, params!$B$2:$R$2, 0), G978))</f>
        <v/>
      </c>
      <c r="H979" s="5" t="str">
        <f t="shared" ca="1" si="31"/>
        <v/>
      </c>
      <c r="M979" s="2"/>
    </row>
    <row r="980" spans="2:13" ht="15.6" x14ac:dyDescent="0.3">
      <c r="B980" s="5" t="str">
        <f>IF(COUNTIF(data_val!$E$3:$E$5, sample_log!$E980), sample_log!$C980 &amp; "_" &amp; sample_log!$D980, "")</f>
        <v/>
      </c>
      <c r="C980" s="5" t="str">
        <f>IF(B980="", IF(F980="", "", C979), IF(sample_log!E980="Triennial SASS", "tri_params", "params"))</f>
        <v/>
      </c>
      <c r="D980" s="5" t="str">
        <f>IF(B980="", "", C980 &amp; "!" &amp; CHAR(65+MATCH(B980, params!$B$2:$R$2, 0)))</f>
        <v/>
      </c>
      <c r="E980" s="5" t="str">
        <f ca="1">IF(B980="", "", COUNTA(INDIRECT(D980 &amp; 3):INDIRECT(D980 &amp; 24)))</f>
        <v/>
      </c>
      <c r="F980" s="5" t="str">
        <f t="shared" si="32"/>
        <v/>
      </c>
      <c r="G980" s="5" t="str">
        <f>IF(F980="", "", IF(B980&lt;&gt;"", MATCH(B980, params!$B$2:$R$2, 0), G979))</f>
        <v/>
      </c>
      <c r="H980" s="5" t="str">
        <f t="shared" ca="1" si="31"/>
        <v/>
      </c>
      <c r="M980" s="2"/>
    </row>
    <row r="981" spans="2:13" ht="15.6" x14ac:dyDescent="0.3">
      <c r="B981" s="5" t="str">
        <f>IF(COUNTIF(data_val!$E$3:$E$5, sample_log!$E981), sample_log!$C981 &amp; "_" &amp; sample_log!$D981, "")</f>
        <v/>
      </c>
      <c r="C981" s="5" t="str">
        <f>IF(B981="", IF(F981="", "", C980), IF(sample_log!E981="Triennial SASS", "tri_params", "params"))</f>
        <v/>
      </c>
      <c r="D981" s="5" t="str">
        <f>IF(B981="", "", C981 &amp; "!" &amp; CHAR(65+MATCH(B981, params!$B$2:$R$2, 0)))</f>
        <v/>
      </c>
      <c r="E981" s="5" t="str">
        <f ca="1">IF(B981="", "", COUNTA(INDIRECT(D981 &amp; 3):INDIRECT(D981 &amp; 24)))</f>
        <v/>
      </c>
      <c r="F981" s="5" t="str">
        <f t="shared" si="32"/>
        <v/>
      </c>
      <c r="G981" s="5" t="str">
        <f>IF(F981="", "", IF(B981&lt;&gt;"", MATCH(B981, params!$B$2:$R$2, 0), G980))</f>
        <v/>
      </c>
      <c r="H981" s="5" t="str">
        <f t="shared" ca="1" si="31"/>
        <v/>
      </c>
      <c r="M981" s="2"/>
    </row>
    <row r="982" spans="2:13" ht="15.6" x14ac:dyDescent="0.3">
      <c r="B982" s="5" t="str">
        <f>IF(COUNTIF(data_val!$E$3:$E$5, sample_log!$E982), sample_log!$C982 &amp; "_" &amp; sample_log!$D982, "")</f>
        <v/>
      </c>
      <c r="C982" s="5" t="str">
        <f>IF(B982="", IF(F982="", "", C981), IF(sample_log!E982="Triennial SASS", "tri_params", "params"))</f>
        <v/>
      </c>
      <c r="D982" s="5" t="str">
        <f>IF(B982="", "", C982 &amp; "!" &amp; CHAR(65+MATCH(B982, params!$B$2:$R$2, 0)))</f>
        <v/>
      </c>
      <c r="E982" s="5" t="str">
        <f ca="1">IF(B982="", "", COUNTA(INDIRECT(D982 &amp; 3):INDIRECT(D982 &amp; 24)))</f>
        <v/>
      </c>
      <c r="F982" s="5" t="str">
        <f t="shared" si="32"/>
        <v/>
      </c>
      <c r="G982" s="5" t="str">
        <f>IF(F982="", "", IF(B982&lt;&gt;"", MATCH(B982, params!$B$2:$R$2, 0), G981))</f>
        <v/>
      </c>
      <c r="H982" s="5" t="str">
        <f t="shared" ca="1" si="31"/>
        <v/>
      </c>
      <c r="M982" s="2"/>
    </row>
    <row r="983" spans="2:13" ht="15.6" x14ac:dyDescent="0.3">
      <c r="B983" s="5" t="str">
        <f>IF(COUNTIF(data_val!$E$3:$E$5, sample_log!$E983), sample_log!$C983 &amp; "_" &amp; sample_log!$D983, "")</f>
        <v/>
      </c>
      <c r="C983" s="5" t="str">
        <f>IF(B983="", IF(F983="", "", C982), IF(sample_log!E983="Triennial SASS", "tri_params", "params"))</f>
        <v/>
      </c>
      <c r="D983" s="5" t="str">
        <f>IF(B983="", "", C983 &amp; "!" &amp; CHAR(65+MATCH(B983, params!$B$2:$R$2, 0)))</f>
        <v/>
      </c>
      <c r="E983" s="5" t="str">
        <f ca="1">IF(B983="", "", COUNTA(INDIRECT(D983 &amp; 3):INDIRECT(D983 &amp; 24)))</f>
        <v/>
      </c>
      <c r="F983" s="5" t="str">
        <f t="shared" si="32"/>
        <v/>
      </c>
      <c r="G983" s="5" t="str">
        <f>IF(F983="", "", IF(B983&lt;&gt;"", MATCH(B983, params!$B$2:$R$2, 0), G982))</f>
        <v/>
      </c>
      <c r="H983" s="5" t="str">
        <f t="shared" ca="1" si="31"/>
        <v/>
      </c>
      <c r="M983" s="2"/>
    </row>
    <row r="984" spans="2:13" ht="15.6" x14ac:dyDescent="0.3">
      <c r="B984" s="5" t="str">
        <f>IF(COUNTIF(data_val!$E$3:$E$5, sample_log!$E984), sample_log!$C984 &amp; "_" &amp; sample_log!$D984, "")</f>
        <v/>
      </c>
      <c r="C984" s="5" t="str">
        <f>IF(B984="", IF(F984="", "", C983), IF(sample_log!E984="Triennial SASS", "tri_params", "params"))</f>
        <v/>
      </c>
      <c r="D984" s="5" t="str">
        <f>IF(B984="", "", C984 &amp; "!" &amp; CHAR(65+MATCH(B984, params!$B$2:$R$2, 0)))</f>
        <v/>
      </c>
      <c r="E984" s="5" t="str">
        <f ca="1">IF(B984="", "", COUNTA(INDIRECT(D984 &amp; 3):INDIRECT(D984 &amp; 24)))</f>
        <v/>
      </c>
      <c r="F984" s="5" t="str">
        <f t="shared" si="32"/>
        <v/>
      </c>
      <c r="G984" s="5" t="str">
        <f>IF(F984="", "", IF(B984&lt;&gt;"", MATCH(B984, params!$B$2:$R$2, 0), G983))</f>
        <v/>
      </c>
      <c r="H984" s="5" t="str">
        <f t="shared" ca="1" si="31"/>
        <v/>
      </c>
      <c r="M984" s="2"/>
    </row>
    <row r="985" spans="2:13" ht="15.6" x14ac:dyDescent="0.3">
      <c r="B985" s="5" t="str">
        <f>IF(COUNTIF(data_val!$E$3:$E$5, sample_log!$E985), sample_log!$C985 &amp; "_" &amp; sample_log!$D985, "")</f>
        <v/>
      </c>
      <c r="C985" s="5" t="str">
        <f>IF(B985="", IF(F985="", "", C984), IF(sample_log!E985="Triennial SASS", "tri_params", "params"))</f>
        <v/>
      </c>
      <c r="D985" s="5" t="str">
        <f>IF(B985="", "", C985 &amp; "!" &amp; CHAR(65+MATCH(B985, params!$B$2:$R$2, 0)))</f>
        <v/>
      </c>
      <c r="E985" s="5" t="str">
        <f ca="1">IF(B985="", "", COUNTA(INDIRECT(D985 &amp; 3):INDIRECT(D985 &amp; 24)))</f>
        <v/>
      </c>
      <c r="F985" s="5" t="str">
        <f t="shared" si="32"/>
        <v/>
      </c>
      <c r="G985" s="5" t="str">
        <f>IF(F985="", "", IF(B985&lt;&gt;"", MATCH(B985, params!$B$2:$R$2, 0), G984))</f>
        <v/>
      </c>
      <c r="H985" s="5" t="str">
        <f t="shared" ref="H985:H1048" ca="1" si="33">IF($F985="", "", INDEX(INDIRECT("'" &amp; C985 &amp; "'!$B$3:$R$24"), $F985, $G985))</f>
        <v/>
      </c>
      <c r="M985" s="2"/>
    </row>
    <row r="986" spans="2:13" ht="15.6" x14ac:dyDescent="0.3">
      <c r="B986" s="5" t="str">
        <f>IF(COUNTIF(data_val!$E$3:$E$5, sample_log!$E986), sample_log!$C986 &amp; "_" &amp; sample_log!$D986, "")</f>
        <v/>
      </c>
      <c r="C986" s="5" t="str">
        <f>IF(B986="", IF(F986="", "", C985), IF(sample_log!E986="Triennial SASS", "tri_params", "params"))</f>
        <v/>
      </c>
      <c r="D986" s="5" t="str">
        <f>IF(B986="", "", C986 &amp; "!" &amp; CHAR(65+MATCH(B986, params!$B$2:$R$2, 0)))</f>
        <v/>
      </c>
      <c r="E986" s="5" t="str">
        <f ca="1">IF(B986="", "", COUNTA(INDIRECT(D986 &amp; 3):INDIRECT(D986 &amp; 24)))</f>
        <v/>
      </c>
      <c r="F986" s="5" t="str">
        <f t="shared" si="32"/>
        <v/>
      </c>
      <c r="G986" s="5" t="str">
        <f>IF(F986="", "", IF(B986&lt;&gt;"", MATCH(B986, params!$B$2:$R$2, 0), G985))</f>
        <v/>
      </c>
      <c r="H986" s="5" t="str">
        <f t="shared" ca="1" si="33"/>
        <v/>
      </c>
      <c r="M986" s="2"/>
    </row>
    <row r="987" spans="2:13" ht="15.6" x14ac:dyDescent="0.3">
      <c r="B987" s="5" t="str">
        <f>IF(COUNTIF(data_val!$E$3:$E$5, sample_log!$E987), sample_log!$C987 &amp; "_" &amp; sample_log!$D987, "")</f>
        <v/>
      </c>
      <c r="C987" s="5" t="str">
        <f>IF(B987="", IF(F987="", "", C986), IF(sample_log!E987="Triennial SASS", "tri_params", "params"))</f>
        <v/>
      </c>
      <c r="D987" s="5" t="str">
        <f>IF(B987="", "", C987 &amp; "!" &amp; CHAR(65+MATCH(B987, params!$B$2:$R$2, 0)))</f>
        <v/>
      </c>
      <c r="E987" s="5" t="str">
        <f ca="1">IF(B987="", "", COUNTA(INDIRECT(D987 &amp; 3):INDIRECT(D987 &amp; 24)))</f>
        <v/>
      </c>
      <c r="F987" s="5" t="str">
        <f t="shared" si="32"/>
        <v/>
      </c>
      <c r="G987" s="5" t="str">
        <f>IF(F987="", "", IF(B987&lt;&gt;"", MATCH(B987, params!$B$2:$R$2, 0), G986))</f>
        <v/>
      </c>
      <c r="H987" s="5" t="str">
        <f t="shared" ca="1" si="33"/>
        <v/>
      </c>
      <c r="M987" s="2"/>
    </row>
    <row r="988" spans="2:13" ht="15.6" x14ac:dyDescent="0.3">
      <c r="B988" s="5" t="str">
        <f>IF(COUNTIF(data_val!$E$3:$E$5, sample_log!$E988), sample_log!$C988 &amp; "_" &amp; sample_log!$D988, "")</f>
        <v/>
      </c>
      <c r="C988" s="5" t="str">
        <f>IF(B988="", IF(F988="", "", C987), IF(sample_log!E988="Triennial SASS", "tri_params", "params"))</f>
        <v/>
      </c>
      <c r="D988" s="5" t="str">
        <f>IF(B988="", "", C988 &amp; "!" &amp; CHAR(65+MATCH(B988, params!$B$2:$R$2, 0)))</f>
        <v/>
      </c>
      <c r="E988" s="5" t="str">
        <f ca="1">IF(B988="", "", COUNTA(INDIRECT(D988 &amp; 3):INDIRECT(D988 &amp; 24)))</f>
        <v/>
      </c>
      <c r="F988" s="5" t="str">
        <f t="shared" si="32"/>
        <v/>
      </c>
      <c r="G988" s="5" t="str">
        <f>IF(F988="", "", IF(B988&lt;&gt;"", MATCH(B988, params!$B$2:$R$2, 0), G987))</f>
        <v/>
      </c>
      <c r="H988" s="5" t="str">
        <f t="shared" ca="1" si="33"/>
        <v/>
      </c>
      <c r="M988" s="2"/>
    </row>
    <row r="989" spans="2:13" ht="15.6" x14ac:dyDescent="0.3">
      <c r="B989" s="5" t="str">
        <f>IF(COUNTIF(data_val!$E$3:$E$5, sample_log!$E989), sample_log!$C989 &amp; "_" &amp; sample_log!$D989, "")</f>
        <v/>
      </c>
      <c r="C989" s="5" t="str">
        <f>IF(B989="", IF(F989="", "", C988), IF(sample_log!E989="Triennial SASS", "tri_params", "params"))</f>
        <v/>
      </c>
      <c r="D989" s="5" t="str">
        <f>IF(B989="", "", C989 &amp; "!" &amp; CHAR(65+MATCH(B989, params!$B$2:$R$2, 0)))</f>
        <v/>
      </c>
      <c r="E989" s="5" t="str">
        <f ca="1">IF(B989="", "", COUNTA(INDIRECT(D989 &amp; 3):INDIRECT(D989 &amp; 24)))</f>
        <v/>
      </c>
      <c r="F989" s="5" t="str">
        <f t="shared" si="32"/>
        <v/>
      </c>
      <c r="G989" s="5" t="str">
        <f>IF(F989="", "", IF(B989&lt;&gt;"", MATCH(B989, params!$B$2:$R$2, 0), G988))</f>
        <v/>
      </c>
      <c r="H989" s="5" t="str">
        <f t="shared" ca="1" si="33"/>
        <v/>
      </c>
      <c r="M989" s="2"/>
    </row>
    <row r="990" spans="2:13" ht="15.6" x14ac:dyDescent="0.3">
      <c r="B990" s="5" t="str">
        <f>IF(COUNTIF(data_val!$E$3:$E$5, sample_log!$E990), sample_log!$C990 &amp; "_" &amp; sample_log!$D990, "")</f>
        <v/>
      </c>
      <c r="C990" s="5" t="str">
        <f>IF(B990="", IF(F990="", "", C989), IF(sample_log!E990="Triennial SASS", "tri_params", "params"))</f>
        <v/>
      </c>
      <c r="D990" s="5" t="str">
        <f>IF(B990="", "", C990 &amp; "!" &amp; CHAR(65+MATCH(B990, params!$B$2:$R$2, 0)))</f>
        <v/>
      </c>
      <c r="E990" s="5" t="str">
        <f ca="1">IF(B990="", "", COUNTA(INDIRECT(D990 &amp; 3):INDIRECT(D990 &amp; 24)))</f>
        <v/>
      </c>
      <c r="F990" s="5" t="str">
        <f t="shared" si="32"/>
        <v/>
      </c>
      <c r="G990" s="5" t="str">
        <f>IF(F990="", "", IF(B990&lt;&gt;"", MATCH(B990, params!$B$2:$R$2, 0), G989))</f>
        <v/>
      </c>
      <c r="H990" s="5" t="str">
        <f t="shared" ca="1" si="33"/>
        <v/>
      </c>
      <c r="M990" s="2"/>
    </row>
    <row r="991" spans="2:13" ht="15.6" x14ac:dyDescent="0.3">
      <c r="B991" s="5" t="str">
        <f>IF(COUNTIF(data_val!$E$3:$E$5, sample_log!$E991), sample_log!$C991 &amp; "_" &amp; sample_log!$D991, "")</f>
        <v/>
      </c>
      <c r="C991" s="5" t="str">
        <f>IF(B991="", IF(F991="", "", C990), IF(sample_log!E991="Triennial SASS", "tri_params", "params"))</f>
        <v/>
      </c>
      <c r="D991" s="5" t="str">
        <f>IF(B991="", "", C991 &amp; "!" &amp; CHAR(65+MATCH(B991, params!$B$2:$R$2, 0)))</f>
        <v/>
      </c>
      <c r="E991" s="5" t="str">
        <f ca="1">IF(B991="", "", COUNTA(INDIRECT(D991 &amp; 3):INDIRECT(D991 &amp; 24)))</f>
        <v/>
      </c>
      <c r="F991" s="5" t="str">
        <f t="shared" si="32"/>
        <v/>
      </c>
      <c r="G991" s="5" t="str">
        <f>IF(F991="", "", IF(B991&lt;&gt;"", MATCH(B991, params!$B$2:$R$2, 0), G990))</f>
        <v/>
      </c>
      <c r="H991" s="5" t="str">
        <f t="shared" ca="1" si="33"/>
        <v/>
      </c>
      <c r="M991" s="2"/>
    </row>
    <row r="992" spans="2:13" ht="15.6" x14ac:dyDescent="0.3">
      <c r="B992" s="5" t="str">
        <f>IF(COUNTIF(data_val!$E$3:$E$5, sample_log!$E992), sample_log!$C992 &amp; "_" &amp; sample_log!$D992, "")</f>
        <v/>
      </c>
      <c r="C992" s="5" t="str">
        <f>IF(B992="", IF(F992="", "", C991), IF(sample_log!E992="Triennial SASS", "tri_params", "params"))</f>
        <v/>
      </c>
      <c r="D992" s="5" t="str">
        <f>IF(B992="", "", C992 &amp; "!" &amp; CHAR(65+MATCH(B992, params!$B$2:$R$2, 0)))</f>
        <v/>
      </c>
      <c r="E992" s="5" t="str">
        <f ca="1">IF(B992="", "", COUNTA(INDIRECT(D992 &amp; 3):INDIRECT(D992 &amp; 24)))</f>
        <v/>
      </c>
      <c r="F992" s="5" t="str">
        <f t="shared" si="32"/>
        <v/>
      </c>
      <c r="G992" s="5" t="str">
        <f>IF(F992="", "", IF(B992&lt;&gt;"", MATCH(B992, params!$B$2:$R$2, 0), G991))</f>
        <v/>
      </c>
      <c r="H992" s="5" t="str">
        <f t="shared" ca="1" si="33"/>
        <v/>
      </c>
      <c r="M992" s="2"/>
    </row>
    <row r="993" spans="2:13" ht="15.6" x14ac:dyDescent="0.3">
      <c r="B993" s="5" t="str">
        <f>IF(COUNTIF(data_val!$E$3:$E$5, sample_log!$E993), sample_log!$C993 &amp; "_" &amp; sample_log!$D993, "")</f>
        <v/>
      </c>
      <c r="C993" s="5" t="str">
        <f>IF(B993="", IF(F993="", "", C992), IF(sample_log!E993="Triennial SASS", "tri_params", "params"))</f>
        <v/>
      </c>
      <c r="D993" s="5" t="str">
        <f>IF(B993="", "", C993 &amp; "!" &amp; CHAR(65+MATCH(B993, params!$B$2:$R$2, 0)))</f>
        <v/>
      </c>
      <c r="E993" s="5" t="str">
        <f ca="1">IF(B993="", "", COUNTA(INDIRECT(D993 &amp; 3):INDIRECT(D993 &amp; 24)))</f>
        <v/>
      </c>
      <c r="F993" s="5" t="str">
        <f t="shared" si="32"/>
        <v/>
      </c>
      <c r="G993" s="5" t="str">
        <f>IF(F993="", "", IF(B993&lt;&gt;"", MATCH(B993, params!$B$2:$R$2, 0), G992))</f>
        <v/>
      </c>
      <c r="H993" s="5" t="str">
        <f t="shared" ca="1" si="33"/>
        <v/>
      </c>
      <c r="M993" s="2"/>
    </row>
    <row r="994" spans="2:13" ht="15.6" x14ac:dyDescent="0.3">
      <c r="B994" s="5" t="str">
        <f>IF(COUNTIF(data_val!$E$3:$E$5, sample_log!$E994), sample_log!$C994 &amp; "_" &amp; sample_log!$D994, "")</f>
        <v/>
      </c>
      <c r="C994" s="5" t="str">
        <f>IF(B994="", IF(F994="", "", C993), IF(sample_log!E994="Triennial SASS", "tri_params", "params"))</f>
        <v/>
      </c>
      <c r="D994" s="5" t="str">
        <f>IF(B994="", "", C994 &amp; "!" &amp; CHAR(65+MATCH(B994, params!$B$2:$R$2, 0)))</f>
        <v/>
      </c>
      <c r="E994" s="5" t="str">
        <f ca="1">IF(B994="", "", COUNTA(INDIRECT(D994 &amp; 3):INDIRECT(D994 &amp; 24)))</f>
        <v/>
      </c>
      <c r="F994" s="5" t="str">
        <f t="shared" si="32"/>
        <v/>
      </c>
      <c r="G994" s="5" t="str">
        <f>IF(F994="", "", IF(B994&lt;&gt;"", MATCH(B994, params!$B$2:$R$2, 0), G993))</f>
        <v/>
      </c>
      <c r="H994" s="5" t="str">
        <f t="shared" ca="1" si="33"/>
        <v/>
      </c>
      <c r="M994" s="2"/>
    </row>
    <row r="995" spans="2:13" ht="15.6" x14ac:dyDescent="0.3">
      <c r="B995" s="5" t="str">
        <f>IF(COUNTIF(data_val!$E$3:$E$5, sample_log!$E995), sample_log!$C995 &amp; "_" &amp; sample_log!$D995, "")</f>
        <v/>
      </c>
      <c r="C995" s="5" t="str">
        <f>IF(B995="", IF(F995="", "", C994), IF(sample_log!E995="Triennial SASS", "tri_params", "params"))</f>
        <v/>
      </c>
      <c r="D995" s="5" t="str">
        <f>IF(B995="", "", C995 &amp; "!" &amp; CHAR(65+MATCH(B995, params!$B$2:$R$2, 0)))</f>
        <v/>
      </c>
      <c r="E995" s="5" t="str">
        <f ca="1">IF(B995="", "", COUNTA(INDIRECT(D995 &amp; 3):INDIRECT(D995 &amp; 24)))</f>
        <v/>
      </c>
      <c r="F995" s="5" t="str">
        <f t="shared" si="32"/>
        <v/>
      </c>
      <c r="G995" s="5" t="str">
        <f>IF(F995="", "", IF(B995&lt;&gt;"", MATCH(B995, params!$B$2:$R$2, 0), G994))</f>
        <v/>
      </c>
      <c r="H995" s="5" t="str">
        <f t="shared" ca="1" si="33"/>
        <v/>
      </c>
      <c r="M995" s="2"/>
    </row>
    <row r="996" spans="2:13" ht="15.6" x14ac:dyDescent="0.3">
      <c r="B996" s="5" t="str">
        <f>IF(COUNTIF(data_val!$E$3:$E$5, sample_log!$E996), sample_log!$C996 &amp; "_" &amp; sample_log!$D996, "")</f>
        <v/>
      </c>
      <c r="C996" s="5" t="str">
        <f>IF(B996="", IF(F996="", "", C995), IF(sample_log!E996="Triennial SASS", "tri_params", "params"))</f>
        <v/>
      </c>
      <c r="D996" s="5" t="str">
        <f>IF(B996="", "", C996 &amp; "!" &amp; CHAR(65+MATCH(B996, params!$B$2:$R$2, 0)))</f>
        <v/>
      </c>
      <c r="E996" s="5" t="str">
        <f ca="1">IF(B996="", "", COUNTA(INDIRECT(D996 &amp; 3):INDIRECT(D996 &amp; 24)))</f>
        <v/>
      </c>
      <c r="F996" s="5" t="str">
        <f t="shared" si="32"/>
        <v/>
      </c>
      <c r="G996" s="5" t="str">
        <f>IF(F996="", "", IF(B996&lt;&gt;"", MATCH(B996, params!$B$2:$R$2, 0), G995))</f>
        <v/>
      </c>
      <c r="H996" s="5" t="str">
        <f t="shared" ca="1" si="33"/>
        <v/>
      </c>
      <c r="M996" s="2"/>
    </row>
    <row r="997" spans="2:13" ht="15.6" x14ac:dyDescent="0.3">
      <c r="B997" s="5" t="str">
        <f>IF(COUNTIF(data_val!$E$3:$E$5, sample_log!$E997), sample_log!$C997 &amp; "_" &amp; sample_log!$D997, "")</f>
        <v/>
      </c>
      <c r="C997" s="5" t="str">
        <f>IF(B997="", IF(F997="", "", C996), IF(sample_log!E997="Triennial SASS", "tri_params", "params"))</f>
        <v/>
      </c>
      <c r="D997" s="5" t="str">
        <f>IF(B997="", "", C997 &amp; "!" &amp; CHAR(65+MATCH(B997, params!$B$2:$R$2, 0)))</f>
        <v/>
      </c>
      <c r="E997" s="5" t="str">
        <f ca="1">IF(B997="", "", COUNTA(INDIRECT(D997 &amp; 3):INDIRECT(D997 &amp; 24)))</f>
        <v/>
      </c>
      <c r="F997" s="5" t="str">
        <f t="shared" si="32"/>
        <v/>
      </c>
      <c r="G997" s="5" t="str">
        <f>IF(F997="", "", IF(B997&lt;&gt;"", MATCH(B997, params!$B$2:$R$2, 0), G996))</f>
        <v/>
      </c>
      <c r="H997" s="5" t="str">
        <f t="shared" ca="1" si="33"/>
        <v/>
      </c>
      <c r="M997" s="2"/>
    </row>
    <row r="998" spans="2:13" ht="15.6" x14ac:dyDescent="0.3">
      <c r="B998" s="5" t="str">
        <f>IF(COUNTIF(data_val!$E$3:$E$5, sample_log!$E998), sample_log!$C998 &amp; "_" &amp; sample_log!$D998, "")</f>
        <v/>
      </c>
      <c r="C998" s="5" t="str">
        <f>IF(B998="", IF(F998="", "", C997), IF(sample_log!E998="Triennial SASS", "tri_params", "params"))</f>
        <v/>
      </c>
      <c r="D998" s="5" t="str">
        <f>IF(B998="", "", C998 &amp; "!" &amp; CHAR(65+MATCH(B998, params!$B$2:$R$2, 0)))</f>
        <v/>
      </c>
      <c r="E998" s="5" t="str">
        <f ca="1">IF(B998="", "", COUNTA(INDIRECT(D998 &amp; 3):INDIRECT(D998 &amp; 24)))</f>
        <v/>
      </c>
      <c r="F998" s="5" t="str">
        <f t="shared" si="32"/>
        <v/>
      </c>
      <c r="G998" s="5" t="str">
        <f>IF(F998="", "", IF(B998&lt;&gt;"", MATCH(B998, params!$B$2:$R$2, 0), G997))</f>
        <v/>
      </c>
      <c r="H998" s="5" t="str">
        <f t="shared" ca="1" si="33"/>
        <v/>
      </c>
      <c r="M998" s="2"/>
    </row>
    <row r="999" spans="2:13" ht="15.6" x14ac:dyDescent="0.3">
      <c r="B999" s="5" t="str">
        <f>IF(COUNTIF(data_val!$E$3:$E$5, sample_log!$E999), sample_log!$C999 &amp; "_" &amp; sample_log!$D999, "")</f>
        <v/>
      </c>
      <c r="C999" s="5" t="str">
        <f>IF(B999="", IF(F999="", "", C998), IF(sample_log!E999="Triennial SASS", "tri_params", "params"))</f>
        <v/>
      </c>
      <c r="D999" s="5" t="str">
        <f>IF(B999="", "", C999 &amp; "!" &amp; CHAR(65+MATCH(B999, params!$B$2:$R$2, 0)))</f>
        <v/>
      </c>
      <c r="E999" s="5" t="str">
        <f ca="1">IF(B999="", "", COUNTA(INDIRECT(D999 &amp; 3):INDIRECT(D999 &amp; 24)))</f>
        <v/>
      </c>
      <c r="F999" s="5" t="str">
        <f t="shared" si="32"/>
        <v/>
      </c>
      <c r="G999" s="5" t="str">
        <f>IF(F999="", "", IF(B999&lt;&gt;"", MATCH(B999, params!$B$2:$R$2, 0), G998))</f>
        <v/>
      </c>
      <c r="H999" s="5" t="str">
        <f t="shared" ca="1" si="33"/>
        <v/>
      </c>
      <c r="M999" s="2"/>
    </row>
    <row r="1000" spans="2:13" ht="15.6" x14ac:dyDescent="0.3">
      <c r="B1000" s="5" t="str">
        <f>IF(COUNTIF(data_val!$E$3:$E$5, sample_log!$E1000), sample_log!$C1000 &amp; "_" &amp; sample_log!$D1000, "")</f>
        <v/>
      </c>
      <c r="C1000" s="5" t="str">
        <f>IF(B1000="", IF(F1000="", "", C999), IF(sample_log!E1000="Triennial SASS", "tri_params", "params"))</f>
        <v/>
      </c>
      <c r="D1000" s="5" t="str">
        <f>IF(B1000="", "", C1000 &amp; "!" &amp; CHAR(65+MATCH(B1000, params!$B$2:$R$2, 0)))</f>
        <v/>
      </c>
      <c r="E1000" s="5" t="str">
        <f ca="1">IF(B1000="", "", COUNTA(INDIRECT(D1000 &amp; 3):INDIRECT(D1000 &amp; 24)))</f>
        <v/>
      </c>
      <c r="F1000" s="5" t="str">
        <f t="shared" si="32"/>
        <v/>
      </c>
      <c r="G1000" s="5" t="str">
        <f>IF(F1000="", "", IF(B1000&lt;&gt;"", MATCH(B1000, params!$B$2:$R$2, 0), G999))</f>
        <v/>
      </c>
      <c r="H1000" s="5" t="str">
        <f t="shared" ca="1" si="33"/>
        <v/>
      </c>
      <c r="M1000" s="2"/>
    </row>
    <row r="1001" spans="2:13" ht="15.6" x14ac:dyDescent="0.3">
      <c r="B1001" s="5" t="str">
        <f>IF(COUNTIF(data_val!$E$3:$E$5, sample_log!$E1001), sample_log!$C1001 &amp; "_" &amp; sample_log!$D1001, "")</f>
        <v/>
      </c>
      <c r="C1001" s="5" t="str">
        <f>IF(B1001="", IF(F1001="", "", C1000), IF(sample_log!E1001="Triennial SASS", "tri_params", "params"))</f>
        <v/>
      </c>
      <c r="D1001" s="5" t="str">
        <f>IF(B1001="", "", C1001 &amp; "!" &amp; CHAR(65+MATCH(B1001, params!$B$2:$R$2, 0)))</f>
        <v/>
      </c>
      <c r="E1001" s="5" t="str">
        <f ca="1">IF(B1001="", "", COUNTA(INDIRECT(D1001 &amp; 3):INDIRECT(D1001 &amp; 24)))</f>
        <v/>
      </c>
      <c r="F1001" s="5" t="str">
        <f t="shared" si="32"/>
        <v/>
      </c>
      <c r="G1001" s="5" t="str">
        <f>IF(F1001="", "", IF(B1001&lt;&gt;"", MATCH(B1001, params!$B$2:$R$2, 0), G1000))</f>
        <v/>
      </c>
      <c r="H1001" s="5" t="str">
        <f t="shared" ca="1" si="33"/>
        <v/>
      </c>
      <c r="M1001" s="2"/>
    </row>
    <row r="1002" spans="2:13" ht="15.6" x14ac:dyDescent="0.3">
      <c r="B1002" s="5" t="str">
        <f>IF(COUNTIF(data_val!$E$3:$E$5, sample_log!$E1002), sample_log!$C1002 &amp; "_" &amp; sample_log!$D1002, "")</f>
        <v/>
      </c>
      <c r="C1002" s="5" t="str">
        <f>IF(B1002="", IF(F1002="", "", C1001), IF(sample_log!E1002="Triennial SASS", "tri_params", "params"))</f>
        <v/>
      </c>
      <c r="D1002" s="5" t="str">
        <f>IF(B1002="", "", C1002 &amp; "!" &amp; CHAR(65+MATCH(B1002, params!$B$2:$R$2, 0)))</f>
        <v/>
      </c>
      <c r="E1002" s="5" t="str">
        <f ca="1">IF(B1002="", "", COUNTA(INDIRECT(D1002 &amp; 3):INDIRECT(D1002 &amp; 24)))</f>
        <v/>
      </c>
      <c r="F1002" s="5" t="str">
        <f t="shared" si="32"/>
        <v/>
      </c>
      <c r="G1002" s="5" t="str">
        <f>IF(F1002="", "", IF(B1002&lt;&gt;"", MATCH(B1002, params!$B$2:$R$2, 0), G1001))</f>
        <v/>
      </c>
      <c r="H1002" s="5" t="str">
        <f t="shared" ca="1" si="33"/>
        <v/>
      </c>
      <c r="M1002" s="2"/>
    </row>
    <row r="1003" spans="2:13" ht="15.6" x14ac:dyDescent="0.3">
      <c r="B1003" s="5" t="str">
        <f>IF(COUNTIF(data_val!$E$3:$E$5, sample_log!$E1003), sample_log!$C1003 &amp; "_" &amp; sample_log!$D1003, "")</f>
        <v/>
      </c>
      <c r="C1003" s="5" t="str">
        <f>IF(B1003="", IF(F1003="", "", C1002), IF(sample_log!E1003="Triennial SASS", "tri_params", "params"))</f>
        <v/>
      </c>
      <c r="D1003" s="5" t="str">
        <f>IF(B1003="", "", C1003 &amp; "!" &amp; CHAR(65+MATCH(B1003, params!$B$2:$R$2, 0)))</f>
        <v/>
      </c>
      <c r="E1003" s="5" t="str">
        <f ca="1">IF(B1003="", "", COUNTA(INDIRECT(D1003 &amp; 3):INDIRECT(D1003 &amp; 24)))</f>
        <v/>
      </c>
      <c r="F1003" s="5" t="str">
        <f t="shared" si="32"/>
        <v/>
      </c>
      <c r="G1003" s="5" t="str">
        <f>IF(F1003="", "", IF(B1003&lt;&gt;"", MATCH(B1003, params!$B$2:$R$2, 0), G1002))</f>
        <v/>
      </c>
      <c r="H1003" s="5" t="str">
        <f t="shared" ca="1" si="33"/>
        <v/>
      </c>
      <c r="M1003" s="2"/>
    </row>
    <row r="1004" spans="2:13" ht="15.6" x14ac:dyDescent="0.3">
      <c r="B1004" s="5" t="str">
        <f>IF(COUNTIF(data_val!$E$3:$E$5, sample_log!$E1004), sample_log!$C1004 &amp; "_" &amp; sample_log!$D1004, "")</f>
        <v/>
      </c>
      <c r="C1004" s="5" t="str">
        <f>IF(B1004="", IF(F1004="", "", C1003), IF(sample_log!E1004="Triennial SASS", "tri_params", "params"))</f>
        <v/>
      </c>
      <c r="D1004" s="5" t="str">
        <f>IF(B1004="", "", C1004 &amp; "!" &amp; CHAR(65+MATCH(B1004, params!$B$2:$R$2, 0)))</f>
        <v/>
      </c>
      <c r="E1004" s="5" t="str">
        <f ca="1">IF(B1004="", "", COUNTA(INDIRECT(D1004 &amp; 3):INDIRECT(D1004 &amp; 24)))</f>
        <v/>
      </c>
      <c r="F1004" s="5" t="str">
        <f t="shared" si="32"/>
        <v/>
      </c>
      <c r="G1004" s="5" t="str">
        <f>IF(F1004="", "", IF(B1004&lt;&gt;"", MATCH(B1004, params!$B$2:$R$2, 0), G1003))</f>
        <v/>
      </c>
      <c r="H1004" s="5" t="str">
        <f t="shared" ca="1" si="33"/>
        <v/>
      </c>
      <c r="M1004" s="2"/>
    </row>
    <row r="1005" spans="2:13" ht="15.6" x14ac:dyDescent="0.3">
      <c r="B1005" s="5" t="str">
        <f>IF(COUNTIF(data_val!$E$3:$E$5, sample_log!$E1005), sample_log!$C1005 &amp; "_" &amp; sample_log!$D1005, "")</f>
        <v/>
      </c>
      <c r="C1005" s="5" t="str">
        <f>IF(B1005="", IF(F1005="", "", C1004), IF(sample_log!E1005="Triennial SASS", "tri_params", "params"))</f>
        <v/>
      </c>
      <c r="D1005" s="5" t="str">
        <f>IF(B1005="", "", C1005 &amp; "!" &amp; CHAR(65+MATCH(B1005, params!$B$2:$R$2, 0)))</f>
        <v/>
      </c>
      <c r="E1005" s="5" t="str">
        <f ca="1">IF(B1005="", "", COUNTA(INDIRECT(D1005 &amp; 3):INDIRECT(D1005 &amp; 24)))</f>
        <v/>
      </c>
      <c r="F1005" s="5" t="str">
        <f t="shared" si="32"/>
        <v/>
      </c>
      <c r="G1005" s="5" t="str">
        <f>IF(F1005="", "", IF(B1005&lt;&gt;"", MATCH(B1005, params!$B$2:$R$2, 0), G1004))</f>
        <v/>
      </c>
      <c r="H1005" s="5" t="str">
        <f t="shared" ca="1" si="33"/>
        <v/>
      </c>
      <c r="M1005" s="2"/>
    </row>
    <row r="1006" spans="2:13" ht="15.6" x14ac:dyDescent="0.3">
      <c r="B1006" s="5" t="str">
        <f>IF(COUNTIF(data_val!$E$3:$E$5, sample_log!$E1006), sample_log!$C1006 &amp; "_" &amp; sample_log!$D1006, "")</f>
        <v/>
      </c>
      <c r="C1006" s="5" t="str">
        <f>IF(B1006="", IF(F1006="", "", C1005), IF(sample_log!E1006="Triennial SASS", "tri_params", "params"))</f>
        <v/>
      </c>
      <c r="D1006" s="5" t="str">
        <f>IF(B1006="", "", C1006 &amp; "!" &amp; CHAR(65+MATCH(B1006, params!$B$2:$R$2, 0)))</f>
        <v/>
      </c>
      <c r="E1006" s="5" t="str">
        <f ca="1">IF(B1006="", "", COUNTA(INDIRECT(D1006 &amp; 3):INDIRECT(D1006 &amp; 24)))</f>
        <v/>
      </c>
      <c r="F1006" s="5" t="str">
        <f t="shared" si="32"/>
        <v/>
      </c>
      <c r="G1006" s="5" t="str">
        <f>IF(F1006="", "", IF(B1006&lt;&gt;"", MATCH(B1006, params!$B$2:$R$2, 0), G1005))</f>
        <v/>
      </c>
      <c r="H1006" s="5" t="str">
        <f t="shared" ca="1" si="33"/>
        <v/>
      </c>
      <c r="M1006" s="2"/>
    </row>
    <row r="1007" spans="2:13" ht="15.6" x14ac:dyDescent="0.3">
      <c r="B1007" s="5" t="str">
        <f>IF(COUNTIF(data_val!$E$3:$E$5, sample_log!$E1007), sample_log!$C1007 &amp; "_" &amp; sample_log!$D1007, "")</f>
        <v/>
      </c>
      <c r="C1007" s="5" t="str">
        <f>IF(B1007="", IF(F1007="", "", C1006), IF(sample_log!E1007="Triennial SASS", "tri_params", "params"))</f>
        <v/>
      </c>
      <c r="D1007" s="5" t="str">
        <f>IF(B1007="", "", C1007 &amp; "!" &amp; CHAR(65+MATCH(B1007, params!$B$2:$R$2, 0)))</f>
        <v/>
      </c>
      <c r="E1007" s="5" t="str">
        <f ca="1">IF(B1007="", "", COUNTA(INDIRECT(D1007 &amp; 3):INDIRECT(D1007 &amp; 24)))</f>
        <v/>
      </c>
      <c r="F1007" s="5" t="str">
        <f t="shared" si="32"/>
        <v/>
      </c>
      <c r="G1007" s="5" t="str">
        <f>IF(F1007="", "", IF(B1007&lt;&gt;"", MATCH(B1007, params!$B$2:$R$2, 0), G1006))</f>
        <v/>
      </c>
      <c r="H1007" s="5" t="str">
        <f t="shared" ca="1" si="33"/>
        <v/>
      </c>
      <c r="M1007" s="2"/>
    </row>
    <row r="1008" spans="2:13" ht="15.6" x14ac:dyDescent="0.3">
      <c r="B1008" s="5" t="str">
        <f>IF(COUNTIF(data_val!$E$3:$E$5, sample_log!$E1008), sample_log!$C1008 &amp; "_" &amp; sample_log!$D1008, "")</f>
        <v/>
      </c>
      <c r="C1008" s="5" t="str">
        <f>IF(B1008="", IF(F1008="", "", C1007), IF(sample_log!E1008="Triennial SASS", "tri_params", "params"))</f>
        <v/>
      </c>
      <c r="D1008" s="5" t="str">
        <f>IF(B1008="", "", C1008 &amp; "!" &amp; CHAR(65+MATCH(B1008, params!$B$2:$R$2, 0)))</f>
        <v/>
      </c>
      <c r="E1008" s="5" t="str">
        <f ca="1">IF(B1008="", "", COUNTA(INDIRECT(D1008 &amp; 3):INDIRECT(D1008 &amp; 24)))</f>
        <v/>
      </c>
      <c r="F1008" s="5" t="str">
        <f t="shared" si="32"/>
        <v/>
      </c>
      <c r="G1008" s="5" t="str">
        <f>IF(F1008="", "", IF(B1008&lt;&gt;"", MATCH(B1008, params!$B$2:$R$2, 0), G1007))</f>
        <v/>
      </c>
      <c r="H1008" s="5" t="str">
        <f t="shared" ca="1" si="33"/>
        <v/>
      </c>
      <c r="M1008" s="2"/>
    </row>
    <row r="1009" spans="2:13" ht="15.6" x14ac:dyDescent="0.3">
      <c r="B1009" s="5" t="str">
        <f>IF(COUNTIF(data_val!$E$3:$E$5, sample_log!$E1009), sample_log!$C1009 &amp; "_" &amp; sample_log!$D1009, "")</f>
        <v/>
      </c>
      <c r="C1009" s="5" t="str">
        <f>IF(B1009="", IF(F1009="", "", C1008), IF(sample_log!E1009="Triennial SASS", "tri_params", "params"))</f>
        <v/>
      </c>
      <c r="D1009" s="5" t="str">
        <f>IF(B1009="", "", C1009 &amp; "!" &amp; CHAR(65+MATCH(B1009, params!$B$2:$R$2, 0)))</f>
        <v/>
      </c>
      <c r="E1009" s="5" t="str">
        <f ca="1">IF(B1009="", "", COUNTA(INDIRECT(D1009 &amp; 3):INDIRECT(D1009 &amp; 24)))</f>
        <v/>
      </c>
      <c r="F1009" s="5" t="str">
        <f t="shared" si="32"/>
        <v/>
      </c>
      <c r="G1009" s="5" t="str">
        <f>IF(F1009="", "", IF(B1009&lt;&gt;"", MATCH(B1009, params!$B$2:$R$2, 0), G1008))</f>
        <v/>
      </c>
      <c r="H1009" s="5" t="str">
        <f t="shared" ca="1" si="33"/>
        <v/>
      </c>
      <c r="M1009" s="2"/>
    </row>
    <row r="1010" spans="2:13" ht="15.6" x14ac:dyDescent="0.3">
      <c r="B1010" s="5" t="str">
        <f>IF(COUNTIF(data_val!$E$3:$E$5, sample_log!$E1010), sample_log!$C1010 &amp; "_" &amp; sample_log!$D1010, "")</f>
        <v/>
      </c>
      <c r="C1010" s="5" t="str">
        <f>IF(B1010="", IF(F1010="", "", C1009), IF(sample_log!E1010="Triennial SASS", "tri_params", "params"))</f>
        <v/>
      </c>
      <c r="D1010" s="5" t="str">
        <f>IF(B1010="", "", C1010 &amp; "!" &amp; CHAR(65+MATCH(B1010, params!$B$2:$R$2, 0)))</f>
        <v/>
      </c>
      <c r="E1010" s="5" t="str">
        <f ca="1">IF(B1010="", "", COUNTA(INDIRECT(D1010 &amp; 3):INDIRECT(D1010 &amp; 24)))</f>
        <v/>
      </c>
      <c r="F1010" s="5" t="str">
        <f t="shared" si="32"/>
        <v/>
      </c>
      <c r="G1010" s="5" t="str">
        <f>IF(F1010="", "", IF(B1010&lt;&gt;"", MATCH(B1010, params!$B$2:$R$2, 0), G1009))</f>
        <v/>
      </c>
      <c r="H1010" s="5" t="str">
        <f t="shared" ca="1" si="33"/>
        <v/>
      </c>
      <c r="M1010" s="2"/>
    </row>
    <row r="1011" spans="2:13" ht="15.6" x14ac:dyDescent="0.3">
      <c r="B1011" s="5" t="str">
        <f>IF(COUNTIF(data_val!$E$3:$E$5, sample_log!$E1011), sample_log!$C1011 &amp; "_" &amp; sample_log!$D1011, "")</f>
        <v/>
      </c>
      <c r="C1011" s="5" t="str">
        <f>IF(B1011="", IF(F1011="", "", C1010), IF(sample_log!E1011="Triennial SASS", "tri_params", "params"))</f>
        <v/>
      </c>
      <c r="D1011" s="5" t="str">
        <f>IF(B1011="", "", C1011 &amp; "!" &amp; CHAR(65+MATCH(B1011, params!$B$2:$R$2, 0)))</f>
        <v/>
      </c>
      <c r="E1011" s="5" t="str">
        <f ca="1">IF(B1011="", "", COUNTA(INDIRECT(D1011 &amp; 3):INDIRECT(D1011 &amp; 24)))</f>
        <v/>
      </c>
      <c r="F1011" s="5" t="str">
        <f t="shared" si="32"/>
        <v/>
      </c>
      <c r="G1011" s="5" t="str">
        <f>IF(F1011="", "", IF(B1011&lt;&gt;"", MATCH(B1011, params!$B$2:$R$2, 0), G1010))</f>
        <v/>
      </c>
      <c r="H1011" s="5" t="str">
        <f t="shared" ca="1" si="33"/>
        <v/>
      </c>
      <c r="M1011" s="2"/>
    </row>
    <row r="1012" spans="2:13" ht="15.6" x14ac:dyDescent="0.3">
      <c r="B1012" s="5" t="str">
        <f>IF(COUNTIF(data_val!$E$3:$E$5, sample_log!$E1012), sample_log!$C1012 &amp; "_" &amp; sample_log!$D1012, "")</f>
        <v/>
      </c>
      <c r="C1012" s="5" t="str">
        <f>IF(B1012="", IF(F1012="", "", C1011), IF(sample_log!E1012="Triennial SASS", "tri_params", "params"))</f>
        <v/>
      </c>
      <c r="D1012" s="5" t="str">
        <f>IF(B1012="", "", C1012 &amp; "!" &amp; CHAR(65+MATCH(B1012, params!$B$2:$R$2, 0)))</f>
        <v/>
      </c>
      <c r="E1012" s="5" t="str">
        <f ca="1">IF(B1012="", "", COUNTA(INDIRECT(D1012 &amp; 3):INDIRECT(D1012 &amp; 24)))</f>
        <v/>
      </c>
      <c r="F1012" s="5" t="str">
        <f t="shared" si="32"/>
        <v/>
      </c>
      <c r="G1012" s="5" t="str">
        <f>IF(F1012="", "", IF(B1012&lt;&gt;"", MATCH(B1012, params!$B$2:$R$2, 0), G1011))</f>
        <v/>
      </c>
      <c r="H1012" s="5" t="str">
        <f t="shared" ca="1" si="33"/>
        <v/>
      </c>
      <c r="M1012" s="2"/>
    </row>
    <row r="1013" spans="2:13" ht="15.6" x14ac:dyDescent="0.3">
      <c r="B1013" s="5" t="str">
        <f>IF(COUNTIF(data_val!$E$3:$E$5, sample_log!$E1013), sample_log!$C1013 &amp; "_" &amp; sample_log!$D1013, "")</f>
        <v/>
      </c>
      <c r="C1013" s="5" t="str">
        <f>IF(B1013="", IF(F1013="", "", C1012), IF(sample_log!E1013="Triennial SASS", "tri_params", "params"))</f>
        <v/>
      </c>
      <c r="D1013" s="5" t="str">
        <f>IF(B1013="", "", C1013 &amp; "!" &amp; CHAR(65+MATCH(B1013, params!$B$2:$R$2, 0)))</f>
        <v/>
      </c>
      <c r="E1013" s="5" t="str">
        <f ca="1">IF(B1013="", "", COUNTA(INDIRECT(D1013 &amp; 3):INDIRECT(D1013 &amp; 24)))</f>
        <v/>
      </c>
      <c r="F1013" s="5" t="str">
        <f t="shared" si="32"/>
        <v/>
      </c>
      <c r="G1013" s="5" t="str">
        <f>IF(F1013="", "", IF(B1013&lt;&gt;"", MATCH(B1013, params!$B$2:$R$2, 0), G1012))</f>
        <v/>
      </c>
      <c r="H1013" s="5" t="str">
        <f t="shared" ca="1" si="33"/>
        <v/>
      </c>
      <c r="M1013" s="2"/>
    </row>
    <row r="1014" spans="2:13" ht="15.6" x14ac:dyDescent="0.3">
      <c r="B1014" s="5" t="str">
        <f>IF(COUNTIF(data_val!$E$3:$E$5, sample_log!$E1014), sample_log!$C1014 &amp; "_" &amp; sample_log!$D1014, "")</f>
        <v/>
      </c>
      <c r="C1014" s="5" t="str">
        <f>IF(B1014="", IF(F1014="", "", C1013), IF(sample_log!E1014="Triennial SASS", "tri_params", "params"))</f>
        <v/>
      </c>
      <c r="D1014" s="5" t="str">
        <f>IF(B1014="", "", C1014 &amp; "!" &amp; CHAR(65+MATCH(B1014, params!$B$2:$R$2, 0)))</f>
        <v/>
      </c>
      <c r="E1014" s="5" t="str">
        <f ca="1">IF(B1014="", "", COUNTA(INDIRECT(D1014 &amp; 3):INDIRECT(D1014 &amp; 24)))</f>
        <v/>
      </c>
      <c r="F1014" s="5" t="str">
        <f t="shared" si="32"/>
        <v/>
      </c>
      <c r="G1014" s="5" t="str">
        <f>IF(F1014="", "", IF(B1014&lt;&gt;"", MATCH(B1014, params!$B$2:$R$2, 0), G1013))</f>
        <v/>
      </c>
      <c r="H1014" s="5" t="str">
        <f t="shared" ca="1" si="33"/>
        <v/>
      </c>
      <c r="M1014" s="2"/>
    </row>
    <row r="1015" spans="2:13" ht="15.6" x14ac:dyDescent="0.3">
      <c r="B1015" s="5" t="str">
        <f>IF(COUNTIF(data_val!$E$3:$E$5, sample_log!$E1015), sample_log!$C1015 &amp; "_" &amp; sample_log!$D1015, "")</f>
        <v/>
      </c>
      <c r="C1015" s="5" t="str">
        <f>IF(B1015="", IF(F1015="", "", C1014), IF(sample_log!E1015="Triennial SASS", "tri_params", "params"))</f>
        <v/>
      </c>
      <c r="D1015" s="5" t="str">
        <f>IF(B1015="", "", C1015 &amp; "!" &amp; CHAR(65+MATCH(B1015, params!$B$2:$R$2, 0)))</f>
        <v/>
      </c>
      <c r="E1015" s="5" t="str">
        <f ca="1">IF(B1015="", "", COUNTA(INDIRECT(D1015 &amp; 3):INDIRECT(D1015 &amp; 24)))</f>
        <v/>
      </c>
      <c r="F1015" s="5" t="str">
        <f t="shared" si="32"/>
        <v/>
      </c>
      <c r="G1015" s="5" t="str">
        <f>IF(F1015="", "", IF(B1015&lt;&gt;"", MATCH(B1015, params!$B$2:$R$2, 0), G1014))</f>
        <v/>
      </c>
      <c r="H1015" s="5" t="str">
        <f t="shared" ca="1" si="33"/>
        <v/>
      </c>
      <c r="M1015" s="2"/>
    </row>
    <row r="1016" spans="2:13" ht="15.6" x14ac:dyDescent="0.3">
      <c r="B1016" s="5" t="str">
        <f>IF(COUNTIF(data_val!$E$3:$E$5, sample_log!$E1016), sample_log!$C1016 &amp; "_" &amp; sample_log!$D1016, "")</f>
        <v/>
      </c>
      <c r="C1016" s="5" t="str">
        <f>IF(B1016="", IF(F1016="", "", C1015), IF(sample_log!E1016="Triennial SASS", "tri_params", "params"))</f>
        <v/>
      </c>
      <c r="D1016" s="5" t="str">
        <f>IF(B1016="", "", C1016 &amp; "!" &amp; CHAR(65+MATCH(B1016, params!$B$2:$R$2, 0)))</f>
        <v/>
      </c>
      <c r="E1016" s="5" t="str">
        <f ca="1">IF(B1016="", "", COUNTA(INDIRECT(D1016 &amp; 3):INDIRECT(D1016 &amp; 24)))</f>
        <v/>
      </c>
      <c r="F1016" s="5" t="str">
        <f t="shared" si="32"/>
        <v/>
      </c>
      <c r="G1016" s="5" t="str">
        <f>IF(F1016="", "", IF(B1016&lt;&gt;"", MATCH(B1016, params!$B$2:$R$2, 0), G1015))</f>
        <v/>
      </c>
      <c r="H1016" s="5" t="str">
        <f t="shared" ca="1" si="33"/>
        <v/>
      </c>
      <c r="M1016" s="2"/>
    </row>
    <row r="1017" spans="2:13" ht="15.6" x14ac:dyDescent="0.3">
      <c r="B1017" s="5" t="str">
        <f>IF(COUNTIF(data_val!$E$3:$E$5, sample_log!$E1017), sample_log!$C1017 &amp; "_" &amp; sample_log!$D1017, "")</f>
        <v/>
      </c>
      <c r="C1017" s="5" t="str">
        <f>IF(B1017="", IF(F1017="", "", C1016), IF(sample_log!E1017="Triennial SASS", "tri_params", "params"))</f>
        <v/>
      </c>
      <c r="D1017" s="5" t="str">
        <f>IF(B1017="", "", C1017 &amp; "!" &amp; CHAR(65+MATCH(B1017, params!$B$2:$R$2, 0)))</f>
        <v/>
      </c>
      <c r="E1017" s="5" t="str">
        <f ca="1">IF(B1017="", "", COUNTA(INDIRECT(D1017 &amp; 3):INDIRECT(D1017 &amp; 24)))</f>
        <v/>
      </c>
      <c r="F1017" s="5" t="str">
        <f t="shared" si="32"/>
        <v/>
      </c>
      <c r="G1017" s="5" t="str">
        <f>IF(F1017="", "", IF(B1017&lt;&gt;"", MATCH(B1017, params!$B$2:$R$2, 0), G1016))</f>
        <v/>
      </c>
      <c r="H1017" s="5" t="str">
        <f t="shared" ca="1" si="33"/>
        <v/>
      </c>
      <c r="M1017" s="2"/>
    </row>
    <row r="1018" spans="2:13" ht="15.6" x14ac:dyDescent="0.3">
      <c r="B1018" s="5" t="str">
        <f>IF(COUNTIF(data_val!$E$3:$E$5, sample_log!$E1018), sample_log!$C1018 &amp; "_" &amp; sample_log!$D1018, "")</f>
        <v/>
      </c>
      <c r="C1018" s="5" t="str">
        <f>IF(B1018="", IF(F1018="", "", C1017), IF(sample_log!E1018="Triennial SASS", "tri_params", "params"))</f>
        <v/>
      </c>
      <c r="D1018" s="5" t="str">
        <f>IF(B1018="", "", C1018 &amp; "!" &amp; CHAR(65+MATCH(B1018, params!$B$2:$R$2, 0)))</f>
        <v/>
      </c>
      <c r="E1018" s="5" t="str">
        <f ca="1">IF(B1018="", "", COUNTA(INDIRECT(D1018 &amp; 3):INDIRECT(D1018 &amp; 24)))</f>
        <v/>
      </c>
      <c r="F1018" s="5" t="str">
        <f t="shared" si="32"/>
        <v/>
      </c>
      <c r="G1018" s="5" t="str">
        <f>IF(F1018="", "", IF(B1018&lt;&gt;"", MATCH(B1018, params!$B$2:$R$2, 0), G1017))</f>
        <v/>
      </c>
      <c r="H1018" s="5" t="str">
        <f t="shared" ca="1" si="33"/>
        <v/>
      </c>
      <c r="M1018" s="2"/>
    </row>
    <row r="1019" spans="2:13" ht="15.6" x14ac:dyDescent="0.3">
      <c r="B1019" s="5" t="str">
        <f>IF(COUNTIF(data_val!$E$3:$E$5, sample_log!$E1019), sample_log!$C1019 &amp; "_" &amp; sample_log!$D1019, "")</f>
        <v/>
      </c>
      <c r="C1019" s="5" t="str">
        <f>IF(B1019="", IF(F1019="", "", C1018), IF(sample_log!E1019="Triennial SASS", "tri_params", "params"))</f>
        <v/>
      </c>
      <c r="D1019" s="5" t="str">
        <f>IF(B1019="", "", C1019 &amp; "!" &amp; CHAR(65+MATCH(B1019, params!$B$2:$R$2, 0)))</f>
        <v/>
      </c>
      <c r="E1019" s="5" t="str">
        <f ca="1">IF(B1019="", "", COUNTA(INDIRECT(D1019 &amp; 3):INDIRECT(D1019 &amp; 24)))</f>
        <v/>
      </c>
      <c r="F1019" s="5" t="str">
        <f t="shared" si="32"/>
        <v/>
      </c>
      <c r="G1019" s="5" t="str">
        <f>IF(F1019="", "", IF(B1019&lt;&gt;"", MATCH(B1019, params!$B$2:$R$2, 0), G1018))</f>
        <v/>
      </c>
      <c r="H1019" s="5" t="str">
        <f t="shared" ca="1" si="33"/>
        <v/>
      </c>
      <c r="M1019" s="2"/>
    </row>
    <row r="1020" spans="2:13" ht="15.6" x14ac:dyDescent="0.3">
      <c r="B1020" s="5" t="str">
        <f>IF(COUNTIF(data_val!$E$3:$E$5, sample_log!$E1020), sample_log!$C1020 &amp; "_" &amp; sample_log!$D1020, "")</f>
        <v/>
      </c>
      <c r="C1020" s="5" t="str">
        <f>IF(B1020="", IF(F1020="", "", C1019), IF(sample_log!E1020="Triennial SASS", "tri_params", "params"))</f>
        <v/>
      </c>
      <c r="D1020" s="5" t="str">
        <f>IF(B1020="", "", C1020 &amp; "!" &amp; CHAR(65+MATCH(B1020, params!$B$2:$R$2, 0)))</f>
        <v/>
      </c>
      <c r="E1020" s="5" t="str">
        <f ca="1">IF(B1020="", "", COUNTA(INDIRECT(D1020 &amp; 3):INDIRECT(D1020 &amp; 24)))</f>
        <v/>
      </c>
      <c r="F1020" s="5" t="str">
        <f t="shared" si="32"/>
        <v/>
      </c>
      <c r="G1020" s="5" t="str">
        <f>IF(F1020="", "", IF(B1020&lt;&gt;"", MATCH(B1020, params!$B$2:$R$2, 0), G1019))</f>
        <v/>
      </c>
      <c r="H1020" s="5" t="str">
        <f t="shared" ca="1" si="33"/>
        <v/>
      </c>
      <c r="M1020" s="2"/>
    </row>
    <row r="1021" spans="2:13" ht="15.6" x14ac:dyDescent="0.3">
      <c r="B1021" s="5" t="str">
        <f>IF(COUNTIF(data_val!$E$3:$E$5, sample_log!$E1021), sample_log!$C1021 &amp; "_" &amp; sample_log!$D1021, "")</f>
        <v/>
      </c>
      <c r="C1021" s="5" t="str">
        <f>IF(B1021="", IF(F1021="", "", C1020), IF(sample_log!E1021="Triennial SASS", "tri_params", "params"))</f>
        <v/>
      </c>
      <c r="D1021" s="5" t="str">
        <f>IF(B1021="", "", C1021 &amp; "!" &amp; CHAR(65+MATCH(B1021, params!$B$2:$R$2, 0)))</f>
        <v/>
      </c>
      <c r="E1021" s="5" t="str">
        <f ca="1">IF(B1021="", "", COUNTA(INDIRECT(D1021 &amp; 3):INDIRECT(D1021 &amp; 24)))</f>
        <v/>
      </c>
      <c r="F1021" s="5" t="str">
        <f t="shared" si="32"/>
        <v/>
      </c>
      <c r="G1021" s="5" t="str">
        <f>IF(F1021="", "", IF(B1021&lt;&gt;"", MATCH(B1021, params!$B$2:$R$2, 0), G1020))</f>
        <v/>
      </c>
      <c r="H1021" s="5" t="str">
        <f t="shared" ca="1" si="33"/>
        <v/>
      </c>
      <c r="M1021" s="2"/>
    </row>
    <row r="1022" spans="2:13" ht="15.6" x14ac:dyDescent="0.3">
      <c r="B1022" s="5" t="str">
        <f>IF(COUNTIF(data_val!$E$3:$E$5, sample_log!$E1022), sample_log!$C1022 &amp; "_" &amp; sample_log!$D1022, "")</f>
        <v/>
      </c>
      <c r="C1022" s="5" t="str">
        <f>IF(B1022="", IF(F1022="", "", C1021), IF(sample_log!E1022="Triennial SASS", "tri_params", "params"))</f>
        <v/>
      </c>
      <c r="D1022" s="5" t="str">
        <f>IF(B1022="", "", C1022 &amp; "!" &amp; CHAR(65+MATCH(B1022, params!$B$2:$R$2, 0)))</f>
        <v/>
      </c>
      <c r="E1022" s="5" t="str">
        <f ca="1">IF(B1022="", "", COUNTA(INDIRECT(D1022 &amp; 3):INDIRECT(D1022 &amp; 24)))</f>
        <v/>
      </c>
      <c r="F1022" s="5" t="str">
        <f t="shared" si="32"/>
        <v/>
      </c>
      <c r="G1022" s="5" t="str">
        <f>IF(F1022="", "", IF(B1022&lt;&gt;"", MATCH(B1022, params!$B$2:$R$2, 0), G1021))</f>
        <v/>
      </c>
      <c r="H1022" s="5" t="str">
        <f t="shared" ca="1" si="33"/>
        <v/>
      </c>
      <c r="M1022" s="2"/>
    </row>
    <row r="1023" spans="2:13" ht="15.6" x14ac:dyDescent="0.3">
      <c r="B1023" s="5" t="str">
        <f>IF(COUNTIF(data_val!$E$3:$E$5, sample_log!$E1023), sample_log!$C1023 &amp; "_" &amp; sample_log!$D1023, "")</f>
        <v/>
      </c>
      <c r="C1023" s="5" t="str">
        <f>IF(B1023="", IF(F1023="", "", C1022), IF(sample_log!E1023="Triennial SASS", "tri_params", "params"))</f>
        <v/>
      </c>
      <c r="D1023" s="5" t="str">
        <f>IF(B1023="", "", C1023 &amp; "!" &amp; CHAR(65+MATCH(B1023, params!$B$2:$R$2, 0)))</f>
        <v/>
      </c>
      <c r="E1023" s="5" t="str">
        <f ca="1">IF(B1023="", "", COUNTA(INDIRECT(D1023 &amp; 3):INDIRECT(D1023 &amp; 24)))</f>
        <v/>
      </c>
      <c r="F1023" s="5" t="str">
        <f t="shared" si="32"/>
        <v/>
      </c>
      <c r="G1023" s="5" t="str">
        <f>IF(F1023="", "", IF(B1023&lt;&gt;"", MATCH(B1023, params!$B$2:$R$2, 0), G1022))</f>
        <v/>
      </c>
      <c r="H1023" s="5" t="str">
        <f t="shared" ca="1" si="33"/>
        <v/>
      </c>
      <c r="M1023" s="2"/>
    </row>
    <row r="1024" spans="2:13" ht="15.6" x14ac:dyDescent="0.3">
      <c r="B1024" s="5" t="str">
        <f>IF(COUNTIF(data_val!$E$3:$E$5, sample_log!$E1024), sample_log!$C1024 &amp; "_" &amp; sample_log!$D1024, "")</f>
        <v/>
      </c>
      <c r="C1024" s="5" t="str">
        <f>IF(B1024="", IF(F1024="", "", C1023), IF(sample_log!E1024="Triennial SASS", "tri_params", "params"))</f>
        <v/>
      </c>
      <c r="D1024" s="5" t="str">
        <f>IF(B1024="", "", C1024 &amp; "!" &amp; CHAR(65+MATCH(B1024, params!$B$2:$R$2, 0)))</f>
        <v/>
      </c>
      <c r="E1024" s="5" t="str">
        <f ca="1">IF(B1024="", "", COUNTA(INDIRECT(D1024 &amp; 3):INDIRECT(D1024 &amp; 24)))</f>
        <v/>
      </c>
      <c r="F1024" s="5" t="str">
        <f t="shared" si="32"/>
        <v/>
      </c>
      <c r="G1024" s="5" t="str">
        <f>IF(F1024="", "", IF(B1024&lt;&gt;"", MATCH(B1024, params!$B$2:$R$2, 0), G1023))</f>
        <v/>
      </c>
      <c r="H1024" s="5" t="str">
        <f t="shared" ca="1" si="33"/>
        <v/>
      </c>
      <c r="M1024" s="2"/>
    </row>
    <row r="1025" spans="2:13" ht="15.6" x14ac:dyDescent="0.3">
      <c r="B1025" s="5" t="str">
        <f>IF(COUNTIF(data_val!$E$3:$E$5, sample_log!$E1025), sample_log!$C1025 &amp; "_" &amp; sample_log!$D1025, "")</f>
        <v/>
      </c>
      <c r="C1025" s="5" t="str">
        <f>IF(B1025="", IF(F1025="", "", C1024), IF(sample_log!E1025="Triennial SASS", "tri_params", "params"))</f>
        <v/>
      </c>
      <c r="D1025" s="5" t="str">
        <f>IF(B1025="", "", C1025 &amp; "!" &amp; CHAR(65+MATCH(B1025, params!$B$2:$R$2, 0)))</f>
        <v/>
      </c>
      <c r="E1025" s="5" t="str">
        <f ca="1">IF(B1025="", "", COUNTA(INDIRECT(D1025 &amp; 3):INDIRECT(D1025 &amp; 24)))</f>
        <v/>
      </c>
      <c r="F1025" s="5" t="str">
        <f t="shared" si="32"/>
        <v/>
      </c>
      <c r="G1025" s="5" t="str">
        <f>IF(F1025="", "", IF(B1025&lt;&gt;"", MATCH(B1025, params!$B$2:$R$2, 0), G1024))</f>
        <v/>
      </c>
      <c r="H1025" s="5" t="str">
        <f t="shared" ca="1" si="33"/>
        <v/>
      </c>
      <c r="M1025" s="2"/>
    </row>
    <row r="1026" spans="2:13" ht="15.6" x14ac:dyDescent="0.3">
      <c r="B1026" s="5" t="str">
        <f>IF(COUNTIF(data_val!$E$3:$E$5, sample_log!$E1026), sample_log!$C1026 &amp; "_" &amp; sample_log!$D1026, "")</f>
        <v/>
      </c>
      <c r="C1026" s="5" t="str">
        <f>IF(B1026="", IF(F1026="", "", C1025), IF(sample_log!E1026="Triennial SASS", "tri_params", "params"))</f>
        <v/>
      </c>
      <c r="D1026" s="5" t="str">
        <f>IF(B1026="", "", C1026 &amp; "!" &amp; CHAR(65+MATCH(B1026, params!$B$2:$R$2, 0)))</f>
        <v/>
      </c>
      <c r="E1026" s="5" t="str">
        <f ca="1">IF(B1026="", "", COUNTA(INDIRECT(D1026 &amp; 3):INDIRECT(D1026 &amp; 24)))</f>
        <v/>
      </c>
      <c r="F1026" s="5" t="str">
        <f t="shared" si="32"/>
        <v/>
      </c>
      <c r="G1026" s="5" t="str">
        <f>IF(F1026="", "", IF(B1026&lt;&gt;"", MATCH(B1026, params!$B$2:$R$2, 0), G1025))</f>
        <v/>
      </c>
      <c r="H1026" s="5" t="str">
        <f t="shared" ca="1" si="33"/>
        <v/>
      </c>
      <c r="M1026" s="2"/>
    </row>
    <row r="1027" spans="2:13" ht="15.6" x14ac:dyDescent="0.3">
      <c r="B1027" s="5" t="str">
        <f>IF(COUNTIF(data_val!$E$3:$E$5, sample_log!$E1027), sample_log!$C1027 &amp; "_" &amp; sample_log!$D1027, "")</f>
        <v/>
      </c>
      <c r="C1027" s="5" t="str">
        <f>IF(B1027="", IF(F1027="", "", C1026), IF(sample_log!E1027="Triennial SASS", "tri_params", "params"))</f>
        <v/>
      </c>
      <c r="D1027" s="5" t="str">
        <f>IF(B1027="", "", C1027 &amp; "!" &amp; CHAR(65+MATCH(B1027, params!$B$2:$R$2, 0)))</f>
        <v/>
      </c>
      <c r="E1027" s="5" t="str">
        <f ca="1">IF(B1027="", "", COUNTA(INDIRECT(D1027 &amp; 3):INDIRECT(D1027 &amp; 24)))</f>
        <v/>
      </c>
      <c r="F1027" s="5" t="str">
        <f t="shared" ref="F1027:F1090" si="34">IF(B1027="", IF(NOT(ISNUMBER(F1026)), "", IF(F1026-1&gt;0, F1026-1, "")), E1027)</f>
        <v/>
      </c>
      <c r="G1027" s="5" t="str">
        <f>IF(F1027="", "", IF(B1027&lt;&gt;"", MATCH(B1027, params!$B$2:$R$2, 0), G1026))</f>
        <v/>
      </c>
      <c r="H1027" s="5" t="str">
        <f t="shared" ca="1" si="33"/>
        <v/>
      </c>
      <c r="M1027" s="2"/>
    </row>
    <row r="1028" spans="2:13" ht="15.6" x14ac:dyDescent="0.3">
      <c r="B1028" s="5" t="str">
        <f>IF(COUNTIF(data_val!$E$3:$E$5, sample_log!$E1028), sample_log!$C1028 &amp; "_" &amp; sample_log!$D1028, "")</f>
        <v/>
      </c>
      <c r="C1028" s="5" t="str">
        <f>IF(B1028="", IF(F1028="", "", C1027), IF(sample_log!E1028="Triennial SASS", "tri_params", "params"))</f>
        <v/>
      </c>
      <c r="D1028" s="5" t="str">
        <f>IF(B1028="", "", C1028 &amp; "!" &amp; CHAR(65+MATCH(B1028, params!$B$2:$R$2, 0)))</f>
        <v/>
      </c>
      <c r="E1028" s="5" t="str">
        <f ca="1">IF(B1028="", "", COUNTA(INDIRECT(D1028 &amp; 3):INDIRECT(D1028 &amp; 24)))</f>
        <v/>
      </c>
      <c r="F1028" s="5" t="str">
        <f t="shared" si="34"/>
        <v/>
      </c>
      <c r="G1028" s="5" t="str">
        <f>IF(F1028="", "", IF(B1028&lt;&gt;"", MATCH(B1028, params!$B$2:$R$2, 0), G1027))</f>
        <v/>
      </c>
      <c r="H1028" s="5" t="str">
        <f t="shared" ca="1" si="33"/>
        <v/>
      </c>
      <c r="M1028" s="2"/>
    </row>
    <row r="1029" spans="2:13" ht="15.6" x14ac:dyDescent="0.3">
      <c r="B1029" s="5" t="str">
        <f>IF(COUNTIF(data_val!$E$3:$E$5, sample_log!$E1029), sample_log!$C1029 &amp; "_" &amp; sample_log!$D1029, "")</f>
        <v/>
      </c>
      <c r="C1029" s="5" t="str">
        <f>IF(B1029="", IF(F1029="", "", C1028), IF(sample_log!E1029="Triennial SASS", "tri_params", "params"))</f>
        <v/>
      </c>
      <c r="D1029" s="5" t="str">
        <f>IF(B1029="", "", C1029 &amp; "!" &amp; CHAR(65+MATCH(B1029, params!$B$2:$R$2, 0)))</f>
        <v/>
      </c>
      <c r="E1029" s="5" t="str">
        <f ca="1">IF(B1029="", "", COUNTA(INDIRECT(D1029 &amp; 3):INDIRECT(D1029 &amp; 24)))</f>
        <v/>
      </c>
      <c r="F1029" s="5" t="str">
        <f t="shared" si="34"/>
        <v/>
      </c>
      <c r="G1029" s="5" t="str">
        <f>IF(F1029="", "", IF(B1029&lt;&gt;"", MATCH(B1029, params!$B$2:$R$2, 0), G1028))</f>
        <v/>
      </c>
      <c r="H1029" s="5" t="str">
        <f t="shared" ca="1" si="33"/>
        <v/>
      </c>
      <c r="M1029" s="2"/>
    </row>
    <row r="1030" spans="2:13" ht="15.6" x14ac:dyDescent="0.3">
      <c r="B1030" s="5" t="str">
        <f>IF(COUNTIF(data_val!$E$3:$E$5, sample_log!$E1030), sample_log!$C1030 &amp; "_" &amp; sample_log!$D1030, "")</f>
        <v/>
      </c>
      <c r="C1030" s="5" t="str">
        <f>IF(B1030="", IF(F1030="", "", C1029), IF(sample_log!E1030="Triennial SASS", "tri_params", "params"))</f>
        <v/>
      </c>
      <c r="D1030" s="5" t="str">
        <f>IF(B1030="", "", C1030 &amp; "!" &amp; CHAR(65+MATCH(B1030, params!$B$2:$R$2, 0)))</f>
        <v/>
      </c>
      <c r="E1030" s="5" t="str">
        <f ca="1">IF(B1030="", "", COUNTA(INDIRECT(D1030 &amp; 3):INDIRECT(D1030 &amp; 24)))</f>
        <v/>
      </c>
      <c r="F1030" s="5" t="str">
        <f t="shared" si="34"/>
        <v/>
      </c>
      <c r="G1030" s="5" t="str">
        <f>IF(F1030="", "", IF(B1030&lt;&gt;"", MATCH(B1030, params!$B$2:$R$2, 0), G1029))</f>
        <v/>
      </c>
      <c r="H1030" s="5" t="str">
        <f t="shared" ca="1" si="33"/>
        <v/>
      </c>
      <c r="M1030" s="2"/>
    </row>
    <row r="1031" spans="2:13" ht="15.6" x14ac:dyDescent="0.3">
      <c r="B1031" s="5" t="str">
        <f>IF(COUNTIF(data_val!$E$3:$E$5, sample_log!$E1031), sample_log!$C1031 &amp; "_" &amp; sample_log!$D1031, "")</f>
        <v/>
      </c>
      <c r="C1031" s="5" t="str">
        <f>IF(B1031="", IF(F1031="", "", C1030), IF(sample_log!E1031="Triennial SASS", "tri_params", "params"))</f>
        <v/>
      </c>
      <c r="D1031" s="5" t="str">
        <f>IF(B1031="", "", C1031 &amp; "!" &amp; CHAR(65+MATCH(B1031, params!$B$2:$R$2, 0)))</f>
        <v/>
      </c>
      <c r="E1031" s="5" t="str">
        <f ca="1">IF(B1031="", "", COUNTA(INDIRECT(D1031 &amp; 3):INDIRECT(D1031 &amp; 24)))</f>
        <v/>
      </c>
      <c r="F1031" s="5" t="str">
        <f t="shared" si="34"/>
        <v/>
      </c>
      <c r="G1031" s="5" t="str">
        <f>IF(F1031="", "", IF(B1031&lt;&gt;"", MATCH(B1031, params!$B$2:$R$2, 0), G1030))</f>
        <v/>
      </c>
      <c r="H1031" s="5" t="str">
        <f t="shared" ca="1" si="33"/>
        <v/>
      </c>
      <c r="M1031" s="2"/>
    </row>
    <row r="1032" spans="2:13" ht="15.6" x14ac:dyDescent="0.3">
      <c r="B1032" s="5" t="str">
        <f>IF(COUNTIF(data_val!$E$3:$E$5, sample_log!$E1032), sample_log!$C1032 &amp; "_" &amp; sample_log!$D1032, "")</f>
        <v/>
      </c>
      <c r="C1032" s="5" t="str">
        <f>IF(B1032="", IF(F1032="", "", C1031), IF(sample_log!E1032="Triennial SASS", "tri_params", "params"))</f>
        <v/>
      </c>
      <c r="D1032" s="5" t="str">
        <f>IF(B1032="", "", C1032 &amp; "!" &amp; CHAR(65+MATCH(B1032, params!$B$2:$R$2, 0)))</f>
        <v/>
      </c>
      <c r="E1032" s="5" t="str">
        <f ca="1">IF(B1032="", "", COUNTA(INDIRECT(D1032 &amp; 3):INDIRECT(D1032 &amp; 24)))</f>
        <v/>
      </c>
      <c r="F1032" s="5" t="str">
        <f t="shared" si="34"/>
        <v/>
      </c>
      <c r="G1032" s="5" t="str">
        <f>IF(F1032="", "", IF(B1032&lt;&gt;"", MATCH(B1032, params!$B$2:$R$2, 0), G1031))</f>
        <v/>
      </c>
      <c r="H1032" s="5" t="str">
        <f t="shared" ca="1" si="33"/>
        <v/>
      </c>
      <c r="M1032" s="2"/>
    </row>
    <row r="1033" spans="2:13" ht="15.6" x14ac:dyDescent="0.3">
      <c r="B1033" s="5" t="str">
        <f>IF(COUNTIF(data_val!$E$3:$E$5, sample_log!$E1033), sample_log!$C1033 &amp; "_" &amp; sample_log!$D1033, "")</f>
        <v/>
      </c>
      <c r="C1033" s="5" t="str">
        <f>IF(B1033="", IF(F1033="", "", C1032), IF(sample_log!E1033="Triennial SASS", "tri_params", "params"))</f>
        <v/>
      </c>
      <c r="D1033" s="5" t="str">
        <f>IF(B1033="", "", C1033 &amp; "!" &amp; CHAR(65+MATCH(B1033, params!$B$2:$R$2, 0)))</f>
        <v/>
      </c>
      <c r="E1033" s="5" t="str">
        <f ca="1">IF(B1033="", "", COUNTA(INDIRECT(D1033 &amp; 3):INDIRECT(D1033 &amp; 24)))</f>
        <v/>
      </c>
      <c r="F1033" s="5" t="str">
        <f t="shared" si="34"/>
        <v/>
      </c>
      <c r="G1033" s="5" t="str">
        <f>IF(F1033="", "", IF(B1033&lt;&gt;"", MATCH(B1033, params!$B$2:$R$2, 0), G1032))</f>
        <v/>
      </c>
      <c r="H1033" s="5" t="str">
        <f t="shared" ca="1" si="33"/>
        <v/>
      </c>
      <c r="M1033" s="2"/>
    </row>
    <row r="1034" spans="2:13" ht="15.6" x14ac:dyDescent="0.3">
      <c r="B1034" s="5" t="str">
        <f>IF(COUNTIF(data_val!$E$3:$E$5, sample_log!$E1034), sample_log!$C1034 &amp; "_" &amp; sample_log!$D1034, "")</f>
        <v/>
      </c>
      <c r="C1034" s="5" t="str">
        <f>IF(B1034="", IF(F1034="", "", C1033), IF(sample_log!E1034="Triennial SASS", "tri_params", "params"))</f>
        <v/>
      </c>
      <c r="D1034" s="5" t="str">
        <f>IF(B1034="", "", C1034 &amp; "!" &amp; CHAR(65+MATCH(B1034, params!$B$2:$R$2, 0)))</f>
        <v/>
      </c>
      <c r="E1034" s="5" t="str">
        <f ca="1">IF(B1034="", "", COUNTA(INDIRECT(D1034 &amp; 3):INDIRECT(D1034 &amp; 24)))</f>
        <v/>
      </c>
      <c r="F1034" s="5" t="str">
        <f t="shared" si="34"/>
        <v/>
      </c>
      <c r="G1034" s="5" t="str">
        <f>IF(F1034="", "", IF(B1034&lt;&gt;"", MATCH(B1034, params!$B$2:$R$2, 0), G1033))</f>
        <v/>
      </c>
      <c r="H1034" s="5" t="str">
        <f t="shared" ca="1" si="33"/>
        <v/>
      </c>
      <c r="M1034" s="2"/>
    </row>
    <row r="1035" spans="2:13" ht="15.6" x14ac:dyDescent="0.3">
      <c r="B1035" s="5" t="str">
        <f>IF(COUNTIF(data_val!$E$3:$E$5, sample_log!$E1035), sample_log!$C1035 &amp; "_" &amp; sample_log!$D1035, "")</f>
        <v/>
      </c>
      <c r="C1035" s="5" t="str">
        <f>IF(B1035="", IF(F1035="", "", C1034), IF(sample_log!E1035="Triennial SASS", "tri_params", "params"))</f>
        <v/>
      </c>
      <c r="D1035" s="5" t="str">
        <f>IF(B1035="", "", C1035 &amp; "!" &amp; CHAR(65+MATCH(B1035, params!$B$2:$R$2, 0)))</f>
        <v/>
      </c>
      <c r="E1035" s="5" t="str">
        <f ca="1">IF(B1035="", "", COUNTA(INDIRECT(D1035 &amp; 3):INDIRECT(D1035 &amp; 24)))</f>
        <v/>
      </c>
      <c r="F1035" s="5" t="str">
        <f t="shared" si="34"/>
        <v/>
      </c>
      <c r="G1035" s="5" t="str">
        <f>IF(F1035="", "", IF(B1035&lt;&gt;"", MATCH(B1035, params!$B$2:$R$2, 0), G1034))</f>
        <v/>
      </c>
      <c r="H1035" s="5" t="str">
        <f t="shared" ca="1" si="33"/>
        <v/>
      </c>
      <c r="M1035" s="2"/>
    </row>
    <row r="1036" spans="2:13" ht="15.6" x14ac:dyDescent="0.3">
      <c r="B1036" s="5" t="str">
        <f>IF(COUNTIF(data_val!$E$3:$E$5, sample_log!$E1036), sample_log!$C1036 &amp; "_" &amp; sample_log!$D1036, "")</f>
        <v/>
      </c>
      <c r="C1036" s="5" t="str">
        <f>IF(B1036="", IF(F1036="", "", C1035), IF(sample_log!E1036="Triennial SASS", "tri_params", "params"))</f>
        <v/>
      </c>
      <c r="D1036" s="5" t="str">
        <f>IF(B1036="", "", C1036 &amp; "!" &amp; CHAR(65+MATCH(B1036, params!$B$2:$R$2, 0)))</f>
        <v/>
      </c>
      <c r="E1036" s="5" t="str">
        <f ca="1">IF(B1036="", "", COUNTA(INDIRECT(D1036 &amp; 3):INDIRECT(D1036 &amp; 24)))</f>
        <v/>
      </c>
      <c r="F1036" s="5" t="str">
        <f t="shared" si="34"/>
        <v/>
      </c>
      <c r="G1036" s="5" t="str">
        <f>IF(F1036="", "", IF(B1036&lt;&gt;"", MATCH(B1036, params!$B$2:$R$2, 0), G1035))</f>
        <v/>
      </c>
      <c r="H1036" s="5" t="str">
        <f t="shared" ca="1" si="33"/>
        <v/>
      </c>
      <c r="M1036" s="2"/>
    </row>
    <row r="1037" spans="2:13" ht="15.6" x14ac:dyDescent="0.3">
      <c r="B1037" s="5" t="str">
        <f>IF(COUNTIF(data_val!$E$3:$E$5, sample_log!$E1037), sample_log!$C1037 &amp; "_" &amp; sample_log!$D1037, "")</f>
        <v/>
      </c>
      <c r="C1037" s="5" t="str">
        <f>IF(B1037="", IF(F1037="", "", C1036), IF(sample_log!E1037="Triennial SASS", "tri_params", "params"))</f>
        <v/>
      </c>
      <c r="D1037" s="5" t="str">
        <f>IF(B1037="", "", C1037 &amp; "!" &amp; CHAR(65+MATCH(B1037, params!$B$2:$R$2, 0)))</f>
        <v/>
      </c>
      <c r="E1037" s="5" t="str">
        <f ca="1">IF(B1037="", "", COUNTA(INDIRECT(D1037 &amp; 3):INDIRECT(D1037 &amp; 24)))</f>
        <v/>
      </c>
      <c r="F1037" s="5" t="str">
        <f t="shared" si="34"/>
        <v/>
      </c>
      <c r="G1037" s="5" t="str">
        <f>IF(F1037="", "", IF(B1037&lt;&gt;"", MATCH(B1037, params!$B$2:$R$2, 0), G1036))</f>
        <v/>
      </c>
      <c r="H1037" s="5" t="str">
        <f t="shared" ca="1" si="33"/>
        <v/>
      </c>
      <c r="M1037" s="2"/>
    </row>
    <row r="1038" spans="2:13" ht="15.6" x14ac:dyDescent="0.3">
      <c r="B1038" s="5" t="str">
        <f>IF(COUNTIF(data_val!$E$3:$E$5, sample_log!$E1038), sample_log!$C1038 &amp; "_" &amp; sample_log!$D1038, "")</f>
        <v/>
      </c>
      <c r="C1038" s="5" t="str">
        <f>IF(B1038="", IF(F1038="", "", C1037), IF(sample_log!E1038="Triennial SASS", "tri_params", "params"))</f>
        <v/>
      </c>
      <c r="D1038" s="5" t="str">
        <f>IF(B1038="", "", C1038 &amp; "!" &amp; CHAR(65+MATCH(B1038, params!$B$2:$R$2, 0)))</f>
        <v/>
      </c>
      <c r="E1038" s="5" t="str">
        <f ca="1">IF(B1038="", "", COUNTA(INDIRECT(D1038 &amp; 3):INDIRECT(D1038 &amp; 24)))</f>
        <v/>
      </c>
      <c r="F1038" s="5" t="str">
        <f t="shared" si="34"/>
        <v/>
      </c>
      <c r="G1038" s="5" t="str">
        <f>IF(F1038="", "", IF(B1038&lt;&gt;"", MATCH(B1038, params!$B$2:$R$2, 0), G1037))</f>
        <v/>
      </c>
      <c r="H1038" s="5" t="str">
        <f t="shared" ca="1" si="33"/>
        <v/>
      </c>
      <c r="M1038" s="2"/>
    </row>
    <row r="1039" spans="2:13" ht="15.6" x14ac:dyDescent="0.3">
      <c r="B1039" s="5" t="str">
        <f>IF(COUNTIF(data_val!$E$3:$E$5, sample_log!$E1039), sample_log!$C1039 &amp; "_" &amp; sample_log!$D1039, "")</f>
        <v/>
      </c>
      <c r="C1039" s="5" t="str">
        <f>IF(B1039="", IF(F1039="", "", C1038), IF(sample_log!E1039="Triennial SASS", "tri_params", "params"))</f>
        <v/>
      </c>
      <c r="D1039" s="5" t="str">
        <f>IF(B1039="", "", C1039 &amp; "!" &amp; CHAR(65+MATCH(B1039, params!$B$2:$R$2, 0)))</f>
        <v/>
      </c>
      <c r="E1039" s="5" t="str">
        <f ca="1">IF(B1039="", "", COUNTA(INDIRECT(D1039 &amp; 3):INDIRECT(D1039 &amp; 24)))</f>
        <v/>
      </c>
      <c r="F1039" s="5" t="str">
        <f t="shared" si="34"/>
        <v/>
      </c>
      <c r="G1039" s="5" t="str">
        <f>IF(F1039="", "", IF(B1039&lt;&gt;"", MATCH(B1039, params!$B$2:$R$2, 0), G1038))</f>
        <v/>
      </c>
      <c r="H1039" s="5" t="str">
        <f t="shared" ca="1" si="33"/>
        <v/>
      </c>
      <c r="M1039" s="2"/>
    </row>
    <row r="1040" spans="2:13" ht="15.6" x14ac:dyDescent="0.3">
      <c r="B1040" s="5" t="str">
        <f>IF(COUNTIF(data_val!$E$3:$E$5, sample_log!$E1040), sample_log!$C1040 &amp; "_" &amp; sample_log!$D1040, "")</f>
        <v/>
      </c>
      <c r="C1040" s="5" t="str">
        <f>IF(B1040="", IF(F1040="", "", C1039), IF(sample_log!E1040="Triennial SASS", "tri_params", "params"))</f>
        <v/>
      </c>
      <c r="D1040" s="5" t="str">
        <f>IF(B1040="", "", C1040 &amp; "!" &amp; CHAR(65+MATCH(B1040, params!$B$2:$R$2, 0)))</f>
        <v/>
      </c>
      <c r="E1040" s="5" t="str">
        <f ca="1">IF(B1040="", "", COUNTA(INDIRECT(D1040 &amp; 3):INDIRECT(D1040 &amp; 24)))</f>
        <v/>
      </c>
      <c r="F1040" s="5" t="str">
        <f t="shared" si="34"/>
        <v/>
      </c>
      <c r="G1040" s="5" t="str">
        <f>IF(F1040="", "", IF(B1040&lt;&gt;"", MATCH(B1040, params!$B$2:$R$2, 0), G1039))</f>
        <v/>
      </c>
      <c r="H1040" s="5" t="str">
        <f t="shared" ca="1" si="33"/>
        <v/>
      </c>
      <c r="M1040" s="2"/>
    </row>
    <row r="1041" spans="2:13" ht="15.6" x14ac:dyDescent="0.3">
      <c r="B1041" s="5" t="str">
        <f>IF(COUNTIF(data_val!$E$3:$E$5, sample_log!$E1041), sample_log!$C1041 &amp; "_" &amp; sample_log!$D1041, "")</f>
        <v/>
      </c>
      <c r="C1041" s="5" t="str">
        <f>IF(B1041="", IF(F1041="", "", C1040), IF(sample_log!E1041="Triennial SASS", "tri_params", "params"))</f>
        <v/>
      </c>
      <c r="D1041" s="5" t="str">
        <f>IF(B1041="", "", C1041 &amp; "!" &amp; CHAR(65+MATCH(B1041, params!$B$2:$R$2, 0)))</f>
        <v/>
      </c>
      <c r="E1041" s="5" t="str">
        <f ca="1">IF(B1041="", "", COUNTA(INDIRECT(D1041 &amp; 3):INDIRECT(D1041 &amp; 24)))</f>
        <v/>
      </c>
      <c r="F1041" s="5" t="str">
        <f t="shared" si="34"/>
        <v/>
      </c>
      <c r="G1041" s="5" t="str">
        <f>IF(F1041="", "", IF(B1041&lt;&gt;"", MATCH(B1041, params!$B$2:$R$2, 0), G1040))</f>
        <v/>
      </c>
      <c r="H1041" s="5" t="str">
        <f t="shared" ca="1" si="33"/>
        <v/>
      </c>
      <c r="M1041" s="2"/>
    </row>
    <row r="1042" spans="2:13" ht="15.6" x14ac:dyDescent="0.3">
      <c r="B1042" s="5" t="str">
        <f>IF(COUNTIF(data_val!$E$3:$E$5, sample_log!$E1042), sample_log!$C1042 &amp; "_" &amp; sample_log!$D1042, "")</f>
        <v/>
      </c>
      <c r="C1042" s="5" t="str">
        <f>IF(B1042="", IF(F1042="", "", C1041), IF(sample_log!E1042="Triennial SASS", "tri_params", "params"))</f>
        <v/>
      </c>
      <c r="D1042" s="5" t="str">
        <f>IF(B1042="", "", C1042 &amp; "!" &amp; CHAR(65+MATCH(B1042, params!$B$2:$R$2, 0)))</f>
        <v/>
      </c>
      <c r="E1042" s="5" t="str">
        <f ca="1">IF(B1042="", "", COUNTA(INDIRECT(D1042 &amp; 3):INDIRECT(D1042 &amp; 24)))</f>
        <v/>
      </c>
      <c r="F1042" s="5" t="str">
        <f t="shared" si="34"/>
        <v/>
      </c>
      <c r="G1042" s="5" t="str">
        <f>IF(F1042="", "", IF(B1042&lt;&gt;"", MATCH(B1042, params!$B$2:$R$2, 0), G1041))</f>
        <v/>
      </c>
      <c r="H1042" s="5" t="str">
        <f t="shared" ca="1" si="33"/>
        <v/>
      </c>
      <c r="M1042" s="2"/>
    </row>
    <row r="1043" spans="2:13" ht="15.6" x14ac:dyDescent="0.3">
      <c r="B1043" s="5" t="str">
        <f>IF(COUNTIF(data_val!$E$3:$E$5, sample_log!$E1043), sample_log!$C1043 &amp; "_" &amp; sample_log!$D1043, "")</f>
        <v/>
      </c>
      <c r="C1043" s="5" t="str">
        <f>IF(B1043="", IF(F1043="", "", C1042), IF(sample_log!E1043="Triennial SASS", "tri_params", "params"))</f>
        <v/>
      </c>
      <c r="D1043" s="5" t="str">
        <f>IF(B1043="", "", C1043 &amp; "!" &amp; CHAR(65+MATCH(B1043, params!$B$2:$R$2, 0)))</f>
        <v/>
      </c>
      <c r="E1043" s="5" t="str">
        <f ca="1">IF(B1043="", "", COUNTA(INDIRECT(D1043 &amp; 3):INDIRECT(D1043 &amp; 24)))</f>
        <v/>
      </c>
      <c r="F1043" s="5" t="str">
        <f t="shared" si="34"/>
        <v/>
      </c>
      <c r="G1043" s="5" t="str">
        <f>IF(F1043="", "", IF(B1043&lt;&gt;"", MATCH(B1043, params!$B$2:$R$2, 0), G1042))</f>
        <v/>
      </c>
      <c r="H1043" s="5" t="str">
        <f t="shared" ca="1" si="33"/>
        <v/>
      </c>
      <c r="M1043" s="2"/>
    </row>
    <row r="1044" spans="2:13" ht="15.6" x14ac:dyDescent="0.3">
      <c r="B1044" s="5" t="str">
        <f>IF(COUNTIF(data_val!$E$3:$E$5, sample_log!$E1044), sample_log!$C1044 &amp; "_" &amp; sample_log!$D1044, "")</f>
        <v/>
      </c>
      <c r="C1044" s="5" t="str">
        <f>IF(B1044="", IF(F1044="", "", C1043), IF(sample_log!E1044="Triennial SASS", "tri_params", "params"))</f>
        <v/>
      </c>
      <c r="D1044" s="5" t="str">
        <f>IF(B1044="", "", C1044 &amp; "!" &amp; CHAR(65+MATCH(B1044, params!$B$2:$R$2, 0)))</f>
        <v/>
      </c>
      <c r="E1044" s="5" t="str">
        <f ca="1">IF(B1044="", "", COUNTA(INDIRECT(D1044 &amp; 3):INDIRECT(D1044 &amp; 24)))</f>
        <v/>
      </c>
      <c r="F1044" s="5" t="str">
        <f t="shared" si="34"/>
        <v/>
      </c>
      <c r="G1044" s="5" t="str">
        <f>IF(F1044="", "", IF(B1044&lt;&gt;"", MATCH(B1044, params!$B$2:$R$2, 0), G1043))</f>
        <v/>
      </c>
      <c r="H1044" s="5" t="str">
        <f t="shared" ca="1" si="33"/>
        <v/>
      </c>
      <c r="M1044" s="2"/>
    </row>
    <row r="1045" spans="2:13" ht="15.6" x14ac:dyDescent="0.3">
      <c r="B1045" s="5" t="str">
        <f>IF(COUNTIF(data_val!$E$3:$E$5, sample_log!$E1045), sample_log!$C1045 &amp; "_" &amp; sample_log!$D1045, "")</f>
        <v/>
      </c>
      <c r="C1045" s="5" t="str">
        <f>IF(B1045="", IF(F1045="", "", C1044), IF(sample_log!E1045="Triennial SASS", "tri_params", "params"))</f>
        <v/>
      </c>
      <c r="D1045" s="5" t="str">
        <f>IF(B1045="", "", C1045 &amp; "!" &amp; CHAR(65+MATCH(B1045, params!$B$2:$R$2, 0)))</f>
        <v/>
      </c>
      <c r="E1045" s="5" t="str">
        <f ca="1">IF(B1045="", "", COUNTA(INDIRECT(D1045 &amp; 3):INDIRECT(D1045 &amp; 24)))</f>
        <v/>
      </c>
      <c r="F1045" s="5" t="str">
        <f t="shared" si="34"/>
        <v/>
      </c>
      <c r="G1045" s="5" t="str">
        <f>IF(F1045="", "", IF(B1045&lt;&gt;"", MATCH(B1045, params!$B$2:$R$2, 0), G1044))</f>
        <v/>
      </c>
      <c r="H1045" s="5" t="str">
        <f t="shared" ca="1" si="33"/>
        <v/>
      </c>
      <c r="M1045" s="2"/>
    </row>
    <row r="1046" spans="2:13" ht="15.6" x14ac:dyDescent="0.3">
      <c r="B1046" s="5" t="str">
        <f>IF(COUNTIF(data_val!$E$3:$E$5, sample_log!$E1046), sample_log!$C1046 &amp; "_" &amp; sample_log!$D1046, "")</f>
        <v/>
      </c>
      <c r="C1046" s="5" t="str">
        <f>IF(B1046="", IF(F1046="", "", C1045), IF(sample_log!E1046="Triennial SASS", "tri_params", "params"))</f>
        <v/>
      </c>
      <c r="D1046" s="5" t="str">
        <f>IF(B1046="", "", C1046 &amp; "!" &amp; CHAR(65+MATCH(B1046, params!$B$2:$R$2, 0)))</f>
        <v/>
      </c>
      <c r="E1046" s="5" t="str">
        <f ca="1">IF(B1046="", "", COUNTA(INDIRECT(D1046 &amp; 3):INDIRECT(D1046 &amp; 24)))</f>
        <v/>
      </c>
      <c r="F1046" s="5" t="str">
        <f t="shared" si="34"/>
        <v/>
      </c>
      <c r="G1046" s="5" t="str">
        <f>IF(F1046="", "", IF(B1046&lt;&gt;"", MATCH(B1046, params!$B$2:$R$2, 0), G1045))</f>
        <v/>
      </c>
      <c r="H1046" s="5" t="str">
        <f t="shared" ca="1" si="33"/>
        <v/>
      </c>
      <c r="M1046" s="2"/>
    </row>
    <row r="1047" spans="2:13" ht="15.6" x14ac:dyDescent="0.3">
      <c r="B1047" s="5" t="str">
        <f>IF(COUNTIF(data_val!$E$3:$E$5, sample_log!$E1047), sample_log!$C1047 &amp; "_" &amp; sample_log!$D1047, "")</f>
        <v/>
      </c>
      <c r="C1047" s="5" t="str">
        <f>IF(B1047="", IF(F1047="", "", C1046), IF(sample_log!E1047="Triennial SASS", "tri_params", "params"))</f>
        <v/>
      </c>
      <c r="D1047" s="5" t="str">
        <f>IF(B1047="", "", C1047 &amp; "!" &amp; CHAR(65+MATCH(B1047, params!$B$2:$R$2, 0)))</f>
        <v/>
      </c>
      <c r="E1047" s="5" t="str">
        <f ca="1">IF(B1047="", "", COUNTA(INDIRECT(D1047 &amp; 3):INDIRECT(D1047 &amp; 24)))</f>
        <v/>
      </c>
      <c r="F1047" s="5" t="str">
        <f t="shared" si="34"/>
        <v/>
      </c>
      <c r="G1047" s="5" t="str">
        <f>IF(F1047="", "", IF(B1047&lt;&gt;"", MATCH(B1047, params!$B$2:$R$2, 0), G1046))</f>
        <v/>
      </c>
      <c r="H1047" s="5" t="str">
        <f t="shared" ca="1" si="33"/>
        <v/>
      </c>
      <c r="M1047" s="2"/>
    </row>
    <row r="1048" spans="2:13" ht="15.6" x14ac:dyDescent="0.3">
      <c r="B1048" s="5" t="str">
        <f>IF(COUNTIF(data_val!$E$3:$E$5, sample_log!$E1048), sample_log!$C1048 &amp; "_" &amp; sample_log!$D1048, "")</f>
        <v/>
      </c>
      <c r="C1048" s="5" t="str">
        <f>IF(B1048="", IF(F1048="", "", C1047), IF(sample_log!E1048="Triennial SASS", "tri_params", "params"))</f>
        <v/>
      </c>
      <c r="D1048" s="5" t="str">
        <f>IF(B1048="", "", C1048 &amp; "!" &amp; CHAR(65+MATCH(B1048, params!$B$2:$R$2, 0)))</f>
        <v/>
      </c>
      <c r="E1048" s="5" t="str">
        <f ca="1">IF(B1048="", "", COUNTA(INDIRECT(D1048 &amp; 3):INDIRECT(D1048 &amp; 24)))</f>
        <v/>
      </c>
      <c r="F1048" s="5" t="str">
        <f t="shared" si="34"/>
        <v/>
      </c>
      <c r="G1048" s="5" t="str">
        <f>IF(F1048="", "", IF(B1048&lt;&gt;"", MATCH(B1048, params!$B$2:$R$2, 0), G1047))</f>
        <v/>
      </c>
      <c r="H1048" s="5" t="str">
        <f t="shared" ca="1" si="33"/>
        <v/>
      </c>
      <c r="M1048" s="2"/>
    </row>
    <row r="1049" spans="2:13" ht="15.6" x14ac:dyDescent="0.3">
      <c r="B1049" s="5" t="str">
        <f>IF(COUNTIF(data_val!$E$3:$E$5, sample_log!$E1049), sample_log!$C1049 &amp; "_" &amp; sample_log!$D1049, "")</f>
        <v/>
      </c>
      <c r="C1049" s="5" t="str">
        <f>IF(B1049="", IF(F1049="", "", C1048), IF(sample_log!E1049="Triennial SASS", "tri_params", "params"))</f>
        <v/>
      </c>
      <c r="D1049" s="5" t="str">
        <f>IF(B1049="", "", C1049 &amp; "!" &amp; CHAR(65+MATCH(B1049, params!$B$2:$R$2, 0)))</f>
        <v/>
      </c>
      <c r="E1049" s="5" t="str">
        <f ca="1">IF(B1049="", "", COUNTA(INDIRECT(D1049 &amp; 3):INDIRECT(D1049 &amp; 24)))</f>
        <v/>
      </c>
      <c r="F1049" s="5" t="str">
        <f t="shared" si="34"/>
        <v/>
      </c>
      <c r="G1049" s="5" t="str">
        <f>IF(F1049="", "", IF(B1049&lt;&gt;"", MATCH(B1049, params!$B$2:$R$2, 0), G1048))</f>
        <v/>
      </c>
      <c r="H1049" s="5" t="str">
        <f t="shared" ref="H1049:H1112" ca="1" si="35">IF($F1049="", "", INDEX(INDIRECT("'" &amp; C1049 &amp; "'!$B$3:$R$24"), $F1049, $G1049))</f>
        <v/>
      </c>
      <c r="M1049" s="2"/>
    </row>
    <row r="1050" spans="2:13" ht="15.6" x14ac:dyDescent="0.3">
      <c r="B1050" s="5" t="str">
        <f>IF(COUNTIF(data_val!$E$3:$E$5, sample_log!$E1050), sample_log!$C1050 &amp; "_" &amp; sample_log!$D1050, "")</f>
        <v/>
      </c>
      <c r="C1050" s="5" t="str">
        <f>IF(B1050="", IF(F1050="", "", C1049), IF(sample_log!E1050="Triennial SASS", "tri_params", "params"))</f>
        <v/>
      </c>
      <c r="D1050" s="5" t="str">
        <f>IF(B1050="", "", C1050 &amp; "!" &amp; CHAR(65+MATCH(B1050, params!$B$2:$R$2, 0)))</f>
        <v/>
      </c>
      <c r="E1050" s="5" t="str">
        <f ca="1">IF(B1050="", "", COUNTA(INDIRECT(D1050 &amp; 3):INDIRECT(D1050 &amp; 24)))</f>
        <v/>
      </c>
      <c r="F1050" s="5" t="str">
        <f t="shared" si="34"/>
        <v/>
      </c>
      <c r="G1050" s="5" t="str">
        <f>IF(F1050="", "", IF(B1050&lt;&gt;"", MATCH(B1050, params!$B$2:$R$2, 0), G1049))</f>
        <v/>
      </c>
      <c r="H1050" s="5" t="str">
        <f t="shared" ca="1" si="35"/>
        <v/>
      </c>
      <c r="M1050" s="2"/>
    </row>
    <row r="1051" spans="2:13" ht="15.6" x14ac:dyDescent="0.3">
      <c r="B1051" s="5" t="str">
        <f>IF(COUNTIF(data_val!$E$3:$E$5, sample_log!$E1051), sample_log!$C1051 &amp; "_" &amp; sample_log!$D1051, "")</f>
        <v/>
      </c>
      <c r="C1051" s="5" t="str">
        <f>IF(B1051="", IF(F1051="", "", C1050), IF(sample_log!E1051="Triennial SASS", "tri_params", "params"))</f>
        <v/>
      </c>
      <c r="D1051" s="5" t="str">
        <f>IF(B1051="", "", C1051 &amp; "!" &amp; CHAR(65+MATCH(B1051, params!$B$2:$R$2, 0)))</f>
        <v/>
      </c>
      <c r="E1051" s="5" t="str">
        <f ca="1">IF(B1051="", "", COUNTA(INDIRECT(D1051 &amp; 3):INDIRECT(D1051 &amp; 24)))</f>
        <v/>
      </c>
      <c r="F1051" s="5" t="str">
        <f t="shared" si="34"/>
        <v/>
      </c>
      <c r="G1051" s="5" t="str">
        <f>IF(F1051="", "", IF(B1051&lt;&gt;"", MATCH(B1051, params!$B$2:$R$2, 0), G1050))</f>
        <v/>
      </c>
      <c r="H1051" s="5" t="str">
        <f t="shared" ca="1" si="35"/>
        <v/>
      </c>
      <c r="M1051" s="2"/>
    </row>
    <row r="1052" spans="2:13" ht="15.6" x14ac:dyDescent="0.3">
      <c r="B1052" s="5" t="str">
        <f>IF(COUNTIF(data_val!$E$3:$E$5, sample_log!$E1052), sample_log!$C1052 &amp; "_" &amp; sample_log!$D1052, "")</f>
        <v/>
      </c>
      <c r="C1052" s="5" t="str">
        <f>IF(B1052="", IF(F1052="", "", C1051), IF(sample_log!E1052="Triennial SASS", "tri_params", "params"))</f>
        <v/>
      </c>
      <c r="D1052" s="5" t="str">
        <f>IF(B1052="", "", C1052 &amp; "!" &amp; CHAR(65+MATCH(B1052, params!$B$2:$R$2, 0)))</f>
        <v/>
      </c>
      <c r="E1052" s="5" t="str">
        <f ca="1">IF(B1052="", "", COUNTA(INDIRECT(D1052 &amp; 3):INDIRECT(D1052 &amp; 24)))</f>
        <v/>
      </c>
      <c r="F1052" s="5" t="str">
        <f t="shared" si="34"/>
        <v/>
      </c>
      <c r="G1052" s="5" t="str">
        <f>IF(F1052="", "", IF(B1052&lt;&gt;"", MATCH(B1052, params!$B$2:$R$2, 0), G1051))</f>
        <v/>
      </c>
      <c r="H1052" s="5" t="str">
        <f t="shared" ca="1" si="35"/>
        <v/>
      </c>
      <c r="M1052" s="2"/>
    </row>
    <row r="1053" spans="2:13" ht="15.6" x14ac:dyDescent="0.3">
      <c r="B1053" s="5" t="str">
        <f>IF(COUNTIF(data_val!$E$3:$E$5, sample_log!$E1053), sample_log!$C1053 &amp; "_" &amp; sample_log!$D1053, "")</f>
        <v/>
      </c>
      <c r="C1053" s="5" t="str">
        <f>IF(B1053="", IF(F1053="", "", C1052), IF(sample_log!E1053="Triennial SASS", "tri_params", "params"))</f>
        <v/>
      </c>
      <c r="D1053" s="5" t="str">
        <f>IF(B1053="", "", C1053 &amp; "!" &amp; CHAR(65+MATCH(B1053, params!$B$2:$R$2, 0)))</f>
        <v/>
      </c>
      <c r="E1053" s="5" t="str">
        <f ca="1">IF(B1053="", "", COUNTA(INDIRECT(D1053 &amp; 3):INDIRECT(D1053 &amp; 24)))</f>
        <v/>
      </c>
      <c r="F1053" s="5" t="str">
        <f t="shared" si="34"/>
        <v/>
      </c>
      <c r="G1053" s="5" t="str">
        <f>IF(F1053="", "", IF(B1053&lt;&gt;"", MATCH(B1053, params!$B$2:$R$2, 0), G1052))</f>
        <v/>
      </c>
      <c r="H1053" s="5" t="str">
        <f t="shared" ca="1" si="35"/>
        <v/>
      </c>
      <c r="M1053" s="2"/>
    </row>
    <row r="1054" spans="2:13" ht="15.6" x14ac:dyDescent="0.3">
      <c r="B1054" s="5" t="str">
        <f>IF(COUNTIF(data_val!$E$3:$E$5, sample_log!$E1054), sample_log!$C1054 &amp; "_" &amp; sample_log!$D1054, "")</f>
        <v/>
      </c>
      <c r="C1054" s="5" t="str">
        <f>IF(B1054="", IF(F1054="", "", C1053), IF(sample_log!E1054="Triennial SASS", "tri_params", "params"))</f>
        <v/>
      </c>
      <c r="D1054" s="5" t="str">
        <f>IF(B1054="", "", C1054 &amp; "!" &amp; CHAR(65+MATCH(B1054, params!$B$2:$R$2, 0)))</f>
        <v/>
      </c>
      <c r="E1054" s="5" t="str">
        <f ca="1">IF(B1054="", "", COUNTA(INDIRECT(D1054 &amp; 3):INDIRECT(D1054 &amp; 24)))</f>
        <v/>
      </c>
      <c r="F1054" s="5" t="str">
        <f t="shared" si="34"/>
        <v/>
      </c>
      <c r="G1054" s="5" t="str">
        <f>IF(F1054="", "", IF(B1054&lt;&gt;"", MATCH(B1054, params!$B$2:$R$2, 0), G1053))</f>
        <v/>
      </c>
      <c r="H1054" s="5" t="str">
        <f t="shared" ca="1" si="35"/>
        <v/>
      </c>
      <c r="M1054" s="2"/>
    </row>
    <row r="1055" spans="2:13" ht="15.6" x14ac:dyDescent="0.3">
      <c r="B1055" s="5" t="str">
        <f>IF(COUNTIF(data_val!$E$3:$E$5, sample_log!$E1055), sample_log!$C1055 &amp; "_" &amp; sample_log!$D1055, "")</f>
        <v/>
      </c>
      <c r="C1055" s="5" t="str">
        <f>IF(B1055="", IF(F1055="", "", C1054), IF(sample_log!E1055="Triennial SASS", "tri_params", "params"))</f>
        <v/>
      </c>
      <c r="D1055" s="5" t="str">
        <f>IF(B1055="", "", C1055 &amp; "!" &amp; CHAR(65+MATCH(B1055, params!$B$2:$R$2, 0)))</f>
        <v/>
      </c>
      <c r="E1055" s="5" t="str">
        <f ca="1">IF(B1055="", "", COUNTA(INDIRECT(D1055 &amp; 3):INDIRECT(D1055 &amp; 24)))</f>
        <v/>
      </c>
      <c r="F1055" s="5" t="str">
        <f t="shared" si="34"/>
        <v/>
      </c>
      <c r="G1055" s="5" t="str">
        <f>IF(F1055="", "", IF(B1055&lt;&gt;"", MATCH(B1055, params!$B$2:$R$2, 0), G1054))</f>
        <v/>
      </c>
      <c r="H1055" s="5" t="str">
        <f t="shared" ca="1" si="35"/>
        <v/>
      </c>
      <c r="M1055" s="2"/>
    </row>
    <row r="1056" spans="2:13" ht="15.6" x14ac:dyDescent="0.3">
      <c r="B1056" s="5" t="str">
        <f>IF(COUNTIF(data_val!$E$3:$E$5, sample_log!$E1056), sample_log!$C1056 &amp; "_" &amp; sample_log!$D1056, "")</f>
        <v/>
      </c>
      <c r="C1056" s="5" t="str">
        <f>IF(B1056="", IF(F1056="", "", C1055), IF(sample_log!E1056="Triennial SASS", "tri_params", "params"))</f>
        <v/>
      </c>
      <c r="D1056" s="5" t="str">
        <f>IF(B1056="", "", C1056 &amp; "!" &amp; CHAR(65+MATCH(B1056, params!$B$2:$R$2, 0)))</f>
        <v/>
      </c>
      <c r="E1056" s="5" t="str">
        <f ca="1">IF(B1056="", "", COUNTA(INDIRECT(D1056 &amp; 3):INDIRECT(D1056 &amp; 24)))</f>
        <v/>
      </c>
      <c r="F1056" s="5" t="str">
        <f t="shared" si="34"/>
        <v/>
      </c>
      <c r="G1056" s="5" t="str">
        <f>IF(F1056="", "", IF(B1056&lt;&gt;"", MATCH(B1056, params!$B$2:$R$2, 0), G1055))</f>
        <v/>
      </c>
      <c r="H1056" s="5" t="str">
        <f t="shared" ca="1" si="35"/>
        <v/>
      </c>
      <c r="M1056" s="2"/>
    </row>
    <row r="1057" spans="2:13" ht="15.6" x14ac:dyDescent="0.3">
      <c r="B1057" s="5" t="str">
        <f>IF(COUNTIF(data_val!$E$3:$E$5, sample_log!$E1057), sample_log!$C1057 &amp; "_" &amp; sample_log!$D1057, "")</f>
        <v/>
      </c>
      <c r="C1057" s="5" t="str">
        <f>IF(B1057="", IF(F1057="", "", C1056), IF(sample_log!E1057="Triennial SASS", "tri_params", "params"))</f>
        <v/>
      </c>
      <c r="D1057" s="5" t="str">
        <f>IF(B1057="", "", C1057 &amp; "!" &amp; CHAR(65+MATCH(B1057, params!$B$2:$R$2, 0)))</f>
        <v/>
      </c>
      <c r="E1057" s="5" t="str">
        <f ca="1">IF(B1057="", "", COUNTA(INDIRECT(D1057 &amp; 3):INDIRECT(D1057 &amp; 24)))</f>
        <v/>
      </c>
      <c r="F1057" s="5" t="str">
        <f t="shared" si="34"/>
        <v/>
      </c>
      <c r="G1057" s="5" t="str">
        <f>IF(F1057="", "", IF(B1057&lt;&gt;"", MATCH(B1057, params!$B$2:$R$2, 0), G1056))</f>
        <v/>
      </c>
      <c r="H1057" s="5" t="str">
        <f t="shared" ca="1" si="35"/>
        <v/>
      </c>
      <c r="M1057" s="2"/>
    </row>
    <row r="1058" spans="2:13" ht="15.6" x14ac:dyDescent="0.3">
      <c r="B1058" s="5" t="str">
        <f>IF(COUNTIF(data_val!$E$3:$E$5, sample_log!$E1058), sample_log!$C1058 &amp; "_" &amp; sample_log!$D1058, "")</f>
        <v/>
      </c>
      <c r="C1058" s="5" t="str">
        <f>IF(B1058="", IF(F1058="", "", C1057), IF(sample_log!E1058="Triennial SASS", "tri_params", "params"))</f>
        <v/>
      </c>
      <c r="D1058" s="5" t="str">
        <f>IF(B1058="", "", C1058 &amp; "!" &amp; CHAR(65+MATCH(B1058, params!$B$2:$R$2, 0)))</f>
        <v/>
      </c>
      <c r="E1058" s="5" t="str">
        <f ca="1">IF(B1058="", "", COUNTA(INDIRECT(D1058 &amp; 3):INDIRECT(D1058 &amp; 24)))</f>
        <v/>
      </c>
      <c r="F1058" s="5" t="str">
        <f t="shared" si="34"/>
        <v/>
      </c>
      <c r="G1058" s="5" t="str">
        <f>IF(F1058="", "", IF(B1058&lt;&gt;"", MATCH(B1058, params!$B$2:$R$2, 0), G1057))</f>
        <v/>
      </c>
      <c r="H1058" s="5" t="str">
        <f t="shared" ca="1" si="35"/>
        <v/>
      </c>
      <c r="M1058" s="2"/>
    </row>
    <row r="1059" spans="2:13" ht="15.6" x14ac:dyDescent="0.3">
      <c r="B1059" s="5" t="str">
        <f>IF(COUNTIF(data_val!$E$3:$E$5, sample_log!$E1059), sample_log!$C1059 &amp; "_" &amp; sample_log!$D1059, "")</f>
        <v/>
      </c>
      <c r="C1059" s="5" t="str">
        <f>IF(B1059="", IF(F1059="", "", C1058), IF(sample_log!E1059="Triennial SASS", "tri_params", "params"))</f>
        <v/>
      </c>
      <c r="D1059" s="5" t="str">
        <f>IF(B1059="", "", C1059 &amp; "!" &amp; CHAR(65+MATCH(B1059, params!$B$2:$R$2, 0)))</f>
        <v/>
      </c>
      <c r="E1059" s="5" t="str">
        <f ca="1">IF(B1059="", "", COUNTA(INDIRECT(D1059 &amp; 3):INDIRECT(D1059 &amp; 24)))</f>
        <v/>
      </c>
      <c r="F1059" s="5" t="str">
        <f t="shared" si="34"/>
        <v/>
      </c>
      <c r="G1059" s="5" t="str">
        <f>IF(F1059="", "", IF(B1059&lt;&gt;"", MATCH(B1059, params!$B$2:$R$2, 0), G1058))</f>
        <v/>
      </c>
      <c r="H1059" s="5" t="str">
        <f t="shared" ca="1" si="35"/>
        <v/>
      </c>
      <c r="M1059" s="2"/>
    </row>
    <row r="1060" spans="2:13" ht="15.6" x14ac:dyDescent="0.3">
      <c r="B1060" s="5" t="str">
        <f>IF(COUNTIF(data_val!$E$3:$E$5, sample_log!$E1060), sample_log!$C1060 &amp; "_" &amp; sample_log!$D1060, "")</f>
        <v/>
      </c>
      <c r="C1060" s="5" t="str">
        <f>IF(B1060="", IF(F1060="", "", C1059), IF(sample_log!E1060="Triennial SASS", "tri_params", "params"))</f>
        <v/>
      </c>
      <c r="D1060" s="5" t="str">
        <f>IF(B1060="", "", C1060 &amp; "!" &amp; CHAR(65+MATCH(B1060, params!$B$2:$R$2, 0)))</f>
        <v/>
      </c>
      <c r="E1060" s="5" t="str">
        <f ca="1">IF(B1060="", "", COUNTA(INDIRECT(D1060 &amp; 3):INDIRECT(D1060 &amp; 24)))</f>
        <v/>
      </c>
      <c r="F1060" s="5" t="str">
        <f t="shared" si="34"/>
        <v/>
      </c>
      <c r="G1060" s="5" t="str">
        <f>IF(F1060="", "", IF(B1060&lt;&gt;"", MATCH(B1060, params!$B$2:$R$2, 0), G1059))</f>
        <v/>
      </c>
      <c r="H1060" s="5" t="str">
        <f t="shared" ca="1" si="35"/>
        <v/>
      </c>
      <c r="M1060" s="2"/>
    </row>
    <row r="1061" spans="2:13" ht="15.6" x14ac:dyDescent="0.3">
      <c r="B1061" s="5" t="str">
        <f>IF(COUNTIF(data_val!$E$3:$E$5, sample_log!$E1061), sample_log!$C1061 &amp; "_" &amp; sample_log!$D1061, "")</f>
        <v/>
      </c>
      <c r="C1061" s="5" t="str">
        <f>IF(B1061="", IF(F1061="", "", C1060), IF(sample_log!E1061="Triennial SASS", "tri_params", "params"))</f>
        <v/>
      </c>
      <c r="D1061" s="5" t="str">
        <f>IF(B1061="", "", C1061 &amp; "!" &amp; CHAR(65+MATCH(B1061, params!$B$2:$R$2, 0)))</f>
        <v/>
      </c>
      <c r="E1061" s="5" t="str">
        <f ca="1">IF(B1061="", "", COUNTA(INDIRECT(D1061 &amp; 3):INDIRECT(D1061 &amp; 24)))</f>
        <v/>
      </c>
      <c r="F1061" s="5" t="str">
        <f t="shared" si="34"/>
        <v/>
      </c>
      <c r="G1061" s="5" t="str">
        <f>IF(F1061="", "", IF(B1061&lt;&gt;"", MATCH(B1061, params!$B$2:$R$2, 0), G1060))</f>
        <v/>
      </c>
      <c r="H1061" s="5" t="str">
        <f t="shared" ca="1" si="35"/>
        <v/>
      </c>
      <c r="M1061" s="2"/>
    </row>
    <row r="1062" spans="2:13" ht="15.6" x14ac:dyDescent="0.3">
      <c r="B1062" s="5" t="str">
        <f>IF(COUNTIF(data_val!$E$3:$E$5, sample_log!$E1062), sample_log!$C1062 &amp; "_" &amp; sample_log!$D1062, "")</f>
        <v/>
      </c>
      <c r="C1062" s="5" t="str">
        <f>IF(B1062="", IF(F1062="", "", C1061), IF(sample_log!E1062="Triennial SASS", "tri_params", "params"))</f>
        <v/>
      </c>
      <c r="D1062" s="5" t="str">
        <f>IF(B1062="", "", C1062 &amp; "!" &amp; CHAR(65+MATCH(B1062, params!$B$2:$R$2, 0)))</f>
        <v/>
      </c>
      <c r="E1062" s="5" t="str">
        <f ca="1">IF(B1062="", "", COUNTA(INDIRECT(D1062 &amp; 3):INDIRECT(D1062 &amp; 24)))</f>
        <v/>
      </c>
      <c r="F1062" s="5" t="str">
        <f t="shared" si="34"/>
        <v/>
      </c>
      <c r="G1062" s="5" t="str">
        <f>IF(F1062="", "", IF(B1062&lt;&gt;"", MATCH(B1062, params!$B$2:$R$2, 0), G1061))</f>
        <v/>
      </c>
      <c r="H1062" s="5" t="str">
        <f t="shared" ca="1" si="35"/>
        <v/>
      </c>
      <c r="M1062" s="2"/>
    </row>
    <row r="1063" spans="2:13" ht="15.6" x14ac:dyDescent="0.3">
      <c r="B1063" s="5" t="str">
        <f>IF(COUNTIF(data_val!$E$3:$E$5, sample_log!$E1063), sample_log!$C1063 &amp; "_" &amp; sample_log!$D1063, "")</f>
        <v/>
      </c>
      <c r="C1063" s="5" t="str">
        <f>IF(B1063="", IF(F1063="", "", C1062), IF(sample_log!E1063="Triennial SASS", "tri_params", "params"))</f>
        <v/>
      </c>
      <c r="D1063" s="5" t="str">
        <f>IF(B1063="", "", C1063 &amp; "!" &amp; CHAR(65+MATCH(B1063, params!$B$2:$R$2, 0)))</f>
        <v/>
      </c>
      <c r="E1063" s="5" t="str">
        <f ca="1">IF(B1063="", "", COUNTA(INDIRECT(D1063 &amp; 3):INDIRECT(D1063 &amp; 24)))</f>
        <v/>
      </c>
      <c r="F1063" s="5" t="str">
        <f t="shared" si="34"/>
        <v/>
      </c>
      <c r="G1063" s="5" t="str">
        <f>IF(F1063="", "", IF(B1063&lt;&gt;"", MATCH(B1063, params!$B$2:$R$2, 0), G1062))</f>
        <v/>
      </c>
      <c r="H1063" s="5" t="str">
        <f t="shared" ca="1" si="35"/>
        <v/>
      </c>
      <c r="M1063" s="2"/>
    </row>
    <row r="1064" spans="2:13" ht="15.6" x14ac:dyDescent="0.3">
      <c r="B1064" s="5" t="str">
        <f>IF(COUNTIF(data_val!$E$3:$E$5, sample_log!$E1064), sample_log!$C1064 &amp; "_" &amp; sample_log!$D1064, "")</f>
        <v/>
      </c>
      <c r="C1064" s="5" t="str">
        <f>IF(B1064="", IF(F1064="", "", C1063), IF(sample_log!E1064="Triennial SASS", "tri_params", "params"))</f>
        <v/>
      </c>
      <c r="D1064" s="5" t="str">
        <f>IF(B1064="", "", C1064 &amp; "!" &amp; CHAR(65+MATCH(B1064, params!$B$2:$R$2, 0)))</f>
        <v/>
      </c>
      <c r="E1064" s="5" t="str">
        <f ca="1">IF(B1064="", "", COUNTA(INDIRECT(D1064 &amp; 3):INDIRECT(D1064 &amp; 24)))</f>
        <v/>
      </c>
      <c r="F1064" s="5" t="str">
        <f t="shared" si="34"/>
        <v/>
      </c>
      <c r="G1064" s="5" t="str">
        <f>IF(F1064="", "", IF(B1064&lt;&gt;"", MATCH(B1064, params!$B$2:$R$2, 0), G1063))</f>
        <v/>
      </c>
      <c r="H1064" s="5" t="str">
        <f t="shared" ca="1" si="35"/>
        <v/>
      </c>
      <c r="M1064" s="2"/>
    </row>
    <row r="1065" spans="2:13" ht="15.6" x14ac:dyDescent="0.3">
      <c r="B1065" s="5" t="str">
        <f>IF(COUNTIF(data_val!$E$3:$E$5, sample_log!$E1065), sample_log!$C1065 &amp; "_" &amp; sample_log!$D1065, "")</f>
        <v/>
      </c>
      <c r="C1065" s="5" t="str">
        <f>IF(B1065="", IF(F1065="", "", C1064), IF(sample_log!E1065="Triennial SASS", "tri_params", "params"))</f>
        <v/>
      </c>
      <c r="D1065" s="5" t="str">
        <f>IF(B1065="", "", C1065 &amp; "!" &amp; CHAR(65+MATCH(B1065, params!$B$2:$R$2, 0)))</f>
        <v/>
      </c>
      <c r="E1065" s="5" t="str">
        <f ca="1">IF(B1065="", "", COUNTA(INDIRECT(D1065 &amp; 3):INDIRECT(D1065 &amp; 24)))</f>
        <v/>
      </c>
      <c r="F1065" s="5" t="str">
        <f t="shared" si="34"/>
        <v/>
      </c>
      <c r="G1065" s="5" t="str">
        <f>IF(F1065="", "", IF(B1065&lt;&gt;"", MATCH(B1065, params!$B$2:$R$2, 0), G1064))</f>
        <v/>
      </c>
      <c r="H1065" s="5" t="str">
        <f t="shared" ca="1" si="35"/>
        <v/>
      </c>
      <c r="M1065" s="2"/>
    </row>
    <row r="1066" spans="2:13" ht="15.6" x14ac:dyDescent="0.3">
      <c r="B1066" s="5" t="str">
        <f>IF(COUNTIF(data_val!$E$3:$E$5, sample_log!$E1066), sample_log!$C1066 &amp; "_" &amp; sample_log!$D1066, "")</f>
        <v/>
      </c>
      <c r="C1066" s="5" t="str">
        <f>IF(B1066="", IF(F1066="", "", C1065), IF(sample_log!E1066="Triennial SASS", "tri_params", "params"))</f>
        <v/>
      </c>
      <c r="D1066" s="5" t="str">
        <f>IF(B1066="", "", C1066 &amp; "!" &amp; CHAR(65+MATCH(B1066, params!$B$2:$R$2, 0)))</f>
        <v/>
      </c>
      <c r="E1066" s="5" t="str">
        <f ca="1">IF(B1066="", "", COUNTA(INDIRECT(D1066 &amp; 3):INDIRECT(D1066 &amp; 24)))</f>
        <v/>
      </c>
      <c r="F1066" s="5" t="str">
        <f t="shared" si="34"/>
        <v/>
      </c>
      <c r="G1066" s="5" t="str">
        <f>IF(F1066="", "", IF(B1066&lt;&gt;"", MATCH(B1066, params!$B$2:$R$2, 0), G1065))</f>
        <v/>
      </c>
      <c r="H1066" s="5" t="str">
        <f t="shared" ca="1" si="35"/>
        <v/>
      </c>
      <c r="M1066" s="2"/>
    </row>
    <row r="1067" spans="2:13" ht="15.6" x14ac:dyDescent="0.3">
      <c r="B1067" s="5" t="str">
        <f>IF(COUNTIF(data_val!$E$3:$E$5, sample_log!$E1067), sample_log!$C1067 &amp; "_" &amp; sample_log!$D1067, "")</f>
        <v/>
      </c>
      <c r="C1067" s="5" t="str">
        <f>IF(B1067="", IF(F1067="", "", C1066), IF(sample_log!E1067="Triennial SASS", "tri_params", "params"))</f>
        <v/>
      </c>
      <c r="D1067" s="5" t="str">
        <f>IF(B1067="", "", C1067 &amp; "!" &amp; CHAR(65+MATCH(B1067, params!$B$2:$R$2, 0)))</f>
        <v/>
      </c>
      <c r="E1067" s="5" t="str">
        <f ca="1">IF(B1067="", "", COUNTA(INDIRECT(D1067 &amp; 3):INDIRECT(D1067 &amp; 24)))</f>
        <v/>
      </c>
      <c r="F1067" s="5" t="str">
        <f t="shared" si="34"/>
        <v/>
      </c>
      <c r="G1067" s="5" t="str">
        <f>IF(F1067="", "", IF(B1067&lt;&gt;"", MATCH(B1067, params!$B$2:$R$2, 0), G1066))</f>
        <v/>
      </c>
      <c r="H1067" s="5" t="str">
        <f t="shared" ca="1" si="35"/>
        <v/>
      </c>
      <c r="M1067" s="2"/>
    </row>
    <row r="1068" spans="2:13" ht="15.6" x14ac:dyDescent="0.3">
      <c r="B1068" s="5" t="str">
        <f>IF(COUNTIF(data_val!$E$3:$E$5, sample_log!$E1068), sample_log!$C1068 &amp; "_" &amp; sample_log!$D1068, "")</f>
        <v/>
      </c>
      <c r="C1068" s="5" t="str">
        <f>IF(B1068="", IF(F1068="", "", C1067), IF(sample_log!E1068="Triennial SASS", "tri_params", "params"))</f>
        <v/>
      </c>
      <c r="D1068" s="5" t="str">
        <f>IF(B1068="", "", C1068 &amp; "!" &amp; CHAR(65+MATCH(B1068, params!$B$2:$R$2, 0)))</f>
        <v/>
      </c>
      <c r="E1068" s="5" t="str">
        <f ca="1">IF(B1068="", "", COUNTA(INDIRECT(D1068 &amp; 3):INDIRECT(D1068 &amp; 24)))</f>
        <v/>
      </c>
      <c r="F1068" s="5" t="str">
        <f t="shared" si="34"/>
        <v/>
      </c>
      <c r="G1068" s="5" t="str">
        <f>IF(F1068="", "", IF(B1068&lt;&gt;"", MATCH(B1068, params!$B$2:$R$2, 0), G1067))</f>
        <v/>
      </c>
      <c r="H1068" s="5" t="str">
        <f t="shared" ca="1" si="35"/>
        <v/>
      </c>
      <c r="M1068" s="2"/>
    </row>
    <row r="1069" spans="2:13" ht="15.6" x14ac:dyDescent="0.3">
      <c r="B1069" s="5" t="str">
        <f>IF(COUNTIF(data_val!$E$3:$E$5, sample_log!$E1069), sample_log!$C1069 &amp; "_" &amp; sample_log!$D1069, "")</f>
        <v/>
      </c>
      <c r="C1069" s="5" t="str">
        <f>IF(B1069="", IF(F1069="", "", C1068), IF(sample_log!E1069="Triennial SASS", "tri_params", "params"))</f>
        <v/>
      </c>
      <c r="D1069" s="5" t="str">
        <f>IF(B1069="", "", C1069 &amp; "!" &amp; CHAR(65+MATCH(B1069, params!$B$2:$R$2, 0)))</f>
        <v/>
      </c>
      <c r="E1069" s="5" t="str">
        <f ca="1">IF(B1069="", "", COUNTA(INDIRECT(D1069 &amp; 3):INDIRECT(D1069 &amp; 24)))</f>
        <v/>
      </c>
      <c r="F1069" s="5" t="str">
        <f t="shared" si="34"/>
        <v/>
      </c>
      <c r="G1069" s="5" t="str">
        <f>IF(F1069="", "", IF(B1069&lt;&gt;"", MATCH(B1069, params!$B$2:$R$2, 0), G1068))</f>
        <v/>
      </c>
      <c r="H1069" s="5" t="str">
        <f t="shared" ca="1" si="35"/>
        <v/>
      </c>
      <c r="M1069" s="2"/>
    </row>
    <row r="1070" spans="2:13" ht="15.6" x14ac:dyDescent="0.3">
      <c r="B1070" s="5" t="str">
        <f>IF(COUNTIF(data_val!$E$3:$E$5, sample_log!$E1070), sample_log!$C1070 &amp; "_" &amp; sample_log!$D1070, "")</f>
        <v/>
      </c>
      <c r="C1070" s="5" t="str">
        <f>IF(B1070="", IF(F1070="", "", C1069), IF(sample_log!E1070="Triennial SASS", "tri_params", "params"))</f>
        <v/>
      </c>
      <c r="D1070" s="5" t="str">
        <f>IF(B1070="", "", C1070 &amp; "!" &amp; CHAR(65+MATCH(B1070, params!$B$2:$R$2, 0)))</f>
        <v/>
      </c>
      <c r="E1070" s="5" t="str">
        <f ca="1">IF(B1070="", "", COUNTA(INDIRECT(D1070 &amp; 3):INDIRECT(D1070 &amp; 24)))</f>
        <v/>
      </c>
      <c r="F1070" s="5" t="str">
        <f t="shared" si="34"/>
        <v/>
      </c>
      <c r="G1070" s="5" t="str">
        <f>IF(F1070="", "", IF(B1070&lt;&gt;"", MATCH(B1070, params!$B$2:$R$2, 0), G1069))</f>
        <v/>
      </c>
      <c r="H1070" s="5" t="str">
        <f t="shared" ca="1" si="35"/>
        <v/>
      </c>
      <c r="M1070" s="2"/>
    </row>
    <row r="1071" spans="2:13" ht="15.6" x14ac:dyDescent="0.3">
      <c r="B1071" s="5" t="str">
        <f>IF(COUNTIF(data_val!$E$3:$E$5, sample_log!$E1071), sample_log!$C1071 &amp; "_" &amp; sample_log!$D1071, "")</f>
        <v/>
      </c>
      <c r="C1071" s="5" t="str">
        <f>IF(B1071="", IF(F1071="", "", C1070), IF(sample_log!E1071="Triennial SASS", "tri_params", "params"))</f>
        <v/>
      </c>
      <c r="D1071" s="5" t="str">
        <f>IF(B1071="", "", C1071 &amp; "!" &amp; CHAR(65+MATCH(B1071, params!$B$2:$R$2, 0)))</f>
        <v/>
      </c>
      <c r="E1071" s="5" t="str">
        <f ca="1">IF(B1071="", "", COUNTA(INDIRECT(D1071 &amp; 3):INDIRECT(D1071 &amp; 24)))</f>
        <v/>
      </c>
      <c r="F1071" s="5" t="str">
        <f t="shared" si="34"/>
        <v/>
      </c>
      <c r="G1071" s="5" t="str">
        <f>IF(F1071="", "", IF(B1071&lt;&gt;"", MATCH(B1071, params!$B$2:$R$2, 0), G1070))</f>
        <v/>
      </c>
      <c r="H1071" s="5" t="str">
        <f t="shared" ca="1" si="35"/>
        <v/>
      </c>
      <c r="M1071" s="2"/>
    </row>
    <row r="1072" spans="2:13" ht="15.6" x14ac:dyDescent="0.3">
      <c r="B1072" s="5" t="str">
        <f>IF(COUNTIF(data_val!$E$3:$E$5, sample_log!$E1072), sample_log!$C1072 &amp; "_" &amp; sample_log!$D1072, "")</f>
        <v/>
      </c>
      <c r="C1072" s="5" t="str">
        <f>IF(B1072="", IF(F1072="", "", C1071), IF(sample_log!E1072="Triennial SASS", "tri_params", "params"))</f>
        <v/>
      </c>
      <c r="D1072" s="5" t="str">
        <f>IF(B1072="", "", C1072 &amp; "!" &amp; CHAR(65+MATCH(B1072, params!$B$2:$R$2, 0)))</f>
        <v/>
      </c>
      <c r="E1072" s="5" t="str">
        <f ca="1">IF(B1072="", "", COUNTA(INDIRECT(D1072 &amp; 3):INDIRECT(D1072 &amp; 24)))</f>
        <v/>
      </c>
      <c r="F1072" s="5" t="str">
        <f t="shared" si="34"/>
        <v/>
      </c>
      <c r="G1072" s="5" t="str">
        <f>IF(F1072="", "", IF(B1072&lt;&gt;"", MATCH(B1072, params!$B$2:$R$2, 0), G1071))</f>
        <v/>
      </c>
      <c r="H1072" s="5" t="str">
        <f t="shared" ca="1" si="35"/>
        <v/>
      </c>
      <c r="M1072" s="2"/>
    </row>
    <row r="1073" spans="2:13" ht="15.6" x14ac:dyDescent="0.3">
      <c r="B1073" s="5" t="str">
        <f>IF(COUNTIF(data_val!$E$3:$E$5, sample_log!$E1073), sample_log!$C1073 &amp; "_" &amp; sample_log!$D1073, "")</f>
        <v/>
      </c>
      <c r="C1073" s="5" t="str">
        <f>IF(B1073="", IF(F1073="", "", C1072), IF(sample_log!E1073="Triennial SASS", "tri_params", "params"))</f>
        <v/>
      </c>
      <c r="D1073" s="5" t="str">
        <f>IF(B1073="", "", C1073 &amp; "!" &amp; CHAR(65+MATCH(B1073, params!$B$2:$R$2, 0)))</f>
        <v/>
      </c>
      <c r="E1073" s="5" t="str">
        <f ca="1">IF(B1073="", "", COUNTA(INDIRECT(D1073 &amp; 3):INDIRECT(D1073 &amp; 24)))</f>
        <v/>
      </c>
      <c r="F1073" s="5" t="str">
        <f t="shared" si="34"/>
        <v/>
      </c>
      <c r="G1073" s="5" t="str">
        <f>IF(F1073="", "", IF(B1073&lt;&gt;"", MATCH(B1073, params!$B$2:$R$2, 0), G1072))</f>
        <v/>
      </c>
      <c r="H1073" s="5" t="str">
        <f t="shared" ca="1" si="35"/>
        <v/>
      </c>
      <c r="M1073" s="2"/>
    </row>
    <row r="1074" spans="2:13" ht="15.6" x14ac:dyDescent="0.3">
      <c r="B1074" s="5" t="str">
        <f>IF(COUNTIF(data_val!$E$3:$E$5, sample_log!$E1074), sample_log!$C1074 &amp; "_" &amp; sample_log!$D1074, "")</f>
        <v/>
      </c>
      <c r="C1074" s="5" t="str">
        <f>IF(B1074="", IF(F1074="", "", C1073), IF(sample_log!E1074="Triennial SASS", "tri_params", "params"))</f>
        <v/>
      </c>
      <c r="D1074" s="5" t="str">
        <f>IF(B1074="", "", C1074 &amp; "!" &amp; CHAR(65+MATCH(B1074, params!$B$2:$R$2, 0)))</f>
        <v/>
      </c>
      <c r="E1074" s="5" t="str">
        <f ca="1">IF(B1074="", "", COUNTA(INDIRECT(D1074 &amp; 3):INDIRECT(D1074 &amp; 24)))</f>
        <v/>
      </c>
      <c r="F1074" s="5" t="str">
        <f t="shared" si="34"/>
        <v/>
      </c>
      <c r="G1074" s="5" t="str">
        <f>IF(F1074="", "", IF(B1074&lt;&gt;"", MATCH(B1074, params!$B$2:$R$2, 0), G1073))</f>
        <v/>
      </c>
      <c r="H1074" s="5" t="str">
        <f t="shared" ca="1" si="35"/>
        <v/>
      </c>
      <c r="M1074" s="2"/>
    </row>
    <row r="1075" spans="2:13" ht="15.6" x14ac:dyDescent="0.3">
      <c r="B1075" s="5" t="str">
        <f>IF(COUNTIF(data_val!$E$3:$E$5, sample_log!$E1075), sample_log!$C1075 &amp; "_" &amp; sample_log!$D1075, "")</f>
        <v/>
      </c>
      <c r="C1075" s="5" t="str">
        <f>IF(B1075="", IF(F1075="", "", C1074), IF(sample_log!E1075="Triennial SASS", "tri_params", "params"))</f>
        <v/>
      </c>
      <c r="D1075" s="5" t="str">
        <f>IF(B1075="", "", C1075 &amp; "!" &amp; CHAR(65+MATCH(B1075, params!$B$2:$R$2, 0)))</f>
        <v/>
      </c>
      <c r="E1075" s="5" t="str">
        <f ca="1">IF(B1075="", "", COUNTA(INDIRECT(D1075 &amp; 3):INDIRECT(D1075 &amp; 24)))</f>
        <v/>
      </c>
      <c r="F1075" s="5" t="str">
        <f t="shared" si="34"/>
        <v/>
      </c>
      <c r="G1075" s="5" t="str">
        <f>IF(F1075="", "", IF(B1075&lt;&gt;"", MATCH(B1075, params!$B$2:$R$2, 0), G1074))</f>
        <v/>
      </c>
      <c r="H1075" s="5" t="str">
        <f t="shared" ca="1" si="35"/>
        <v/>
      </c>
      <c r="M1075" s="2"/>
    </row>
    <row r="1076" spans="2:13" ht="15.6" x14ac:dyDescent="0.3">
      <c r="B1076" s="5" t="str">
        <f>IF(COUNTIF(data_val!$E$3:$E$5, sample_log!$E1076), sample_log!$C1076 &amp; "_" &amp; sample_log!$D1076, "")</f>
        <v/>
      </c>
      <c r="C1076" s="5" t="str">
        <f>IF(B1076="", IF(F1076="", "", C1075), IF(sample_log!E1076="Triennial SASS", "tri_params", "params"))</f>
        <v/>
      </c>
      <c r="D1076" s="5" t="str">
        <f>IF(B1076="", "", C1076 &amp; "!" &amp; CHAR(65+MATCH(B1076, params!$B$2:$R$2, 0)))</f>
        <v/>
      </c>
      <c r="E1076" s="5" t="str">
        <f ca="1">IF(B1076="", "", COUNTA(INDIRECT(D1076 &amp; 3):INDIRECT(D1076 &amp; 24)))</f>
        <v/>
      </c>
      <c r="F1076" s="5" t="str">
        <f t="shared" si="34"/>
        <v/>
      </c>
      <c r="G1076" s="5" t="str">
        <f>IF(F1076="", "", IF(B1076&lt;&gt;"", MATCH(B1076, params!$B$2:$R$2, 0), G1075))</f>
        <v/>
      </c>
      <c r="H1076" s="5" t="str">
        <f t="shared" ca="1" si="35"/>
        <v/>
      </c>
      <c r="M1076" s="2"/>
    </row>
    <row r="1077" spans="2:13" ht="15.6" x14ac:dyDescent="0.3">
      <c r="B1077" s="5" t="str">
        <f>IF(COUNTIF(data_val!$E$3:$E$5, sample_log!$E1077), sample_log!$C1077 &amp; "_" &amp; sample_log!$D1077, "")</f>
        <v/>
      </c>
      <c r="C1077" s="5" t="str">
        <f>IF(B1077="", IF(F1077="", "", C1076), IF(sample_log!E1077="Triennial SASS", "tri_params", "params"))</f>
        <v/>
      </c>
      <c r="D1077" s="5" t="str">
        <f>IF(B1077="", "", C1077 &amp; "!" &amp; CHAR(65+MATCH(B1077, params!$B$2:$R$2, 0)))</f>
        <v/>
      </c>
      <c r="E1077" s="5" t="str">
        <f ca="1">IF(B1077="", "", COUNTA(INDIRECT(D1077 &amp; 3):INDIRECT(D1077 &amp; 24)))</f>
        <v/>
      </c>
      <c r="F1077" s="5" t="str">
        <f t="shared" si="34"/>
        <v/>
      </c>
      <c r="G1077" s="5" t="str">
        <f>IF(F1077="", "", IF(B1077&lt;&gt;"", MATCH(B1077, params!$B$2:$R$2, 0), G1076))</f>
        <v/>
      </c>
      <c r="H1077" s="5" t="str">
        <f t="shared" ca="1" si="35"/>
        <v/>
      </c>
      <c r="M1077" s="2"/>
    </row>
    <row r="1078" spans="2:13" ht="15.6" x14ac:dyDescent="0.3">
      <c r="B1078" s="5" t="str">
        <f>IF(COUNTIF(data_val!$E$3:$E$5, sample_log!$E1078), sample_log!$C1078 &amp; "_" &amp; sample_log!$D1078, "")</f>
        <v/>
      </c>
      <c r="C1078" s="5" t="str">
        <f>IF(B1078="", IF(F1078="", "", C1077), IF(sample_log!E1078="Triennial SASS", "tri_params", "params"))</f>
        <v/>
      </c>
      <c r="D1078" s="5" t="str">
        <f>IF(B1078="", "", C1078 &amp; "!" &amp; CHAR(65+MATCH(B1078, params!$B$2:$R$2, 0)))</f>
        <v/>
      </c>
      <c r="E1078" s="5" t="str">
        <f ca="1">IF(B1078="", "", COUNTA(INDIRECT(D1078 &amp; 3):INDIRECT(D1078 &amp; 24)))</f>
        <v/>
      </c>
      <c r="F1078" s="5" t="str">
        <f t="shared" si="34"/>
        <v/>
      </c>
      <c r="G1078" s="5" t="str">
        <f>IF(F1078="", "", IF(B1078&lt;&gt;"", MATCH(B1078, params!$B$2:$R$2, 0), G1077))</f>
        <v/>
      </c>
      <c r="H1078" s="5" t="str">
        <f t="shared" ca="1" si="35"/>
        <v/>
      </c>
      <c r="M1078" s="2"/>
    </row>
    <row r="1079" spans="2:13" ht="15.6" x14ac:dyDescent="0.3">
      <c r="B1079" s="5" t="str">
        <f>IF(COUNTIF(data_val!$E$3:$E$5, sample_log!$E1079), sample_log!$C1079 &amp; "_" &amp; sample_log!$D1079, "")</f>
        <v/>
      </c>
      <c r="C1079" s="5" t="str">
        <f>IF(B1079="", IF(F1079="", "", C1078), IF(sample_log!E1079="Triennial SASS", "tri_params", "params"))</f>
        <v/>
      </c>
      <c r="D1079" s="5" t="str">
        <f>IF(B1079="", "", C1079 &amp; "!" &amp; CHAR(65+MATCH(B1079, params!$B$2:$R$2, 0)))</f>
        <v/>
      </c>
      <c r="E1079" s="5" t="str">
        <f ca="1">IF(B1079="", "", COUNTA(INDIRECT(D1079 &amp; 3):INDIRECT(D1079 &amp; 24)))</f>
        <v/>
      </c>
      <c r="F1079" s="5" t="str">
        <f t="shared" si="34"/>
        <v/>
      </c>
      <c r="G1079" s="5" t="str">
        <f>IF(F1079="", "", IF(B1079&lt;&gt;"", MATCH(B1079, params!$B$2:$R$2, 0), G1078))</f>
        <v/>
      </c>
      <c r="H1079" s="5" t="str">
        <f t="shared" ca="1" si="35"/>
        <v/>
      </c>
      <c r="M1079" s="2"/>
    </row>
    <row r="1080" spans="2:13" ht="15.6" x14ac:dyDescent="0.3">
      <c r="B1080" s="5" t="str">
        <f>IF(COUNTIF(data_val!$E$3:$E$5, sample_log!$E1080), sample_log!$C1080 &amp; "_" &amp; sample_log!$D1080, "")</f>
        <v/>
      </c>
      <c r="C1080" s="5" t="str">
        <f>IF(B1080="", IF(F1080="", "", C1079), IF(sample_log!E1080="Triennial SASS", "tri_params", "params"))</f>
        <v/>
      </c>
      <c r="D1080" s="5" t="str">
        <f>IF(B1080="", "", C1080 &amp; "!" &amp; CHAR(65+MATCH(B1080, params!$B$2:$R$2, 0)))</f>
        <v/>
      </c>
      <c r="E1080" s="5" t="str">
        <f ca="1">IF(B1080="", "", COUNTA(INDIRECT(D1080 &amp; 3):INDIRECT(D1080 &amp; 24)))</f>
        <v/>
      </c>
      <c r="F1080" s="5" t="str">
        <f t="shared" si="34"/>
        <v/>
      </c>
      <c r="G1080" s="5" t="str">
        <f>IF(F1080="", "", IF(B1080&lt;&gt;"", MATCH(B1080, params!$B$2:$R$2, 0), G1079))</f>
        <v/>
      </c>
      <c r="H1080" s="5" t="str">
        <f t="shared" ca="1" si="35"/>
        <v/>
      </c>
      <c r="M1080" s="2"/>
    </row>
    <row r="1081" spans="2:13" ht="15.6" x14ac:dyDescent="0.3">
      <c r="B1081" s="5" t="str">
        <f>IF(COUNTIF(data_val!$E$3:$E$5, sample_log!$E1081), sample_log!$C1081 &amp; "_" &amp; sample_log!$D1081, "")</f>
        <v/>
      </c>
      <c r="C1081" s="5" t="str">
        <f>IF(B1081="", IF(F1081="", "", C1080), IF(sample_log!E1081="Triennial SASS", "tri_params", "params"))</f>
        <v/>
      </c>
      <c r="D1081" s="5" t="str">
        <f>IF(B1081="", "", C1081 &amp; "!" &amp; CHAR(65+MATCH(B1081, params!$B$2:$R$2, 0)))</f>
        <v/>
      </c>
      <c r="E1081" s="5" t="str">
        <f ca="1">IF(B1081="", "", COUNTA(INDIRECT(D1081 &amp; 3):INDIRECT(D1081 &amp; 24)))</f>
        <v/>
      </c>
      <c r="F1081" s="5" t="str">
        <f t="shared" si="34"/>
        <v/>
      </c>
      <c r="G1081" s="5" t="str">
        <f>IF(F1081="", "", IF(B1081&lt;&gt;"", MATCH(B1081, params!$B$2:$R$2, 0), G1080))</f>
        <v/>
      </c>
      <c r="H1081" s="5" t="str">
        <f t="shared" ca="1" si="35"/>
        <v/>
      </c>
      <c r="M1081" s="2"/>
    </row>
    <row r="1082" spans="2:13" ht="15.6" x14ac:dyDescent="0.3">
      <c r="B1082" s="5" t="str">
        <f>IF(COUNTIF(data_val!$E$3:$E$5, sample_log!$E1082), sample_log!$C1082 &amp; "_" &amp; sample_log!$D1082, "")</f>
        <v/>
      </c>
      <c r="C1082" s="5" t="str">
        <f>IF(B1082="", IF(F1082="", "", C1081), IF(sample_log!E1082="Triennial SASS", "tri_params", "params"))</f>
        <v/>
      </c>
      <c r="D1082" s="5" t="str">
        <f>IF(B1082="", "", C1082 &amp; "!" &amp; CHAR(65+MATCH(B1082, params!$B$2:$R$2, 0)))</f>
        <v/>
      </c>
      <c r="E1082" s="5" t="str">
        <f ca="1">IF(B1082="", "", COUNTA(INDIRECT(D1082 &amp; 3):INDIRECT(D1082 &amp; 24)))</f>
        <v/>
      </c>
      <c r="F1082" s="5" t="str">
        <f t="shared" si="34"/>
        <v/>
      </c>
      <c r="G1082" s="5" t="str">
        <f>IF(F1082="", "", IF(B1082&lt;&gt;"", MATCH(B1082, params!$B$2:$R$2, 0), G1081))</f>
        <v/>
      </c>
      <c r="H1082" s="5" t="str">
        <f t="shared" ca="1" si="35"/>
        <v/>
      </c>
      <c r="M1082" s="2"/>
    </row>
    <row r="1083" spans="2:13" ht="15.6" x14ac:dyDescent="0.3">
      <c r="B1083" s="5" t="str">
        <f>IF(COUNTIF(data_val!$E$3:$E$5, sample_log!$E1083), sample_log!$C1083 &amp; "_" &amp; sample_log!$D1083, "")</f>
        <v/>
      </c>
      <c r="C1083" s="5" t="str">
        <f>IF(B1083="", IF(F1083="", "", C1082), IF(sample_log!E1083="Triennial SASS", "tri_params", "params"))</f>
        <v/>
      </c>
      <c r="D1083" s="5" t="str">
        <f>IF(B1083="", "", C1083 &amp; "!" &amp; CHAR(65+MATCH(B1083, params!$B$2:$R$2, 0)))</f>
        <v/>
      </c>
      <c r="E1083" s="5" t="str">
        <f ca="1">IF(B1083="", "", COUNTA(INDIRECT(D1083 &amp; 3):INDIRECT(D1083 &amp; 24)))</f>
        <v/>
      </c>
      <c r="F1083" s="5" t="str">
        <f t="shared" si="34"/>
        <v/>
      </c>
      <c r="G1083" s="5" t="str">
        <f>IF(F1083="", "", IF(B1083&lt;&gt;"", MATCH(B1083, params!$B$2:$R$2, 0), G1082))</f>
        <v/>
      </c>
      <c r="H1083" s="5" t="str">
        <f t="shared" ca="1" si="35"/>
        <v/>
      </c>
      <c r="M1083" s="2"/>
    </row>
    <row r="1084" spans="2:13" ht="15.6" x14ac:dyDescent="0.3">
      <c r="B1084" s="5" t="str">
        <f>IF(COUNTIF(data_val!$E$3:$E$5, sample_log!$E1084), sample_log!$C1084 &amp; "_" &amp; sample_log!$D1084, "")</f>
        <v/>
      </c>
      <c r="C1084" s="5" t="str">
        <f>IF(B1084="", IF(F1084="", "", C1083), IF(sample_log!E1084="Triennial SASS", "tri_params", "params"))</f>
        <v/>
      </c>
      <c r="D1084" s="5" t="str">
        <f>IF(B1084="", "", C1084 &amp; "!" &amp; CHAR(65+MATCH(B1084, params!$B$2:$R$2, 0)))</f>
        <v/>
      </c>
      <c r="E1084" s="5" t="str">
        <f ca="1">IF(B1084="", "", COUNTA(INDIRECT(D1084 &amp; 3):INDIRECT(D1084 &amp; 24)))</f>
        <v/>
      </c>
      <c r="F1084" s="5" t="str">
        <f t="shared" si="34"/>
        <v/>
      </c>
      <c r="G1084" s="5" t="str">
        <f>IF(F1084="", "", IF(B1084&lt;&gt;"", MATCH(B1084, params!$B$2:$R$2, 0), G1083))</f>
        <v/>
      </c>
      <c r="H1084" s="5" t="str">
        <f t="shared" ca="1" si="35"/>
        <v/>
      </c>
      <c r="M1084" s="2"/>
    </row>
    <row r="1085" spans="2:13" ht="15.6" x14ac:dyDescent="0.3">
      <c r="B1085" s="5" t="str">
        <f>IF(COUNTIF(data_val!$E$3:$E$5, sample_log!$E1085), sample_log!$C1085 &amp; "_" &amp; sample_log!$D1085, "")</f>
        <v/>
      </c>
      <c r="C1085" s="5" t="str">
        <f>IF(B1085="", IF(F1085="", "", C1084), IF(sample_log!E1085="Triennial SASS", "tri_params", "params"))</f>
        <v/>
      </c>
      <c r="D1085" s="5" t="str">
        <f>IF(B1085="", "", C1085 &amp; "!" &amp; CHAR(65+MATCH(B1085, params!$B$2:$R$2, 0)))</f>
        <v/>
      </c>
      <c r="E1085" s="5" t="str">
        <f ca="1">IF(B1085="", "", COUNTA(INDIRECT(D1085 &amp; 3):INDIRECT(D1085 &amp; 24)))</f>
        <v/>
      </c>
      <c r="F1085" s="5" t="str">
        <f t="shared" si="34"/>
        <v/>
      </c>
      <c r="G1085" s="5" t="str">
        <f>IF(F1085="", "", IF(B1085&lt;&gt;"", MATCH(B1085, params!$B$2:$R$2, 0), G1084))</f>
        <v/>
      </c>
      <c r="H1085" s="5" t="str">
        <f t="shared" ca="1" si="35"/>
        <v/>
      </c>
      <c r="M1085" s="2"/>
    </row>
    <row r="1086" spans="2:13" ht="15.6" x14ac:dyDescent="0.3">
      <c r="B1086" s="5" t="str">
        <f>IF(COUNTIF(data_val!$E$3:$E$5, sample_log!$E1086), sample_log!$C1086 &amp; "_" &amp; sample_log!$D1086, "")</f>
        <v/>
      </c>
      <c r="C1086" s="5" t="str">
        <f>IF(B1086="", IF(F1086="", "", C1085), IF(sample_log!E1086="Triennial SASS", "tri_params", "params"))</f>
        <v/>
      </c>
      <c r="D1086" s="5" t="str">
        <f>IF(B1086="", "", C1086 &amp; "!" &amp; CHAR(65+MATCH(B1086, params!$B$2:$R$2, 0)))</f>
        <v/>
      </c>
      <c r="E1086" s="5" t="str">
        <f ca="1">IF(B1086="", "", COUNTA(INDIRECT(D1086 &amp; 3):INDIRECT(D1086 &amp; 24)))</f>
        <v/>
      </c>
      <c r="F1086" s="5" t="str">
        <f t="shared" si="34"/>
        <v/>
      </c>
      <c r="G1086" s="5" t="str">
        <f>IF(F1086="", "", IF(B1086&lt;&gt;"", MATCH(B1086, params!$B$2:$R$2, 0), G1085))</f>
        <v/>
      </c>
      <c r="H1086" s="5" t="str">
        <f t="shared" ca="1" si="35"/>
        <v/>
      </c>
      <c r="M1086" s="2"/>
    </row>
    <row r="1087" spans="2:13" ht="15.6" x14ac:dyDescent="0.3">
      <c r="B1087" s="5" t="str">
        <f>IF(COUNTIF(data_val!$E$3:$E$5, sample_log!$E1087), sample_log!$C1087 &amp; "_" &amp; sample_log!$D1087, "")</f>
        <v/>
      </c>
      <c r="C1087" s="5" t="str">
        <f>IF(B1087="", IF(F1087="", "", C1086), IF(sample_log!E1087="Triennial SASS", "tri_params", "params"))</f>
        <v/>
      </c>
      <c r="D1087" s="5" t="str">
        <f>IF(B1087="", "", C1087 &amp; "!" &amp; CHAR(65+MATCH(B1087, params!$B$2:$R$2, 0)))</f>
        <v/>
      </c>
      <c r="E1087" s="5" t="str">
        <f ca="1">IF(B1087="", "", COUNTA(INDIRECT(D1087 &amp; 3):INDIRECT(D1087 &amp; 24)))</f>
        <v/>
      </c>
      <c r="F1087" s="5" t="str">
        <f t="shared" si="34"/>
        <v/>
      </c>
      <c r="G1087" s="5" t="str">
        <f>IF(F1087="", "", IF(B1087&lt;&gt;"", MATCH(B1087, params!$B$2:$R$2, 0), G1086))</f>
        <v/>
      </c>
      <c r="H1087" s="5" t="str">
        <f t="shared" ca="1" si="35"/>
        <v/>
      </c>
      <c r="M1087" s="2"/>
    </row>
    <row r="1088" spans="2:13" ht="15.6" x14ac:dyDescent="0.3">
      <c r="B1088" s="5" t="str">
        <f>IF(COUNTIF(data_val!$E$3:$E$5, sample_log!$E1088), sample_log!$C1088 &amp; "_" &amp; sample_log!$D1088, "")</f>
        <v/>
      </c>
      <c r="C1088" s="5" t="str">
        <f>IF(B1088="", IF(F1088="", "", C1087), IF(sample_log!E1088="Triennial SASS", "tri_params", "params"))</f>
        <v/>
      </c>
      <c r="D1088" s="5" t="str">
        <f>IF(B1088="", "", C1088 &amp; "!" &amp; CHAR(65+MATCH(B1088, params!$B$2:$R$2, 0)))</f>
        <v/>
      </c>
      <c r="E1088" s="5" t="str">
        <f ca="1">IF(B1088="", "", COUNTA(INDIRECT(D1088 &amp; 3):INDIRECT(D1088 &amp; 24)))</f>
        <v/>
      </c>
      <c r="F1088" s="5" t="str">
        <f t="shared" si="34"/>
        <v/>
      </c>
      <c r="G1088" s="5" t="str">
        <f>IF(F1088="", "", IF(B1088&lt;&gt;"", MATCH(B1088, params!$B$2:$R$2, 0), G1087))</f>
        <v/>
      </c>
      <c r="H1088" s="5" t="str">
        <f t="shared" ca="1" si="35"/>
        <v/>
      </c>
      <c r="M1088" s="2"/>
    </row>
    <row r="1089" spans="2:13" ht="15.6" x14ac:dyDescent="0.3">
      <c r="B1089" s="5" t="str">
        <f>IF(COUNTIF(data_val!$E$3:$E$5, sample_log!$E1089), sample_log!$C1089 &amp; "_" &amp; sample_log!$D1089, "")</f>
        <v/>
      </c>
      <c r="C1089" s="5" t="str">
        <f>IF(B1089="", IF(F1089="", "", C1088), IF(sample_log!E1089="Triennial SASS", "tri_params", "params"))</f>
        <v/>
      </c>
      <c r="D1089" s="5" t="str">
        <f>IF(B1089="", "", C1089 &amp; "!" &amp; CHAR(65+MATCH(B1089, params!$B$2:$R$2, 0)))</f>
        <v/>
      </c>
      <c r="E1089" s="5" t="str">
        <f ca="1">IF(B1089="", "", COUNTA(INDIRECT(D1089 &amp; 3):INDIRECT(D1089 &amp; 24)))</f>
        <v/>
      </c>
      <c r="F1089" s="5" t="str">
        <f t="shared" si="34"/>
        <v/>
      </c>
      <c r="G1089" s="5" t="str">
        <f>IF(F1089="", "", IF(B1089&lt;&gt;"", MATCH(B1089, params!$B$2:$R$2, 0), G1088))</f>
        <v/>
      </c>
      <c r="H1089" s="5" t="str">
        <f t="shared" ca="1" si="35"/>
        <v/>
      </c>
      <c r="M1089" s="2"/>
    </row>
    <row r="1090" spans="2:13" ht="15.6" x14ac:dyDescent="0.3">
      <c r="B1090" s="5" t="str">
        <f>IF(COUNTIF(data_val!$E$3:$E$5, sample_log!$E1090), sample_log!$C1090 &amp; "_" &amp; sample_log!$D1090, "")</f>
        <v/>
      </c>
      <c r="C1090" s="5" t="str">
        <f>IF(B1090="", IF(F1090="", "", C1089), IF(sample_log!E1090="Triennial SASS", "tri_params", "params"))</f>
        <v/>
      </c>
      <c r="D1090" s="5" t="str">
        <f>IF(B1090="", "", C1090 &amp; "!" &amp; CHAR(65+MATCH(B1090, params!$B$2:$R$2, 0)))</f>
        <v/>
      </c>
      <c r="E1090" s="5" t="str">
        <f ca="1">IF(B1090="", "", COUNTA(INDIRECT(D1090 &amp; 3):INDIRECT(D1090 &amp; 24)))</f>
        <v/>
      </c>
      <c r="F1090" s="5" t="str">
        <f t="shared" si="34"/>
        <v/>
      </c>
      <c r="G1090" s="5" t="str">
        <f>IF(F1090="", "", IF(B1090&lt;&gt;"", MATCH(B1090, params!$B$2:$R$2, 0), G1089))</f>
        <v/>
      </c>
      <c r="H1090" s="5" t="str">
        <f t="shared" ca="1" si="35"/>
        <v/>
      </c>
      <c r="M1090" s="2"/>
    </row>
    <row r="1091" spans="2:13" ht="15.6" x14ac:dyDescent="0.3">
      <c r="B1091" s="5" t="str">
        <f>IF(COUNTIF(data_val!$E$3:$E$5, sample_log!$E1091), sample_log!$C1091 &amp; "_" &amp; sample_log!$D1091, "")</f>
        <v/>
      </c>
      <c r="C1091" s="5" t="str">
        <f>IF(B1091="", IF(F1091="", "", C1090), IF(sample_log!E1091="Triennial SASS", "tri_params", "params"))</f>
        <v/>
      </c>
      <c r="D1091" s="5" t="str">
        <f>IF(B1091="", "", C1091 &amp; "!" &amp; CHAR(65+MATCH(B1091, params!$B$2:$R$2, 0)))</f>
        <v/>
      </c>
      <c r="E1091" s="5" t="str">
        <f ca="1">IF(B1091="", "", COUNTA(INDIRECT(D1091 &amp; 3):INDIRECT(D1091 &amp; 24)))</f>
        <v/>
      </c>
      <c r="F1091" s="5" t="str">
        <f t="shared" ref="F1091:F1154" si="36">IF(B1091="", IF(NOT(ISNUMBER(F1090)), "", IF(F1090-1&gt;0, F1090-1, "")), E1091)</f>
        <v/>
      </c>
      <c r="G1091" s="5" t="str">
        <f>IF(F1091="", "", IF(B1091&lt;&gt;"", MATCH(B1091, params!$B$2:$R$2, 0), G1090))</f>
        <v/>
      </c>
      <c r="H1091" s="5" t="str">
        <f t="shared" ca="1" si="35"/>
        <v/>
      </c>
      <c r="M1091" s="2"/>
    </row>
    <row r="1092" spans="2:13" ht="15.6" x14ac:dyDescent="0.3">
      <c r="B1092" s="5" t="str">
        <f>IF(COUNTIF(data_val!$E$3:$E$5, sample_log!$E1092), sample_log!$C1092 &amp; "_" &amp; sample_log!$D1092, "")</f>
        <v/>
      </c>
      <c r="C1092" s="5" t="str">
        <f>IF(B1092="", IF(F1092="", "", C1091), IF(sample_log!E1092="Triennial SASS", "tri_params", "params"))</f>
        <v/>
      </c>
      <c r="D1092" s="5" t="str">
        <f>IF(B1092="", "", C1092 &amp; "!" &amp; CHAR(65+MATCH(B1092, params!$B$2:$R$2, 0)))</f>
        <v/>
      </c>
      <c r="E1092" s="5" t="str">
        <f ca="1">IF(B1092="", "", COUNTA(INDIRECT(D1092 &amp; 3):INDIRECT(D1092 &amp; 24)))</f>
        <v/>
      </c>
      <c r="F1092" s="5" t="str">
        <f t="shared" si="36"/>
        <v/>
      </c>
      <c r="G1092" s="5" t="str">
        <f>IF(F1092="", "", IF(B1092&lt;&gt;"", MATCH(B1092, params!$B$2:$R$2, 0), G1091))</f>
        <v/>
      </c>
      <c r="H1092" s="5" t="str">
        <f t="shared" ca="1" si="35"/>
        <v/>
      </c>
      <c r="M1092" s="2"/>
    </row>
    <row r="1093" spans="2:13" ht="15.6" x14ac:dyDescent="0.3">
      <c r="B1093" s="5" t="str">
        <f>IF(COUNTIF(data_val!$E$3:$E$5, sample_log!$E1093), sample_log!$C1093 &amp; "_" &amp; sample_log!$D1093, "")</f>
        <v/>
      </c>
      <c r="C1093" s="5" t="str">
        <f>IF(B1093="", IF(F1093="", "", C1092), IF(sample_log!E1093="Triennial SASS", "tri_params", "params"))</f>
        <v/>
      </c>
      <c r="D1093" s="5" t="str">
        <f>IF(B1093="", "", C1093 &amp; "!" &amp; CHAR(65+MATCH(B1093, params!$B$2:$R$2, 0)))</f>
        <v/>
      </c>
      <c r="E1093" s="5" t="str">
        <f ca="1">IF(B1093="", "", COUNTA(INDIRECT(D1093 &amp; 3):INDIRECT(D1093 &amp; 24)))</f>
        <v/>
      </c>
      <c r="F1093" s="5" t="str">
        <f t="shared" si="36"/>
        <v/>
      </c>
      <c r="G1093" s="5" t="str">
        <f>IF(F1093="", "", IF(B1093&lt;&gt;"", MATCH(B1093, params!$B$2:$R$2, 0), G1092))</f>
        <v/>
      </c>
      <c r="H1093" s="5" t="str">
        <f t="shared" ca="1" si="35"/>
        <v/>
      </c>
      <c r="M1093" s="2"/>
    </row>
    <row r="1094" spans="2:13" ht="15.6" x14ac:dyDescent="0.3">
      <c r="B1094" s="5" t="str">
        <f>IF(COUNTIF(data_val!$E$3:$E$5, sample_log!$E1094), sample_log!$C1094 &amp; "_" &amp; sample_log!$D1094, "")</f>
        <v/>
      </c>
      <c r="C1094" s="5" t="str">
        <f>IF(B1094="", IF(F1094="", "", C1093), IF(sample_log!E1094="Triennial SASS", "tri_params", "params"))</f>
        <v/>
      </c>
      <c r="D1094" s="5" t="str">
        <f>IF(B1094="", "", C1094 &amp; "!" &amp; CHAR(65+MATCH(B1094, params!$B$2:$R$2, 0)))</f>
        <v/>
      </c>
      <c r="E1094" s="5" t="str">
        <f ca="1">IF(B1094="", "", COUNTA(INDIRECT(D1094 &amp; 3):INDIRECT(D1094 &amp; 24)))</f>
        <v/>
      </c>
      <c r="F1094" s="5" t="str">
        <f t="shared" si="36"/>
        <v/>
      </c>
      <c r="G1094" s="5" t="str">
        <f>IF(F1094="", "", IF(B1094&lt;&gt;"", MATCH(B1094, params!$B$2:$R$2, 0), G1093))</f>
        <v/>
      </c>
      <c r="H1094" s="5" t="str">
        <f t="shared" ca="1" si="35"/>
        <v/>
      </c>
      <c r="M1094" s="2"/>
    </row>
    <row r="1095" spans="2:13" ht="15.6" x14ac:dyDescent="0.3">
      <c r="B1095" s="5" t="str">
        <f>IF(COUNTIF(data_val!$E$3:$E$5, sample_log!$E1095), sample_log!$C1095 &amp; "_" &amp; sample_log!$D1095, "")</f>
        <v/>
      </c>
      <c r="C1095" s="5" t="str">
        <f>IF(B1095="", IF(F1095="", "", C1094), IF(sample_log!E1095="Triennial SASS", "tri_params", "params"))</f>
        <v/>
      </c>
      <c r="D1095" s="5" t="str">
        <f>IF(B1095="", "", C1095 &amp; "!" &amp; CHAR(65+MATCH(B1095, params!$B$2:$R$2, 0)))</f>
        <v/>
      </c>
      <c r="E1095" s="5" t="str">
        <f ca="1">IF(B1095="", "", COUNTA(INDIRECT(D1095 &amp; 3):INDIRECT(D1095 &amp; 24)))</f>
        <v/>
      </c>
      <c r="F1095" s="5" t="str">
        <f t="shared" si="36"/>
        <v/>
      </c>
      <c r="G1095" s="5" t="str">
        <f>IF(F1095="", "", IF(B1095&lt;&gt;"", MATCH(B1095, params!$B$2:$R$2, 0), G1094))</f>
        <v/>
      </c>
      <c r="H1095" s="5" t="str">
        <f t="shared" ca="1" si="35"/>
        <v/>
      </c>
      <c r="M1095" s="2"/>
    </row>
    <row r="1096" spans="2:13" ht="15.6" x14ac:dyDescent="0.3">
      <c r="B1096" s="5" t="str">
        <f>IF(COUNTIF(data_val!$E$3:$E$5, sample_log!$E1096), sample_log!$C1096 &amp; "_" &amp; sample_log!$D1096, "")</f>
        <v/>
      </c>
      <c r="C1096" s="5" t="str">
        <f>IF(B1096="", IF(F1096="", "", C1095), IF(sample_log!E1096="Triennial SASS", "tri_params", "params"))</f>
        <v/>
      </c>
      <c r="D1096" s="5" t="str">
        <f>IF(B1096="", "", C1096 &amp; "!" &amp; CHAR(65+MATCH(B1096, params!$B$2:$R$2, 0)))</f>
        <v/>
      </c>
      <c r="E1096" s="5" t="str">
        <f ca="1">IF(B1096="", "", COUNTA(INDIRECT(D1096 &amp; 3):INDIRECT(D1096 &amp; 24)))</f>
        <v/>
      </c>
      <c r="F1096" s="5" t="str">
        <f t="shared" si="36"/>
        <v/>
      </c>
      <c r="G1096" s="5" t="str">
        <f>IF(F1096="", "", IF(B1096&lt;&gt;"", MATCH(B1096, params!$B$2:$R$2, 0), G1095))</f>
        <v/>
      </c>
      <c r="H1096" s="5" t="str">
        <f t="shared" ca="1" si="35"/>
        <v/>
      </c>
      <c r="M1096" s="2"/>
    </row>
    <row r="1097" spans="2:13" ht="15.6" x14ac:dyDescent="0.3">
      <c r="B1097" s="5" t="str">
        <f>IF(COUNTIF(data_val!$E$3:$E$5, sample_log!$E1097), sample_log!$C1097 &amp; "_" &amp; sample_log!$D1097, "")</f>
        <v/>
      </c>
      <c r="C1097" s="5" t="str">
        <f>IF(B1097="", IF(F1097="", "", C1096), IF(sample_log!E1097="Triennial SASS", "tri_params", "params"))</f>
        <v/>
      </c>
      <c r="D1097" s="5" t="str">
        <f>IF(B1097="", "", C1097 &amp; "!" &amp; CHAR(65+MATCH(B1097, params!$B$2:$R$2, 0)))</f>
        <v/>
      </c>
      <c r="E1097" s="5" t="str">
        <f ca="1">IF(B1097="", "", COUNTA(INDIRECT(D1097 &amp; 3):INDIRECT(D1097 &amp; 24)))</f>
        <v/>
      </c>
      <c r="F1097" s="5" t="str">
        <f t="shared" si="36"/>
        <v/>
      </c>
      <c r="G1097" s="5" t="str">
        <f>IF(F1097="", "", IF(B1097&lt;&gt;"", MATCH(B1097, params!$B$2:$R$2, 0), G1096))</f>
        <v/>
      </c>
      <c r="H1097" s="5" t="str">
        <f t="shared" ca="1" si="35"/>
        <v/>
      </c>
      <c r="M1097" s="2"/>
    </row>
    <row r="1098" spans="2:13" ht="15.6" x14ac:dyDescent="0.3">
      <c r="B1098" s="5" t="str">
        <f>IF(COUNTIF(data_val!$E$3:$E$5, sample_log!$E1098), sample_log!$C1098 &amp; "_" &amp; sample_log!$D1098, "")</f>
        <v/>
      </c>
      <c r="C1098" s="5" t="str">
        <f>IF(B1098="", IF(F1098="", "", C1097), IF(sample_log!E1098="Triennial SASS", "tri_params", "params"))</f>
        <v/>
      </c>
      <c r="D1098" s="5" t="str">
        <f>IF(B1098="", "", C1098 &amp; "!" &amp; CHAR(65+MATCH(B1098, params!$B$2:$R$2, 0)))</f>
        <v/>
      </c>
      <c r="E1098" s="5" t="str">
        <f ca="1">IF(B1098="", "", COUNTA(INDIRECT(D1098 &amp; 3):INDIRECT(D1098 &amp; 24)))</f>
        <v/>
      </c>
      <c r="F1098" s="5" t="str">
        <f t="shared" si="36"/>
        <v/>
      </c>
      <c r="G1098" s="5" t="str">
        <f>IF(F1098="", "", IF(B1098&lt;&gt;"", MATCH(B1098, params!$B$2:$R$2, 0), G1097))</f>
        <v/>
      </c>
      <c r="H1098" s="5" t="str">
        <f t="shared" ca="1" si="35"/>
        <v/>
      </c>
      <c r="M1098" s="2"/>
    </row>
    <row r="1099" spans="2:13" ht="15.6" x14ac:dyDescent="0.3">
      <c r="B1099" s="5" t="str">
        <f>IF(COUNTIF(data_val!$E$3:$E$5, sample_log!$E1099), sample_log!$C1099 &amp; "_" &amp; sample_log!$D1099, "")</f>
        <v/>
      </c>
      <c r="C1099" s="5" t="str">
        <f>IF(B1099="", IF(F1099="", "", C1098), IF(sample_log!E1099="Triennial SASS", "tri_params", "params"))</f>
        <v/>
      </c>
      <c r="D1099" s="5" t="str">
        <f>IF(B1099="", "", C1099 &amp; "!" &amp; CHAR(65+MATCH(B1099, params!$B$2:$R$2, 0)))</f>
        <v/>
      </c>
      <c r="E1099" s="5" t="str">
        <f ca="1">IF(B1099="", "", COUNTA(INDIRECT(D1099 &amp; 3):INDIRECT(D1099 &amp; 24)))</f>
        <v/>
      </c>
      <c r="F1099" s="5" t="str">
        <f t="shared" si="36"/>
        <v/>
      </c>
      <c r="G1099" s="5" t="str">
        <f>IF(F1099="", "", IF(B1099&lt;&gt;"", MATCH(B1099, params!$B$2:$R$2, 0), G1098))</f>
        <v/>
      </c>
      <c r="H1099" s="5" t="str">
        <f t="shared" ca="1" si="35"/>
        <v/>
      </c>
      <c r="M1099" s="2"/>
    </row>
    <row r="1100" spans="2:13" ht="15.6" x14ac:dyDescent="0.3">
      <c r="B1100" s="5" t="str">
        <f>IF(COUNTIF(data_val!$E$3:$E$5, sample_log!$E1100), sample_log!$C1100 &amp; "_" &amp; sample_log!$D1100, "")</f>
        <v/>
      </c>
      <c r="C1100" s="5" t="str">
        <f>IF(B1100="", IF(F1100="", "", C1099), IF(sample_log!E1100="Triennial SASS", "tri_params", "params"))</f>
        <v/>
      </c>
      <c r="D1100" s="5" t="str">
        <f>IF(B1100="", "", C1100 &amp; "!" &amp; CHAR(65+MATCH(B1100, params!$B$2:$R$2, 0)))</f>
        <v/>
      </c>
      <c r="E1100" s="5" t="str">
        <f ca="1">IF(B1100="", "", COUNTA(INDIRECT(D1100 &amp; 3):INDIRECT(D1100 &amp; 24)))</f>
        <v/>
      </c>
      <c r="F1100" s="5" t="str">
        <f t="shared" si="36"/>
        <v/>
      </c>
      <c r="G1100" s="5" t="str">
        <f>IF(F1100="", "", IF(B1100&lt;&gt;"", MATCH(B1100, params!$B$2:$R$2, 0), G1099))</f>
        <v/>
      </c>
      <c r="H1100" s="5" t="str">
        <f t="shared" ca="1" si="35"/>
        <v/>
      </c>
      <c r="M1100" s="2"/>
    </row>
    <row r="1101" spans="2:13" ht="15.6" x14ac:dyDescent="0.3">
      <c r="B1101" s="5" t="str">
        <f>IF(COUNTIF(data_val!$E$3:$E$5, sample_log!$E1101), sample_log!$C1101 &amp; "_" &amp; sample_log!$D1101, "")</f>
        <v/>
      </c>
      <c r="C1101" s="5" t="str">
        <f>IF(B1101="", IF(F1101="", "", C1100), IF(sample_log!E1101="Triennial SASS", "tri_params", "params"))</f>
        <v/>
      </c>
      <c r="D1101" s="5" t="str">
        <f>IF(B1101="", "", C1101 &amp; "!" &amp; CHAR(65+MATCH(B1101, params!$B$2:$R$2, 0)))</f>
        <v/>
      </c>
      <c r="E1101" s="5" t="str">
        <f ca="1">IF(B1101="", "", COUNTA(INDIRECT(D1101 &amp; 3):INDIRECT(D1101 &amp; 24)))</f>
        <v/>
      </c>
      <c r="F1101" s="5" t="str">
        <f t="shared" si="36"/>
        <v/>
      </c>
      <c r="G1101" s="5" t="str">
        <f>IF(F1101="", "", IF(B1101&lt;&gt;"", MATCH(B1101, params!$B$2:$R$2, 0), G1100))</f>
        <v/>
      </c>
      <c r="H1101" s="5" t="str">
        <f t="shared" ca="1" si="35"/>
        <v/>
      </c>
      <c r="M1101" s="2"/>
    </row>
    <row r="1102" spans="2:13" ht="15.6" x14ac:dyDescent="0.3">
      <c r="B1102" s="5" t="str">
        <f>IF(COUNTIF(data_val!$E$3:$E$5, sample_log!$E1102), sample_log!$C1102 &amp; "_" &amp; sample_log!$D1102, "")</f>
        <v/>
      </c>
      <c r="C1102" s="5" t="str">
        <f>IF(B1102="", IF(F1102="", "", C1101), IF(sample_log!E1102="Triennial SASS", "tri_params", "params"))</f>
        <v/>
      </c>
      <c r="D1102" s="5" t="str">
        <f>IF(B1102="", "", C1102 &amp; "!" &amp; CHAR(65+MATCH(B1102, params!$B$2:$R$2, 0)))</f>
        <v/>
      </c>
      <c r="E1102" s="5" t="str">
        <f ca="1">IF(B1102="", "", COUNTA(INDIRECT(D1102 &amp; 3):INDIRECT(D1102 &amp; 24)))</f>
        <v/>
      </c>
      <c r="F1102" s="5" t="str">
        <f t="shared" si="36"/>
        <v/>
      </c>
      <c r="G1102" s="5" t="str">
        <f>IF(F1102="", "", IF(B1102&lt;&gt;"", MATCH(B1102, params!$B$2:$R$2, 0), G1101))</f>
        <v/>
      </c>
      <c r="H1102" s="5" t="str">
        <f t="shared" ca="1" si="35"/>
        <v/>
      </c>
      <c r="M1102" s="2"/>
    </row>
    <row r="1103" spans="2:13" ht="15.6" x14ac:dyDescent="0.3">
      <c r="B1103" s="5" t="str">
        <f>IF(COUNTIF(data_val!$E$3:$E$5, sample_log!$E1103), sample_log!$C1103 &amp; "_" &amp; sample_log!$D1103, "")</f>
        <v/>
      </c>
      <c r="C1103" s="5" t="str">
        <f>IF(B1103="", IF(F1103="", "", C1102), IF(sample_log!E1103="Triennial SASS", "tri_params", "params"))</f>
        <v/>
      </c>
      <c r="D1103" s="5" t="str">
        <f>IF(B1103="", "", C1103 &amp; "!" &amp; CHAR(65+MATCH(B1103, params!$B$2:$R$2, 0)))</f>
        <v/>
      </c>
      <c r="E1103" s="5" t="str">
        <f ca="1">IF(B1103="", "", COUNTA(INDIRECT(D1103 &amp; 3):INDIRECT(D1103 &amp; 24)))</f>
        <v/>
      </c>
      <c r="F1103" s="5" t="str">
        <f t="shared" si="36"/>
        <v/>
      </c>
      <c r="G1103" s="5" t="str">
        <f>IF(F1103="", "", IF(B1103&lt;&gt;"", MATCH(B1103, params!$B$2:$R$2, 0), G1102))</f>
        <v/>
      </c>
      <c r="H1103" s="5" t="str">
        <f t="shared" ca="1" si="35"/>
        <v/>
      </c>
      <c r="M1103" s="2"/>
    </row>
    <row r="1104" spans="2:13" ht="15.6" x14ac:dyDescent="0.3">
      <c r="B1104" s="5" t="str">
        <f>IF(COUNTIF(data_val!$E$3:$E$5, sample_log!$E1104), sample_log!$C1104 &amp; "_" &amp; sample_log!$D1104, "")</f>
        <v/>
      </c>
      <c r="C1104" s="5" t="str">
        <f>IF(B1104="", IF(F1104="", "", C1103), IF(sample_log!E1104="Triennial SASS", "tri_params", "params"))</f>
        <v/>
      </c>
      <c r="D1104" s="5" t="str">
        <f>IF(B1104="", "", C1104 &amp; "!" &amp; CHAR(65+MATCH(B1104, params!$B$2:$R$2, 0)))</f>
        <v/>
      </c>
      <c r="E1104" s="5" t="str">
        <f ca="1">IF(B1104="", "", COUNTA(INDIRECT(D1104 &amp; 3):INDIRECT(D1104 &amp; 24)))</f>
        <v/>
      </c>
      <c r="F1104" s="5" t="str">
        <f t="shared" si="36"/>
        <v/>
      </c>
      <c r="G1104" s="5" t="str">
        <f>IF(F1104="", "", IF(B1104&lt;&gt;"", MATCH(B1104, params!$B$2:$R$2, 0), G1103))</f>
        <v/>
      </c>
      <c r="H1104" s="5" t="str">
        <f t="shared" ca="1" si="35"/>
        <v/>
      </c>
      <c r="M1104" s="2"/>
    </row>
    <row r="1105" spans="2:13" ht="15.6" x14ac:dyDescent="0.3">
      <c r="B1105" s="5" t="str">
        <f>IF(COUNTIF(data_val!$E$3:$E$5, sample_log!$E1105), sample_log!$C1105 &amp; "_" &amp; sample_log!$D1105, "")</f>
        <v/>
      </c>
      <c r="C1105" s="5" t="str">
        <f>IF(B1105="", IF(F1105="", "", C1104), IF(sample_log!E1105="Triennial SASS", "tri_params", "params"))</f>
        <v/>
      </c>
      <c r="D1105" s="5" t="str">
        <f>IF(B1105="", "", C1105 &amp; "!" &amp; CHAR(65+MATCH(B1105, params!$B$2:$R$2, 0)))</f>
        <v/>
      </c>
      <c r="E1105" s="5" t="str">
        <f ca="1">IF(B1105="", "", COUNTA(INDIRECT(D1105 &amp; 3):INDIRECT(D1105 &amp; 24)))</f>
        <v/>
      </c>
      <c r="F1105" s="5" t="str">
        <f t="shared" si="36"/>
        <v/>
      </c>
      <c r="G1105" s="5" t="str">
        <f>IF(F1105="", "", IF(B1105&lt;&gt;"", MATCH(B1105, params!$B$2:$R$2, 0), G1104))</f>
        <v/>
      </c>
      <c r="H1105" s="5" t="str">
        <f t="shared" ca="1" si="35"/>
        <v/>
      </c>
      <c r="M1105" s="2"/>
    </row>
    <row r="1106" spans="2:13" ht="15.6" x14ac:dyDescent="0.3">
      <c r="B1106" s="5" t="str">
        <f>IF(COUNTIF(data_val!$E$3:$E$5, sample_log!$E1106), sample_log!$C1106 &amp; "_" &amp; sample_log!$D1106, "")</f>
        <v/>
      </c>
      <c r="C1106" s="5" t="str">
        <f>IF(B1106="", IF(F1106="", "", C1105), IF(sample_log!E1106="Triennial SASS", "tri_params", "params"))</f>
        <v/>
      </c>
      <c r="D1106" s="5" t="str">
        <f>IF(B1106="", "", C1106 &amp; "!" &amp; CHAR(65+MATCH(B1106, params!$B$2:$R$2, 0)))</f>
        <v/>
      </c>
      <c r="E1106" s="5" t="str">
        <f ca="1">IF(B1106="", "", COUNTA(INDIRECT(D1106 &amp; 3):INDIRECT(D1106 &amp; 24)))</f>
        <v/>
      </c>
      <c r="F1106" s="5" t="str">
        <f t="shared" si="36"/>
        <v/>
      </c>
      <c r="G1106" s="5" t="str">
        <f>IF(F1106="", "", IF(B1106&lt;&gt;"", MATCH(B1106, params!$B$2:$R$2, 0), G1105))</f>
        <v/>
      </c>
      <c r="H1106" s="5" t="str">
        <f t="shared" ca="1" si="35"/>
        <v/>
      </c>
      <c r="M1106" s="2"/>
    </row>
    <row r="1107" spans="2:13" ht="15.6" x14ac:dyDescent="0.3">
      <c r="B1107" s="5" t="str">
        <f>IF(COUNTIF(data_val!$E$3:$E$5, sample_log!$E1107), sample_log!$C1107 &amp; "_" &amp; sample_log!$D1107, "")</f>
        <v/>
      </c>
      <c r="C1107" s="5" t="str">
        <f>IF(B1107="", IF(F1107="", "", C1106), IF(sample_log!E1107="Triennial SASS", "tri_params", "params"))</f>
        <v/>
      </c>
      <c r="D1107" s="5" t="str">
        <f>IF(B1107="", "", C1107 &amp; "!" &amp; CHAR(65+MATCH(B1107, params!$B$2:$R$2, 0)))</f>
        <v/>
      </c>
      <c r="E1107" s="5" t="str">
        <f ca="1">IF(B1107="", "", COUNTA(INDIRECT(D1107 &amp; 3):INDIRECT(D1107 &amp; 24)))</f>
        <v/>
      </c>
      <c r="F1107" s="5" t="str">
        <f t="shared" si="36"/>
        <v/>
      </c>
      <c r="G1107" s="5" t="str">
        <f>IF(F1107="", "", IF(B1107&lt;&gt;"", MATCH(B1107, params!$B$2:$R$2, 0), G1106))</f>
        <v/>
      </c>
      <c r="H1107" s="5" t="str">
        <f t="shared" ca="1" si="35"/>
        <v/>
      </c>
      <c r="M1107" s="2"/>
    </row>
    <row r="1108" spans="2:13" ht="15.6" x14ac:dyDescent="0.3">
      <c r="B1108" s="5" t="str">
        <f>IF(COUNTIF(data_val!$E$3:$E$5, sample_log!$E1108), sample_log!$C1108 &amp; "_" &amp; sample_log!$D1108, "")</f>
        <v/>
      </c>
      <c r="C1108" s="5" t="str">
        <f>IF(B1108="", IF(F1108="", "", C1107), IF(sample_log!E1108="Triennial SASS", "tri_params", "params"))</f>
        <v/>
      </c>
      <c r="D1108" s="5" t="str">
        <f>IF(B1108="", "", C1108 &amp; "!" &amp; CHAR(65+MATCH(B1108, params!$B$2:$R$2, 0)))</f>
        <v/>
      </c>
      <c r="E1108" s="5" t="str">
        <f ca="1">IF(B1108="", "", COUNTA(INDIRECT(D1108 &amp; 3):INDIRECT(D1108 &amp; 24)))</f>
        <v/>
      </c>
      <c r="F1108" s="5" t="str">
        <f t="shared" si="36"/>
        <v/>
      </c>
      <c r="G1108" s="5" t="str">
        <f>IF(F1108="", "", IF(B1108&lt;&gt;"", MATCH(B1108, params!$B$2:$R$2, 0), G1107))</f>
        <v/>
      </c>
      <c r="H1108" s="5" t="str">
        <f t="shared" ca="1" si="35"/>
        <v/>
      </c>
      <c r="M1108" s="2"/>
    </row>
    <row r="1109" spans="2:13" ht="15.6" x14ac:dyDescent="0.3">
      <c r="B1109" s="5" t="str">
        <f>IF(COUNTIF(data_val!$E$3:$E$5, sample_log!$E1109), sample_log!$C1109 &amp; "_" &amp; sample_log!$D1109, "")</f>
        <v/>
      </c>
      <c r="C1109" s="5" t="str">
        <f>IF(B1109="", IF(F1109="", "", C1108), IF(sample_log!E1109="Triennial SASS", "tri_params", "params"))</f>
        <v/>
      </c>
      <c r="D1109" s="5" t="str">
        <f>IF(B1109="", "", C1109 &amp; "!" &amp; CHAR(65+MATCH(B1109, params!$B$2:$R$2, 0)))</f>
        <v/>
      </c>
      <c r="E1109" s="5" t="str">
        <f ca="1">IF(B1109="", "", COUNTA(INDIRECT(D1109 &amp; 3):INDIRECT(D1109 &amp; 24)))</f>
        <v/>
      </c>
      <c r="F1109" s="5" t="str">
        <f t="shared" si="36"/>
        <v/>
      </c>
      <c r="G1109" s="5" t="str">
        <f>IF(F1109="", "", IF(B1109&lt;&gt;"", MATCH(B1109, params!$B$2:$R$2, 0), G1108))</f>
        <v/>
      </c>
      <c r="H1109" s="5" t="str">
        <f t="shared" ca="1" si="35"/>
        <v/>
      </c>
      <c r="M1109" s="2"/>
    </row>
    <row r="1110" spans="2:13" ht="15.6" x14ac:dyDescent="0.3">
      <c r="B1110" s="5" t="str">
        <f>IF(COUNTIF(data_val!$E$3:$E$5, sample_log!$E1110), sample_log!$C1110 &amp; "_" &amp; sample_log!$D1110, "")</f>
        <v/>
      </c>
      <c r="C1110" s="5" t="str">
        <f>IF(B1110="", IF(F1110="", "", C1109), IF(sample_log!E1110="Triennial SASS", "tri_params", "params"))</f>
        <v/>
      </c>
      <c r="D1110" s="5" t="str">
        <f>IF(B1110="", "", C1110 &amp; "!" &amp; CHAR(65+MATCH(B1110, params!$B$2:$R$2, 0)))</f>
        <v/>
      </c>
      <c r="E1110" s="5" t="str">
        <f ca="1">IF(B1110="", "", COUNTA(INDIRECT(D1110 &amp; 3):INDIRECT(D1110 &amp; 24)))</f>
        <v/>
      </c>
      <c r="F1110" s="5" t="str">
        <f t="shared" si="36"/>
        <v/>
      </c>
      <c r="G1110" s="5" t="str">
        <f>IF(F1110="", "", IF(B1110&lt;&gt;"", MATCH(B1110, params!$B$2:$R$2, 0), G1109))</f>
        <v/>
      </c>
      <c r="H1110" s="5" t="str">
        <f t="shared" ca="1" si="35"/>
        <v/>
      </c>
      <c r="M1110" s="2"/>
    </row>
    <row r="1111" spans="2:13" ht="15.6" x14ac:dyDescent="0.3">
      <c r="B1111" s="5" t="str">
        <f>IF(COUNTIF(data_val!$E$3:$E$5, sample_log!$E1111), sample_log!$C1111 &amp; "_" &amp; sample_log!$D1111, "")</f>
        <v/>
      </c>
      <c r="C1111" s="5" t="str">
        <f>IF(B1111="", IF(F1111="", "", C1110), IF(sample_log!E1111="Triennial SASS", "tri_params", "params"))</f>
        <v/>
      </c>
      <c r="D1111" s="5" t="str">
        <f>IF(B1111="", "", C1111 &amp; "!" &amp; CHAR(65+MATCH(B1111, params!$B$2:$R$2, 0)))</f>
        <v/>
      </c>
      <c r="E1111" s="5" t="str">
        <f ca="1">IF(B1111="", "", COUNTA(INDIRECT(D1111 &amp; 3):INDIRECT(D1111 &amp; 24)))</f>
        <v/>
      </c>
      <c r="F1111" s="5" t="str">
        <f t="shared" si="36"/>
        <v/>
      </c>
      <c r="G1111" s="5" t="str">
        <f>IF(F1111="", "", IF(B1111&lt;&gt;"", MATCH(B1111, params!$B$2:$R$2, 0), G1110))</f>
        <v/>
      </c>
      <c r="H1111" s="5" t="str">
        <f t="shared" ca="1" si="35"/>
        <v/>
      </c>
      <c r="M1111" s="2"/>
    </row>
    <row r="1112" spans="2:13" ht="15.6" x14ac:dyDescent="0.3">
      <c r="B1112" s="5" t="str">
        <f>IF(COUNTIF(data_val!$E$3:$E$5, sample_log!$E1112), sample_log!$C1112 &amp; "_" &amp; sample_log!$D1112, "")</f>
        <v/>
      </c>
      <c r="C1112" s="5" t="str">
        <f>IF(B1112="", IF(F1112="", "", C1111), IF(sample_log!E1112="Triennial SASS", "tri_params", "params"))</f>
        <v/>
      </c>
      <c r="D1112" s="5" t="str">
        <f>IF(B1112="", "", C1112 &amp; "!" &amp; CHAR(65+MATCH(B1112, params!$B$2:$R$2, 0)))</f>
        <v/>
      </c>
      <c r="E1112" s="5" t="str">
        <f ca="1">IF(B1112="", "", COUNTA(INDIRECT(D1112 &amp; 3):INDIRECT(D1112 &amp; 24)))</f>
        <v/>
      </c>
      <c r="F1112" s="5" t="str">
        <f t="shared" si="36"/>
        <v/>
      </c>
      <c r="G1112" s="5" t="str">
        <f>IF(F1112="", "", IF(B1112&lt;&gt;"", MATCH(B1112, params!$B$2:$R$2, 0), G1111))</f>
        <v/>
      </c>
      <c r="H1112" s="5" t="str">
        <f t="shared" ca="1" si="35"/>
        <v/>
      </c>
      <c r="M1112" s="2"/>
    </row>
    <row r="1113" spans="2:13" ht="15.6" x14ac:dyDescent="0.3">
      <c r="B1113" s="5" t="str">
        <f>IF(COUNTIF(data_val!$E$3:$E$5, sample_log!$E1113), sample_log!$C1113 &amp; "_" &amp; sample_log!$D1113, "")</f>
        <v/>
      </c>
      <c r="C1113" s="5" t="str">
        <f>IF(B1113="", IF(F1113="", "", C1112), IF(sample_log!E1113="Triennial SASS", "tri_params", "params"))</f>
        <v/>
      </c>
      <c r="D1113" s="5" t="str">
        <f>IF(B1113="", "", C1113 &amp; "!" &amp; CHAR(65+MATCH(B1113, params!$B$2:$R$2, 0)))</f>
        <v/>
      </c>
      <c r="E1113" s="5" t="str">
        <f ca="1">IF(B1113="", "", COUNTA(INDIRECT(D1113 &amp; 3):INDIRECT(D1113 &amp; 24)))</f>
        <v/>
      </c>
      <c r="F1113" s="5" t="str">
        <f t="shared" si="36"/>
        <v/>
      </c>
      <c r="G1113" s="5" t="str">
        <f>IF(F1113="", "", IF(B1113&lt;&gt;"", MATCH(B1113, params!$B$2:$R$2, 0), G1112))</f>
        <v/>
      </c>
      <c r="H1113" s="5" t="str">
        <f t="shared" ref="H1113:H1176" ca="1" si="37">IF($F1113="", "", INDEX(INDIRECT("'" &amp; C1113 &amp; "'!$B$3:$R$24"), $F1113, $G1113))</f>
        <v/>
      </c>
      <c r="M1113" s="2"/>
    </row>
    <row r="1114" spans="2:13" ht="15.6" x14ac:dyDescent="0.3">
      <c r="B1114" s="5" t="str">
        <f>IF(COUNTIF(data_val!$E$3:$E$5, sample_log!$E1114), sample_log!$C1114 &amp; "_" &amp; sample_log!$D1114, "")</f>
        <v/>
      </c>
      <c r="C1114" s="5" t="str">
        <f>IF(B1114="", IF(F1114="", "", C1113), IF(sample_log!E1114="Triennial SASS", "tri_params", "params"))</f>
        <v/>
      </c>
      <c r="D1114" s="5" t="str">
        <f>IF(B1114="", "", C1114 &amp; "!" &amp; CHAR(65+MATCH(B1114, params!$B$2:$R$2, 0)))</f>
        <v/>
      </c>
      <c r="E1114" s="5" t="str">
        <f ca="1">IF(B1114="", "", COUNTA(INDIRECT(D1114 &amp; 3):INDIRECT(D1114 &amp; 24)))</f>
        <v/>
      </c>
      <c r="F1114" s="5" t="str">
        <f t="shared" si="36"/>
        <v/>
      </c>
      <c r="G1114" s="5" t="str">
        <f>IF(F1114="", "", IF(B1114&lt;&gt;"", MATCH(B1114, params!$B$2:$R$2, 0), G1113))</f>
        <v/>
      </c>
      <c r="H1114" s="5" t="str">
        <f t="shared" ca="1" si="37"/>
        <v/>
      </c>
      <c r="M1114" s="2"/>
    </row>
    <row r="1115" spans="2:13" ht="15.6" x14ac:dyDescent="0.3">
      <c r="B1115" s="5" t="str">
        <f>IF(COUNTIF(data_val!$E$3:$E$5, sample_log!$E1115), sample_log!$C1115 &amp; "_" &amp; sample_log!$D1115, "")</f>
        <v/>
      </c>
      <c r="C1115" s="5" t="str">
        <f>IF(B1115="", IF(F1115="", "", C1114), IF(sample_log!E1115="Triennial SASS", "tri_params", "params"))</f>
        <v/>
      </c>
      <c r="D1115" s="5" t="str">
        <f>IF(B1115="", "", C1115 &amp; "!" &amp; CHAR(65+MATCH(B1115, params!$B$2:$R$2, 0)))</f>
        <v/>
      </c>
      <c r="E1115" s="5" t="str">
        <f ca="1">IF(B1115="", "", COUNTA(INDIRECT(D1115 &amp; 3):INDIRECT(D1115 &amp; 24)))</f>
        <v/>
      </c>
      <c r="F1115" s="5" t="str">
        <f t="shared" si="36"/>
        <v/>
      </c>
      <c r="G1115" s="5" t="str">
        <f>IF(F1115="", "", IF(B1115&lt;&gt;"", MATCH(B1115, params!$B$2:$R$2, 0), G1114))</f>
        <v/>
      </c>
      <c r="H1115" s="5" t="str">
        <f t="shared" ca="1" si="37"/>
        <v/>
      </c>
      <c r="M1115" s="2"/>
    </row>
    <row r="1116" spans="2:13" ht="15.6" x14ac:dyDescent="0.3">
      <c r="B1116" s="5" t="str">
        <f>IF(COUNTIF(data_val!$E$3:$E$5, sample_log!$E1116), sample_log!$C1116 &amp; "_" &amp; sample_log!$D1116, "")</f>
        <v/>
      </c>
      <c r="C1116" s="5" t="str">
        <f>IF(B1116="", IF(F1116="", "", C1115), IF(sample_log!E1116="Triennial SASS", "tri_params", "params"))</f>
        <v/>
      </c>
      <c r="D1116" s="5" t="str">
        <f>IF(B1116="", "", C1116 &amp; "!" &amp; CHAR(65+MATCH(B1116, params!$B$2:$R$2, 0)))</f>
        <v/>
      </c>
      <c r="E1116" s="5" t="str">
        <f ca="1">IF(B1116="", "", COUNTA(INDIRECT(D1116 &amp; 3):INDIRECT(D1116 &amp; 24)))</f>
        <v/>
      </c>
      <c r="F1116" s="5" t="str">
        <f t="shared" si="36"/>
        <v/>
      </c>
      <c r="G1116" s="5" t="str">
        <f>IF(F1116="", "", IF(B1116&lt;&gt;"", MATCH(B1116, params!$B$2:$R$2, 0), G1115))</f>
        <v/>
      </c>
      <c r="H1116" s="5" t="str">
        <f t="shared" ca="1" si="37"/>
        <v/>
      </c>
      <c r="M1116" s="2"/>
    </row>
    <row r="1117" spans="2:13" ht="15.6" x14ac:dyDescent="0.3">
      <c r="B1117" s="5" t="str">
        <f>IF(COUNTIF(data_val!$E$3:$E$5, sample_log!$E1117), sample_log!$C1117 &amp; "_" &amp; sample_log!$D1117, "")</f>
        <v/>
      </c>
      <c r="C1117" s="5" t="str">
        <f>IF(B1117="", IF(F1117="", "", C1116), IF(sample_log!E1117="Triennial SASS", "tri_params", "params"))</f>
        <v/>
      </c>
      <c r="D1117" s="5" t="str">
        <f>IF(B1117="", "", C1117 &amp; "!" &amp; CHAR(65+MATCH(B1117, params!$B$2:$R$2, 0)))</f>
        <v/>
      </c>
      <c r="E1117" s="5" t="str">
        <f ca="1">IF(B1117="", "", COUNTA(INDIRECT(D1117 &amp; 3):INDIRECT(D1117 &amp; 24)))</f>
        <v/>
      </c>
      <c r="F1117" s="5" t="str">
        <f t="shared" si="36"/>
        <v/>
      </c>
      <c r="G1117" s="5" t="str">
        <f>IF(F1117="", "", IF(B1117&lt;&gt;"", MATCH(B1117, params!$B$2:$R$2, 0), G1116))</f>
        <v/>
      </c>
      <c r="H1117" s="5" t="str">
        <f t="shared" ca="1" si="37"/>
        <v/>
      </c>
      <c r="M1117" s="2"/>
    </row>
    <row r="1118" spans="2:13" ht="15.6" x14ac:dyDescent="0.3">
      <c r="B1118" s="5" t="str">
        <f>IF(COUNTIF(data_val!$E$3:$E$5, sample_log!$E1118), sample_log!$C1118 &amp; "_" &amp; sample_log!$D1118, "")</f>
        <v/>
      </c>
      <c r="C1118" s="5" t="str">
        <f>IF(B1118="", IF(F1118="", "", C1117), IF(sample_log!E1118="Triennial SASS", "tri_params", "params"))</f>
        <v/>
      </c>
      <c r="D1118" s="5" t="str">
        <f>IF(B1118="", "", C1118 &amp; "!" &amp; CHAR(65+MATCH(B1118, params!$B$2:$R$2, 0)))</f>
        <v/>
      </c>
      <c r="E1118" s="5" t="str">
        <f ca="1">IF(B1118="", "", COUNTA(INDIRECT(D1118 &amp; 3):INDIRECT(D1118 &amp; 24)))</f>
        <v/>
      </c>
      <c r="F1118" s="5" t="str">
        <f t="shared" si="36"/>
        <v/>
      </c>
      <c r="G1118" s="5" t="str">
        <f>IF(F1118="", "", IF(B1118&lt;&gt;"", MATCH(B1118, params!$B$2:$R$2, 0), G1117))</f>
        <v/>
      </c>
      <c r="H1118" s="5" t="str">
        <f t="shared" ca="1" si="37"/>
        <v/>
      </c>
      <c r="M1118" s="2"/>
    </row>
    <row r="1119" spans="2:13" ht="15.6" x14ac:dyDescent="0.3">
      <c r="B1119" s="5" t="str">
        <f>IF(COUNTIF(data_val!$E$3:$E$5, sample_log!$E1119), sample_log!$C1119 &amp; "_" &amp; sample_log!$D1119, "")</f>
        <v/>
      </c>
      <c r="C1119" s="5" t="str">
        <f>IF(B1119="", IF(F1119="", "", C1118), IF(sample_log!E1119="Triennial SASS", "tri_params", "params"))</f>
        <v/>
      </c>
      <c r="D1119" s="5" t="str">
        <f>IF(B1119="", "", C1119 &amp; "!" &amp; CHAR(65+MATCH(B1119, params!$B$2:$R$2, 0)))</f>
        <v/>
      </c>
      <c r="E1119" s="5" t="str">
        <f ca="1">IF(B1119="", "", COUNTA(INDIRECT(D1119 &amp; 3):INDIRECT(D1119 &amp; 24)))</f>
        <v/>
      </c>
      <c r="F1119" s="5" t="str">
        <f t="shared" si="36"/>
        <v/>
      </c>
      <c r="G1119" s="5" t="str">
        <f>IF(F1119="", "", IF(B1119&lt;&gt;"", MATCH(B1119, params!$B$2:$R$2, 0), G1118))</f>
        <v/>
      </c>
      <c r="H1119" s="5" t="str">
        <f t="shared" ca="1" si="37"/>
        <v/>
      </c>
      <c r="M1119" s="2"/>
    </row>
    <row r="1120" spans="2:13" ht="15.6" x14ac:dyDescent="0.3">
      <c r="B1120" s="5" t="str">
        <f>IF(COUNTIF(data_val!$E$3:$E$5, sample_log!$E1120), sample_log!$C1120 &amp; "_" &amp; sample_log!$D1120, "")</f>
        <v/>
      </c>
      <c r="C1120" s="5" t="str">
        <f>IF(B1120="", IF(F1120="", "", C1119), IF(sample_log!E1120="Triennial SASS", "tri_params", "params"))</f>
        <v/>
      </c>
      <c r="D1120" s="5" t="str">
        <f>IF(B1120="", "", C1120 &amp; "!" &amp; CHAR(65+MATCH(B1120, params!$B$2:$R$2, 0)))</f>
        <v/>
      </c>
      <c r="E1120" s="5" t="str">
        <f ca="1">IF(B1120="", "", COUNTA(INDIRECT(D1120 &amp; 3):INDIRECT(D1120 &amp; 24)))</f>
        <v/>
      </c>
      <c r="F1120" s="5" t="str">
        <f t="shared" si="36"/>
        <v/>
      </c>
      <c r="G1120" s="5" t="str">
        <f>IF(F1120="", "", IF(B1120&lt;&gt;"", MATCH(B1120, params!$B$2:$R$2, 0), G1119))</f>
        <v/>
      </c>
      <c r="H1120" s="5" t="str">
        <f t="shared" ca="1" si="37"/>
        <v/>
      </c>
      <c r="M1120" s="2"/>
    </row>
    <row r="1121" spans="2:13" ht="15.6" x14ac:dyDescent="0.3">
      <c r="B1121" s="5" t="str">
        <f>IF(COUNTIF(data_val!$E$3:$E$5, sample_log!$E1121), sample_log!$C1121 &amp; "_" &amp; sample_log!$D1121, "")</f>
        <v/>
      </c>
      <c r="C1121" s="5" t="str">
        <f>IF(B1121="", IF(F1121="", "", C1120), IF(sample_log!E1121="Triennial SASS", "tri_params", "params"))</f>
        <v/>
      </c>
      <c r="D1121" s="5" t="str">
        <f>IF(B1121="", "", C1121 &amp; "!" &amp; CHAR(65+MATCH(B1121, params!$B$2:$R$2, 0)))</f>
        <v/>
      </c>
      <c r="E1121" s="5" t="str">
        <f ca="1">IF(B1121="", "", COUNTA(INDIRECT(D1121 &amp; 3):INDIRECT(D1121 &amp; 24)))</f>
        <v/>
      </c>
      <c r="F1121" s="5" t="str">
        <f t="shared" si="36"/>
        <v/>
      </c>
      <c r="G1121" s="5" t="str">
        <f>IF(F1121="", "", IF(B1121&lt;&gt;"", MATCH(B1121, params!$B$2:$R$2, 0), G1120))</f>
        <v/>
      </c>
      <c r="H1121" s="5" t="str">
        <f t="shared" ca="1" si="37"/>
        <v/>
      </c>
      <c r="M1121" s="2"/>
    </row>
    <row r="1122" spans="2:13" ht="15.6" x14ac:dyDescent="0.3">
      <c r="B1122" s="5" t="str">
        <f>IF(COUNTIF(data_val!$E$3:$E$5, sample_log!$E1122), sample_log!$C1122 &amp; "_" &amp; sample_log!$D1122, "")</f>
        <v/>
      </c>
      <c r="C1122" s="5" t="str">
        <f>IF(B1122="", IF(F1122="", "", C1121), IF(sample_log!E1122="Triennial SASS", "tri_params", "params"))</f>
        <v/>
      </c>
      <c r="D1122" s="5" t="str">
        <f>IF(B1122="", "", C1122 &amp; "!" &amp; CHAR(65+MATCH(B1122, params!$B$2:$R$2, 0)))</f>
        <v/>
      </c>
      <c r="E1122" s="5" t="str">
        <f ca="1">IF(B1122="", "", COUNTA(INDIRECT(D1122 &amp; 3):INDIRECT(D1122 &amp; 24)))</f>
        <v/>
      </c>
      <c r="F1122" s="5" t="str">
        <f t="shared" si="36"/>
        <v/>
      </c>
      <c r="G1122" s="5" t="str">
        <f>IF(F1122="", "", IF(B1122&lt;&gt;"", MATCH(B1122, params!$B$2:$R$2, 0), G1121))</f>
        <v/>
      </c>
      <c r="H1122" s="5" t="str">
        <f t="shared" ca="1" si="37"/>
        <v/>
      </c>
      <c r="M1122" s="2"/>
    </row>
    <row r="1123" spans="2:13" ht="15.6" x14ac:dyDescent="0.3">
      <c r="B1123" s="5" t="str">
        <f>IF(COUNTIF(data_val!$E$3:$E$5, sample_log!$E1123), sample_log!$C1123 &amp; "_" &amp; sample_log!$D1123, "")</f>
        <v/>
      </c>
      <c r="C1123" s="5" t="str">
        <f>IF(B1123="", IF(F1123="", "", C1122), IF(sample_log!E1123="Triennial SASS", "tri_params", "params"))</f>
        <v/>
      </c>
      <c r="D1123" s="5" t="str">
        <f>IF(B1123="", "", C1123 &amp; "!" &amp; CHAR(65+MATCH(B1123, params!$B$2:$R$2, 0)))</f>
        <v/>
      </c>
      <c r="E1123" s="5" t="str">
        <f ca="1">IF(B1123="", "", COUNTA(INDIRECT(D1123 &amp; 3):INDIRECT(D1123 &amp; 24)))</f>
        <v/>
      </c>
      <c r="F1123" s="5" t="str">
        <f t="shared" si="36"/>
        <v/>
      </c>
      <c r="G1123" s="5" t="str">
        <f>IF(F1123="", "", IF(B1123&lt;&gt;"", MATCH(B1123, params!$B$2:$R$2, 0), G1122))</f>
        <v/>
      </c>
      <c r="H1123" s="5" t="str">
        <f t="shared" ca="1" si="37"/>
        <v/>
      </c>
      <c r="M1123" s="2"/>
    </row>
    <row r="1124" spans="2:13" ht="15.6" x14ac:dyDescent="0.3">
      <c r="B1124" s="5" t="str">
        <f>IF(COUNTIF(data_val!$E$3:$E$5, sample_log!$E1124), sample_log!$C1124 &amp; "_" &amp; sample_log!$D1124, "")</f>
        <v/>
      </c>
      <c r="C1124" s="5" t="str">
        <f>IF(B1124="", IF(F1124="", "", C1123), IF(sample_log!E1124="Triennial SASS", "tri_params", "params"))</f>
        <v/>
      </c>
      <c r="D1124" s="5" t="str">
        <f>IF(B1124="", "", C1124 &amp; "!" &amp; CHAR(65+MATCH(B1124, params!$B$2:$R$2, 0)))</f>
        <v/>
      </c>
      <c r="E1124" s="5" t="str">
        <f ca="1">IF(B1124="", "", COUNTA(INDIRECT(D1124 &amp; 3):INDIRECT(D1124 &amp; 24)))</f>
        <v/>
      </c>
      <c r="F1124" s="5" t="str">
        <f t="shared" si="36"/>
        <v/>
      </c>
      <c r="G1124" s="5" t="str">
        <f>IF(F1124="", "", IF(B1124&lt;&gt;"", MATCH(B1124, params!$B$2:$R$2, 0), G1123))</f>
        <v/>
      </c>
      <c r="H1124" s="5" t="str">
        <f t="shared" ca="1" si="37"/>
        <v/>
      </c>
      <c r="M1124" s="2"/>
    </row>
    <row r="1125" spans="2:13" ht="15.6" x14ac:dyDescent="0.3">
      <c r="B1125" s="5" t="str">
        <f>IF(COUNTIF(data_val!$E$3:$E$5, sample_log!$E1125), sample_log!$C1125 &amp; "_" &amp; sample_log!$D1125, "")</f>
        <v/>
      </c>
      <c r="C1125" s="5" t="str">
        <f>IF(B1125="", IF(F1125="", "", C1124), IF(sample_log!E1125="Triennial SASS", "tri_params", "params"))</f>
        <v/>
      </c>
      <c r="D1125" s="5" t="str">
        <f>IF(B1125="", "", C1125 &amp; "!" &amp; CHAR(65+MATCH(B1125, params!$B$2:$R$2, 0)))</f>
        <v/>
      </c>
      <c r="E1125" s="5" t="str">
        <f ca="1">IF(B1125="", "", COUNTA(INDIRECT(D1125 &amp; 3):INDIRECT(D1125 &amp; 24)))</f>
        <v/>
      </c>
      <c r="F1125" s="5" t="str">
        <f t="shared" si="36"/>
        <v/>
      </c>
      <c r="G1125" s="5" t="str">
        <f>IF(F1125="", "", IF(B1125&lt;&gt;"", MATCH(B1125, params!$B$2:$R$2, 0), G1124))</f>
        <v/>
      </c>
      <c r="H1125" s="5" t="str">
        <f t="shared" ca="1" si="37"/>
        <v/>
      </c>
      <c r="M1125" s="2"/>
    </row>
    <row r="1126" spans="2:13" ht="15.6" x14ac:dyDescent="0.3">
      <c r="B1126" s="5" t="str">
        <f>IF(COUNTIF(data_val!$E$3:$E$5, sample_log!$E1126), sample_log!$C1126 &amp; "_" &amp; sample_log!$D1126, "")</f>
        <v/>
      </c>
      <c r="C1126" s="5" t="str">
        <f>IF(B1126="", IF(F1126="", "", C1125), IF(sample_log!E1126="Triennial SASS", "tri_params", "params"))</f>
        <v/>
      </c>
      <c r="D1126" s="5" t="str">
        <f>IF(B1126="", "", C1126 &amp; "!" &amp; CHAR(65+MATCH(B1126, params!$B$2:$R$2, 0)))</f>
        <v/>
      </c>
      <c r="E1126" s="5" t="str">
        <f ca="1">IF(B1126="", "", COUNTA(INDIRECT(D1126 &amp; 3):INDIRECT(D1126 &amp; 24)))</f>
        <v/>
      </c>
      <c r="F1126" s="5" t="str">
        <f t="shared" si="36"/>
        <v/>
      </c>
      <c r="G1126" s="5" t="str">
        <f>IF(F1126="", "", IF(B1126&lt;&gt;"", MATCH(B1126, params!$B$2:$R$2, 0), G1125))</f>
        <v/>
      </c>
      <c r="H1126" s="5" t="str">
        <f t="shared" ca="1" si="37"/>
        <v/>
      </c>
      <c r="M1126" s="2"/>
    </row>
    <row r="1127" spans="2:13" ht="15.6" x14ac:dyDescent="0.3">
      <c r="B1127" s="5" t="str">
        <f>IF(COUNTIF(data_val!$E$3:$E$5, sample_log!$E1127), sample_log!$C1127 &amp; "_" &amp; sample_log!$D1127, "")</f>
        <v/>
      </c>
      <c r="C1127" s="5" t="str">
        <f>IF(B1127="", IF(F1127="", "", C1126), IF(sample_log!E1127="Triennial SASS", "tri_params", "params"))</f>
        <v/>
      </c>
      <c r="D1127" s="5" t="str">
        <f>IF(B1127="", "", C1127 &amp; "!" &amp; CHAR(65+MATCH(B1127, params!$B$2:$R$2, 0)))</f>
        <v/>
      </c>
      <c r="E1127" s="5" t="str">
        <f ca="1">IF(B1127="", "", COUNTA(INDIRECT(D1127 &amp; 3):INDIRECT(D1127 &amp; 24)))</f>
        <v/>
      </c>
      <c r="F1127" s="5" t="str">
        <f t="shared" si="36"/>
        <v/>
      </c>
      <c r="G1127" s="5" t="str">
        <f>IF(F1127="", "", IF(B1127&lt;&gt;"", MATCH(B1127, params!$B$2:$R$2, 0), G1126))</f>
        <v/>
      </c>
      <c r="H1127" s="5" t="str">
        <f t="shared" ca="1" si="37"/>
        <v/>
      </c>
      <c r="M1127" s="2"/>
    </row>
    <row r="1128" spans="2:13" ht="15.6" x14ac:dyDescent="0.3">
      <c r="B1128" s="5" t="str">
        <f>IF(COUNTIF(data_val!$E$3:$E$5, sample_log!$E1128), sample_log!$C1128 &amp; "_" &amp; sample_log!$D1128, "")</f>
        <v/>
      </c>
      <c r="C1128" s="5" t="str">
        <f>IF(B1128="", IF(F1128="", "", C1127), IF(sample_log!E1128="Triennial SASS", "tri_params", "params"))</f>
        <v/>
      </c>
      <c r="D1128" s="5" t="str">
        <f>IF(B1128="", "", C1128 &amp; "!" &amp; CHAR(65+MATCH(B1128, params!$B$2:$R$2, 0)))</f>
        <v/>
      </c>
      <c r="E1128" s="5" t="str">
        <f ca="1">IF(B1128="", "", COUNTA(INDIRECT(D1128 &amp; 3):INDIRECT(D1128 &amp; 24)))</f>
        <v/>
      </c>
      <c r="F1128" s="5" t="str">
        <f t="shared" si="36"/>
        <v/>
      </c>
      <c r="G1128" s="5" t="str">
        <f>IF(F1128="", "", IF(B1128&lt;&gt;"", MATCH(B1128, params!$B$2:$R$2, 0), G1127))</f>
        <v/>
      </c>
      <c r="H1128" s="5" t="str">
        <f t="shared" ca="1" si="37"/>
        <v/>
      </c>
      <c r="M1128" s="2"/>
    </row>
    <row r="1129" spans="2:13" ht="15.6" x14ac:dyDescent="0.3">
      <c r="B1129" s="5" t="str">
        <f>IF(COUNTIF(data_val!$E$3:$E$5, sample_log!$E1129), sample_log!$C1129 &amp; "_" &amp; sample_log!$D1129, "")</f>
        <v/>
      </c>
      <c r="C1129" s="5" t="str">
        <f>IF(B1129="", IF(F1129="", "", C1128), IF(sample_log!E1129="Triennial SASS", "tri_params", "params"))</f>
        <v/>
      </c>
      <c r="D1129" s="5" t="str">
        <f>IF(B1129="", "", C1129 &amp; "!" &amp; CHAR(65+MATCH(B1129, params!$B$2:$R$2, 0)))</f>
        <v/>
      </c>
      <c r="E1129" s="5" t="str">
        <f ca="1">IF(B1129="", "", COUNTA(INDIRECT(D1129 &amp; 3):INDIRECT(D1129 &amp; 24)))</f>
        <v/>
      </c>
      <c r="F1129" s="5" t="str">
        <f t="shared" si="36"/>
        <v/>
      </c>
      <c r="G1129" s="5" t="str">
        <f>IF(F1129="", "", IF(B1129&lt;&gt;"", MATCH(B1129, params!$B$2:$R$2, 0), G1128))</f>
        <v/>
      </c>
      <c r="H1129" s="5" t="str">
        <f t="shared" ca="1" si="37"/>
        <v/>
      </c>
      <c r="M1129" s="2"/>
    </row>
    <row r="1130" spans="2:13" ht="15.6" x14ac:dyDescent="0.3">
      <c r="B1130" s="5" t="str">
        <f>IF(COUNTIF(data_val!$E$3:$E$5, sample_log!$E1130), sample_log!$C1130 &amp; "_" &amp; sample_log!$D1130, "")</f>
        <v/>
      </c>
      <c r="C1130" s="5" t="str">
        <f>IF(B1130="", IF(F1130="", "", C1129), IF(sample_log!E1130="Triennial SASS", "tri_params", "params"))</f>
        <v/>
      </c>
      <c r="D1130" s="5" t="str">
        <f>IF(B1130="", "", C1130 &amp; "!" &amp; CHAR(65+MATCH(B1130, params!$B$2:$R$2, 0)))</f>
        <v/>
      </c>
      <c r="E1130" s="5" t="str">
        <f ca="1">IF(B1130="", "", COUNTA(INDIRECT(D1130 &amp; 3):INDIRECT(D1130 &amp; 24)))</f>
        <v/>
      </c>
      <c r="F1130" s="5" t="str">
        <f t="shared" si="36"/>
        <v/>
      </c>
      <c r="G1130" s="5" t="str">
        <f>IF(F1130="", "", IF(B1130&lt;&gt;"", MATCH(B1130, params!$B$2:$R$2, 0), G1129))</f>
        <v/>
      </c>
      <c r="H1130" s="5" t="str">
        <f t="shared" ca="1" si="37"/>
        <v/>
      </c>
      <c r="M1130" s="2"/>
    </row>
    <row r="1131" spans="2:13" ht="15.6" x14ac:dyDescent="0.3">
      <c r="B1131" s="5" t="str">
        <f>IF(COUNTIF(data_val!$E$3:$E$5, sample_log!$E1131), sample_log!$C1131 &amp; "_" &amp; sample_log!$D1131, "")</f>
        <v/>
      </c>
      <c r="C1131" s="5" t="str">
        <f>IF(B1131="", IF(F1131="", "", C1130), IF(sample_log!E1131="Triennial SASS", "tri_params", "params"))</f>
        <v/>
      </c>
      <c r="D1131" s="5" t="str">
        <f>IF(B1131="", "", C1131 &amp; "!" &amp; CHAR(65+MATCH(B1131, params!$B$2:$R$2, 0)))</f>
        <v/>
      </c>
      <c r="E1131" s="5" t="str">
        <f ca="1">IF(B1131="", "", COUNTA(INDIRECT(D1131 &amp; 3):INDIRECT(D1131 &amp; 24)))</f>
        <v/>
      </c>
      <c r="F1131" s="5" t="str">
        <f t="shared" si="36"/>
        <v/>
      </c>
      <c r="G1131" s="5" t="str">
        <f>IF(F1131="", "", IF(B1131&lt;&gt;"", MATCH(B1131, params!$B$2:$R$2, 0), G1130))</f>
        <v/>
      </c>
      <c r="H1131" s="5" t="str">
        <f t="shared" ca="1" si="37"/>
        <v/>
      </c>
      <c r="M1131" s="2"/>
    </row>
    <row r="1132" spans="2:13" ht="15.6" x14ac:dyDescent="0.3">
      <c r="B1132" s="5" t="str">
        <f>IF(COUNTIF(data_val!$E$3:$E$5, sample_log!$E1132), sample_log!$C1132 &amp; "_" &amp; sample_log!$D1132, "")</f>
        <v/>
      </c>
      <c r="C1132" s="5" t="str">
        <f>IF(B1132="", IF(F1132="", "", C1131), IF(sample_log!E1132="Triennial SASS", "tri_params", "params"))</f>
        <v/>
      </c>
      <c r="D1132" s="5" t="str">
        <f>IF(B1132="", "", C1132 &amp; "!" &amp; CHAR(65+MATCH(B1132, params!$B$2:$R$2, 0)))</f>
        <v/>
      </c>
      <c r="E1132" s="5" t="str">
        <f ca="1">IF(B1132="", "", COUNTA(INDIRECT(D1132 &amp; 3):INDIRECT(D1132 &amp; 24)))</f>
        <v/>
      </c>
      <c r="F1132" s="5" t="str">
        <f t="shared" si="36"/>
        <v/>
      </c>
      <c r="G1132" s="5" t="str">
        <f>IF(F1132="", "", IF(B1132&lt;&gt;"", MATCH(B1132, params!$B$2:$R$2, 0), G1131))</f>
        <v/>
      </c>
      <c r="H1132" s="5" t="str">
        <f t="shared" ca="1" si="37"/>
        <v/>
      </c>
      <c r="M1132" s="2"/>
    </row>
    <row r="1133" spans="2:13" ht="15.6" x14ac:dyDescent="0.3">
      <c r="B1133" s="5" t="str">
        <f>IF(COUNTIF(data_val!$E$3:$E$5, sample_log!$E1133), sample_log!$C1133 &amp; "_" &amp; sample_log!$D1133, "")</f>
        <v/>
      </c>
      <c r="C1133" s="5" t="str">
        <f>IF(B1133="", IF(F1133="", "", C1132), IF(sample_log!E1133="Triennial SASS", "tri_params", "params"))</f>
        <v/>
      </c>
      <c r="D1133" s="5" t="str">
        <f>IF(B1133="", "", C1133 &amp; "!" &amp; CHAR(65+MATCH(B1133, params!$B$2:$R$2, 0)))</f>
        <v/>
      </c>
      <c r="E1133" s="5" t="str">
        <f ca="1">IF(B1133="", "", COUNTA(INDIRECT(D1133 &amp; 3):INDIRECT(D1133 &amp; 24)))</f>
        <v/>
      </c>
      <c r="F1133" s="5" t="str">
        <f t="shared" si="36"/>
        <v/>
      </c>
      <c r="G1133" s="5" t="str">
        <f>IF(F1133="", "", IF(B1133&lt;&gt;"", MATCH(B1133, params!$B$2:$R$2, 0), G1132))</f>
        <v/>
      </c>
      <c r="H1133" s="5" t="str">
        <f t="shared" ca="1" si="37"/>
        <v/>
      </c>
      <c r="M1133" s="2"/>
    </row>
    <row r="1134" spans="2:13" ht="15.6" x14ac:dyDescent="0.3">
      <c r="B1134" s="5" t="str">
        <f>IF(COUNTIF(data_val!$E$3:$E$5, sample_log!$E1134), sample_log!$C1134 &amp; "_" &amp; sample_log!$D1134, "")</f>
        <v/>
      </c>
      <c r="C1134" s="5" t="str">
        <f>IF(B1134="", IF(F1134="", "", C1133), IF(sample_log!E1134="Triennial SASS", "tri_params", "params"))</f>
        <v/>
      </c>
      <c r="D1134" s="5" t="str">
        <f>IF(B1134="", "", C1134 &amp; "!" &amp; CHAR(65+MATCH(B1134, params!$B$2:$R$2, 0)))</f>
        <v/>
      </c>
      <c r="E1134" s="5" t="str">
        <f ca="1">IF(B1134="", "", COUNTA(INDIRECT(D1134 &amp; 3):INDIRECT(D1134 &amp; 24)))</f>
        <v/>
      </c>
      <c r="F1134" s="5" t="str">
        <f t="shared" si="36"/>
        <v/>
      </c>
      <c r="G1134" s="5" t="str">
        <f>IF(F1134="", "", IF(B1134&lt;&gt;"", MATCH(B1134, params!$B$2:$R$2, 0), G1133))</f>
        <v/>
      </c>
      <c r="H1134" s="5" t="str">
        <f t="shared" ca="1" si="37"/>
        <v/>
      </c>
      <c r="M1134" s="2"/>
    </row>
    <row r="1135" spans="2:13" ht="15.6" x14ac:dyDescent="0.3">
      <c r="B1135" s="5" t="str">
        <f>IF(COUNTIF(data_val!$E$3:$E$5, sample_log!$E1135), sample_log!$C1135 &amp; "_" &amp; sample_log!$D1135, "")</f>
        <v/>
      </c>
      <c r="C1135" s="5" t="str">
        <f>IF(B1135="", IF(F1135="", "", C1134), IF(sample_log!E1135="Triennial SASS", "tri_params", "params"))</f>
        <v/>
      </c>
      <c r="D1135" s="5" t="str">
        <f>IF(B1135="", "", C1135 &amp; "!" &amp; CHAR(65+MATCH(B1135, params!$B$2:$R$2, 0)))</f>
        <v/>
      </c>
      <c r="E1135" s="5" t="str">
        <f ca="1">IF(B1135="", "", COUNTA(INDIRECT(D1135 &amp; 3):INDIRECT(D1135 &amp; 24)))</f>
        <v/>
      </c>
      <c r="F1135" s="5" t="str">
        <f t="shared" si="36"/>
        <v/>
      </c>
      <c r="G1135" s="5" t="str">
        <f>IF(F1135="", "", IF(B1135&lt;&gt;"", MATCH(B1135, params!$B$2:$R$2, 0), G1134))</f>
        <v/>
      </c>
      <c r="H1135" s="5" t="str">
        <f t="shared" ca="1" si="37"/>
        <v/>
      </c>
      <c r="M1135" s="2"/>
    </row>
    <row r="1136" spans="2:13" ht="15.6" x14ac:dyDescent="0.3">
      <c r="B1136" s="5" t="str">
        <f>IF(COUNTIF(data_val!$E$3:$E$5, sample_log!$E1136), sample_log!$C1136 &amp; "_" &amp; sample_log!$D1136, "")</f>
        <v/>
      </c>
      <c r="C1136" s="5" t="str">
        <f>IF(B1136="", IF(F1136="", "", C1135), IF(sample_log!E1136="Triennial SASS", "tri_params", "params"))</f>
        <v/>
      </c>
      <c r="D1136" s="5" t="str">
        <f>IF(B1136="", "", C1136 &amp; "!" &amp; CHAR(65+MATCH(B1136, params!$B$2:$R$2, 0)))</f>
        <v/>
      </c>
      <c r="E1136" s="5" t="str">
        <f ca="1">IF(B1136="", "", COUNTA(INDIRECT(D1136 &amp; 3):INDIRECT(D1136 &amp; 24)))</f>
        <v/>
      </c>
      <c r="F1136" s="5" t="str">
        <f t="shared" si="36"/>
        <v/>
      </c>
      <c r="G1136" s="5" t="str">
        <f>IF(F1136="", "", IF(B1136&lt;&gt;"", MATCH(B1136, params!$B$2:$R$2, 0), G1135))</f>
        <v/>
      </c>
      <c r="H1136" s="5" t="str">
        <f t="shared" ca="1" si="37"/>
        <v/>
      </c>
      <c r="M1136" s="2"/>
    </row>
    <row r="1137" spans="2:13" ht="15.6" x14ac:dyDescent="0.3">
      <c r="B1137" s="5" t="str">
        <f>IF(COUNTIF(data_val!$E$3:$E$5, sample_log!$E1137), sample_log!$C1137 &amp; "_" &amp; sample_log!$D1137, "")</f>
        <v/>
      </c>
      <c r="C1137" s="5" t="str">
        <f>IF(B1137="", IF(F1137="", "", C1136), IF(sample_log!E1137="Triennial SASS", "tri_params", "params"))</f>
        <v/>
      </c>
      <c r="D1137" s="5" t="str">
        <f>IF(B1137="", "", C1137 &amp; "!" &amp; CHAR(65+MATCH(B1137, params!$B$2:$R$2, 0)))</f>
        <v/>
      </c>
      <c r="E1137" s="5" t="str">
        <f ca="1">IF(B1137="", "", COUNTA(INDIRECT(D1137 &amp; 3):INDIRECT(D1137 &amp; 24)))</f>
        <v/>
      </c>
      <c r="F1137" s="5" t="str">
        <f t="shared" si="36"/>
        <v/>
      </c>
      <c r="G1137" s="5" t="str">
        <f>IF(F1137="", "", IF(B1137&lt;&gt;"", MATCH(B1137, params!$B$2:$R$2, 0), G1136))</f>
        <v/>
      </c>
      <c r="H1137" s="5" t="str">
        <f t="shared" ca="1" si="37"/>
        <v/>
      </c>
      <c r="M1137" s="2"/>
    </row>
    <row r="1138" spans="2:13" ht="15.6" x14ac:dyDescent="0.3">
      <c r="B1138" s="5" t="str">
        <f>IF(COUNTIF(data_val!$E$3:$E$5, sample_log!$E1138), sample_log!$C1138 &amp; "_" &amp; sample_log!$D1138, "")</f>
        <v/>
      </c>
      <c r="C1138" s="5" t="str">
        <f>IF(B1138="", IF(F1138="", "", C1137), IF(sample_log!E1138="Triennial SASS", "tri_params", "params"))</f>
        <v/>
      </c>
      <c r="D1138" s="5" t="str">
        <f>IF(B1138="", "", C1138 &amp; "!" &amp; CHAR(65+MATCH(B1138, params!$B$2:$R$2, 0)))</f>
        <v/>
      </c>
      <c r="E1138" s="5" t="str">
        <f ca="1">IF(B1138="", "", COUNTA(INDIRECT(D1138 &amp; 3):INDIRECT(D1138 &amp; 24)))</f>
        <v/>
      </c>
      <c r="F1138" s="5" t="str">
        <f t="shared" si="36"/>
        <v/>
      </c>
      <c r="G1138" s="5" t="str">
        <f>IF(F1138="", "", IF(B1138&lt;&gt;"", MATCH(B1138, params!$B$2:$R$2, 0), G1137))</f>
        <v/>
      </c>
      <c r="H1138" s="5" t="str">
        <f t="shared" ca="1" si="37"/>
        <v/>
      </c>
      <c r="M1138" s="2"/>
    </row>
    <row r="1139" spans="2:13" ht="15.6" x14ac:dyDescent="0.3">
      <c r="B1139" s="5" t="str">
        <f>IF(COUNTIF(data_val!$E$3:$E$5, sample_log!$E1139), sample_log!$C1139 &amp; "_" &amp; sample_log!$D1139, "")</f>
        <v/>
      </c>
      <c r="C1139" s="5" t="str">
        <f>IF(B1139="", IF(F1139="", "", C1138), IF(sample_log!E1139="Triennial SASS", "tri_params", "params"))</f>
        <v/>
      </c>
      <c r="D1139" s="5" t="str">
        <f>IF(B1139="", "", C1139 &amp; "!" &amp; CHAR(65+MATCH(B1139, params!$B$2:$R$2, 0)))</f>
        <v/>
      </c>
      <c r="E1139" s="5" t="str">
        <f ca="1">IF(B1139="", "", COUNTA(INDIRECT(D1139 &amp; 3):INDIRECT(D1139 &amp; 24)))</f>
        <v/>
      </c>
      <c r="F1139" s="5" t="str">
        <f t="shared" si="36"/>
        <v/>
      </c>
      <c r="G1139" s="5" t="str">
        <f>IF(F1139="", "", IF(B1139&lt;&gt;"", MATCH(B1139, params!$B$2:$R$2, 0), G1138))</f>
        <v/>
      </c>
      <c r="H1139" s="5" t="str">
        <f t="shared" ca="1" si="37"/>
        <v/>
      </c>
      <c r="M1139" s="2"/>
    </row>
    <row r="1140" spans="2:13" ht="15.6" x14ac:dyDescent="0.3">
      <c r="B1140" s="5" t="str">
        <f>IF(COUNTIF(data_val!$E$3:$E$5, sample_log!$E1140), sample_log!$C1140 &amp; "_" &amp; sample_log!$D1140, "")</f>
        <v/>
      </c>
      <c r="C1140" s="5" t="str">
        <f>IF(B1140="", IF(F1140="", "", C1139), IF(sample_log!E1140="Triennial SASS", "tri_params", "params"))</f>
        <v/>
      </c>
      <c r="D1140" s="5" t="str">
        <f>IF(B1140="", "", C1140 &amp; "!" &amp; CHAR(65+MATCH(B1140, params!$B$2:$R$2, 0)))</f>
        <v/>
      </c>
      <c r="E1140" s="5" t="str">
        <f ca="1">IF(B1140="", "", COUNTA(INDIRECT(D1140 &amp; 3):INDIRECT(D1140 &amp; 24)))</f>
        <v/>
      </c>
      <c r="F1140" s="5" t="str">
        <f t="shared" si="36"/>
        <v/>
      </c>
      <c r="G1140" s="5" t="str">
        <f>IF(F1140="", "", IF(B1140&lt;&gt;"", MATCH(B1140, params!$B$2:$R$2, 0), G1139))</f>
        <v/>
      </c>
      <c r="H1140" s="5" t="str">
        <f t="shared" ca="1" si="37"/>
        <v/>
      </c>
      <c r="M1140" s="2"/>
    </row>
    <row r="1141" spans="2:13" ht="15.6" x14ac:dyDescent="0.3">
      <c r="B1141" s="5" t="str">
        <f>IF(COUNTIF(data_val!$E$3:$E$5, sample_log!$E1141), sample_log!$C1141 &amp; "_" &amp; sample_log!$D1141, "")</f>
        <v/>
      </c>
      <c r="C1141" s="5" t="str">
        <f>IF(B1141="", IF(F1141="", "", C1140), IF(sample_log!E1141="Triennial SASS", "tri_params", "params"))</f>
        <v/>
      </c>
      <c r="D1141" s="5" t="str">
        <f>IF(B1141="", "", C1141 &amp; "!" &amp; CHAR(65+MATCH(B1141, params!$B$2:$R$2, 0)))</f>
        <v/>
      </c>
      <c r="E1141" s="5" t="str">
        <f ca="1">IF(B1141="", "", COUNTA(INDIRECT(D1141 &amp; 3):INDIRECT(D1141 &amp; 24)))</f>
        <v/>
      </c>
      <c r="F1141" s="5" t="str">
        <f t="shared" si="36"/>
        <v/>
      </c>
      <c r="G1141" s="5" t="str">
        <f>IF(F1141="", "", IF(B1141&lt;&gt;"", MATCH(B1141, params!$B$2:$R$2, 0), G1140))</f>
        <v/>
      </c>
      <c r="H1141" s="5" t="str">
        <f t="shared" ca="1" si="37"/>
        <v/>
      </c>
      <c r="M1141" s="2"/>
    </row>
    <row r="1142" spans="2:13" ht="15.6" x14ac:dyDescent="0.3">
      <c r="B1142" s="5" t="str">
        <f>IF(COUNTIF(data_val!$E$3:$E$5, sample_log!$E1142), sample_log!$C1142 &amp; "_" &amp; sample_log!$D1142, "")</f>
        <v/>
      </c>
      <c r="C1142" s="5" t="str">
        <f>IF(B1142="", IF(F1142="", "", C1141), IF(sample_log!E1142="Triennial SASS", "tri_params", "params"))</f>
        <v/>
      </c>
      <c r="D1142" s="5" t="str">
        <f>IF(B1142="", "", C1142 &amp; "!" &amp; CHAR(65+MATCH(B1142, params!$B$2:$R$2, 0)))</f>
        <v/>
      </c>
      <c r="E1142" s="5" t="str">
        <f ca="1">IF(B1142="", "", COUNTA(INDIRECT(D1142 &amp; 3):INDIRECT(D1142 &amp; 24)))</f>
        <v/>
      </c>
      <c r="F1142" s="5" t="str">
        <f t="shared" si="36"/>
        <v/>
      </c>
      <c r="G1142" s="5" t="str">
        <f>IF(F1142="", "", IF(B1142&lt;&gt;"", MATCH(B1142, params!$B$2:$R$2, 0), G1141))</f>
        <v/>
      </c>
      <c r="H1142" s="5" t="str">
        <f t="shared" ca="1" si="37"/>
        <v/>
      </c>
      <c r="M1142" s="2"/>
    </row>
    <row r="1143" spans="2:13" ht="15.6" x14ac:dyDescent="0.3">
      <c r="B1143" s="5" t="str">
        <f>IF(COUNTIF(data_val!$E$3:$E$5, sample_log!$E1143), sample_log!$C1143 &amp; "_" &amp; sample_log!$D1143, "")</f>
        <v/>
      </c>
      <c r="C1143" s="5" t="str">
        <f>IF(B1143="", IF(F1143="", "", C1142), IF(sample_log!E1143="Triennial SASS", "tri_params", "params"))</f>
        <v/>
      </c>
      <c r="D1143" s="5" t="str">
        <f>IF(B1143="", "", C1143 &amp; "!" &amp; CHAR(65+MATCH(B1143, params!$B$2:$R$2, 0)))</f>
        <v/>
      </c>
      <c r="E1143" s="5" t="str">
        <f ca="1">IF(B1143="", "", COUNTA(INDIRECT(D1143 &amp; 3):INDIRECT(D1143 &amp; 24)))</f>
        <v/>
      </c>
      <c r="F1143" s="5" t="str">
        <f t="shared" si="36"/>
        <v/>
      </c>
      <c r="G1143" s="5" t="str">
        <f>IF(F1143="", "", IF(B1143&lt;&gt;"", MATCH(B1143, params!$B$2:$R$2, 0), G1142))</f>
        <v/>
      </c>
      <c r="H1143" s="5" t="str">
        <f t="shared" ca="1" si="37"/>
        <v/>
      </c>
      <c r="M1143" s="2"/>
    </row>
    <row r="1144" spans="2:13" ht="15.6" x14ac:dyDescent="0.3">
      <c r="B1144" s="5" t="str">
        <f>IF(COUNTIF(data_val!$E$3:$E$5, sample_log!$E1144), sample_log!$C1144 &amp; "_" &amp; sample_log!$D1144, "")</f>
        <v/>
      </c>
      <c r="C1144" s="5" t="str">
        <f>IF(B1144="", IF(F1144="", "", C1143), IF(sample_log!E1144="Triennial SASS", "tri_params", "params"))</f>
        <v/>
      </c>
      <c r="D1144" s="5" t="str">
        <f>IF(B1144="", "", C1144 &amp; "!" &amp; CHAR(65+MATCH(B1144, params!$B$2:$R$2, 0)))</f>
        <v/>
      </c>
      <c r="E1144" s="5" t="str">
        <f ca="1">IF(B1144="", "", COUNTA(INDIRECT(D1144 &amp; 3):INDIRECT(D1144 &amp; 24)))</f>
        <v/>
      </c>
      <c r="F1144" s="5" t="str">
        <f t="shared" si="36"/>
        <v/>
      </c>
      <c r="G1144" s="5" t="str">
        <f>IF(F1144="", "", IF(B1144&lt;&gt;"", MATCH(B1144, params!$B$2:$R$2, 0), G1143))</f>
        <v/>
      </c>
      <c r="H1144" s="5" t="str">
        <f t="shared" ca="1" si="37"/>
        <v/>
      </c>
      <c r="M1144" s="2"/>
    </row>
    <row r="1145" spans="2:13" ht="15.6" x14ac:dyDescent="0.3">
      <c r="B1145" s="5" t="str">
        <f>IF(COUNTIF(data_val!$E$3:$E$5, sample_log!$E1145), sample_log!$C1145 &amp; "_" &amp; sample_log!$D1145, "")</f>
        <v/>
      </c>
      <c r="C1145" s="5" t="str">
        <f>IF(B1145="", IF(F1145="", "", C1144), IF(sample_log!E1145="Triennial SASS", "tri_params", "params"))</f>
        <v/>
      </c>
      <c r="D1145" s="5" t="str">
        <f>IF(B1145="", "", C1145 &amp; "!" &amp; CHAR(65+MATCH(B1145, params!$B$2:$R$2, 0)))</f>
        <v/>
      </c>
      <c r="E1145" s="5" t="str">
        <f ca="1">IF(B1145="", "", COUNTA(INDIRECT(D1145 &amp; 3):INDIRECT(D1145 &amp; 24)))</f>
        <v/>
      </c>
      <c r="F1145" s="5" t="str">
        <f t="shared" si="36"/>
        <v/>
      </c>
      <c r="G1145" s="5" t="str">
        <f>IF(F1145="", "", IF(B1145&lt;&gt;"", MATCH(B1145, params!$B$2:$R$2, 0), G1144))</f>
        <v/>
      </c>
      <c r="H1145" s="5" t="str">
        <f t="shared" ca="1" si="37"/>
        <v/>
      </c>
      <c r="M1145" s="2"/>
    </row>
    <row r="1146" spans="2:13" ht="15.6" x14ac:dyDescent="0.3">
      <c r="B1146" s="5" t="str">
        <f>IF(COUNTIF(data_val!$E$3:$E$5, sample_log!$E1146), sample_log!$C1146 &amp; "_" &amp; sample_log!$D1146, "")</f>
        <v/>
      </c>
      <c r="C1146" s="5" t="str">
        <f>IF(B1146="", IF(F1146="", "", C1145), IF(sample_log!E1146="Triennial SASS", "tri_params", "params"))</f>
        <v/>
      </c>
      <c r="D1146" s="5" t="str">
        <f>IF(B1146="", "", C1146 &amp; "!" &amp; CHAR(65+MATCH(B1146, params!$B$2:$R$2, 0)))</f>
        <v/>
      </c>
      <c r="E1146" s="5" t="str">
        <f ca="1">IF(B1146="", "", COUNTA(INDIRECT(D1146 &amp; 3):INDIRECT(D1146 &amp; 24)))</f>
        <v/>
      </c>
      <c r="F1146" s="5" t="str">
        <f t="shared" si="36"/>
        <v/>
      </c>
      <c r="G1146" s="5" t="str">
        <f>IF(F1146="", "", IF(B1146&lt;&gt;"", MATCH(B1146, params!$B$2:$R$2, 0), G1145))</f>
        <v/>
      </c>
      <c r="H1146" s="5" t="str">
        <f t="shared" ca="1" si="37"/>
        <v/>
      </c>
      <c r="M1146" s="2"/>
    </row>
    <row r="1147" spans="2:13" ht="15.6" x14ac:dyDescent="0.3">
      <c r="B1147" s="5" t="str">
        <f>IF(COUNTIF(data_val!$E$3:$E$5, sample_log!$E1147), sample_log!$C1147 &amp; "_" &amp; sample_log!$D1147, "")</f>
        <v/>
      </c>
      <c r="C1147" s="5" t="str">
        <f>IF(B1147="", IF(F1147="", "", C1146), IF(sample_log!E1147="Triennial SASS", "tri_params", "params"))</f>
        <v/>
      </c>
      <c r="D1147" s="5" t="str">
        <f>IF(B1147="", "", C1147 &amp; "!" &amp; CHAR(65+MATCH(B1147, params!$B$2:$R$2, 0)))</f>
        <v/>
      </c>
      <c r="E1147" s="5" t="str">
        <f ca="1">IF(B1147="", "", COUNTA(INDIRECT(D1147 &amp; 3):INDIRECT(D1147 &amp; 24)))</f>
        <v/>
      </c>
      <c r="F1147" s="5" t="str">
        <f t="shared" si="36"/>
        <v/>
      </c>
      <c r="G1147" s="5" t="str">
        <f>IF(F1147="", "", IF(B1147&lt;&gt;"", MATCH(B1147, params!$B$2:$R$2, 0), G1146))</f>
        <v/>
      </c>
      <c r="H1147" s="5" t="str">
        <f t="shared" ca="1" si="37"/>
        <v/>
      </c>
      <c r="M1147" s="2"/>
    </row>
    <row r="1148" spans="2:13" ht="15.6" x14ac:dyDescent="0.3">
      <c r="B1148" s="5" t="str">
        <f>IF(COUNTIF(data_val!$E$3:$E$5, sample_log!$E1148), sample_log!$C1148 &amp; "_" &amp; sample_log!$D1148, "")</f>
        <v/>
      </c>
      <c r="C1148" s="5" t="str">
        <f>IF(B1148="", IF(F1148="", "", C1147), IF(sample_log!E1148="Triennial SASS", "tri_params", "params"))</f>
        <v/>
      </c>
      <c r="D1148" s="5" t="str">
        <f>IF(B1148="", "", C1148 &amp; "!" &amp; CHAR(65+MATCH(B1148, params!$B$2:$R$2, 0)))</f>
        <v/>
      </c>
      <c r="E1148" s="5" t="str">
        <f ca="1">IF(B1148="", "", COUNTA(INDIRECT(D1148 &amp; 3):INDIRECT(D1148 &amp; 24)))</f>
        <v/>
      </c>
      <c r="F1148" s="5" t="str">
        <f t="shared" si="36"/>
        <v/>
      </c>
      <c r="G1148" s="5" t="str">
        <f>IF(F1148="", "", IF(B1148&lt;&gt;"", MATCH(B1148, params!$B$2:$R$2, 0), G1147))</f>
        <v/>
      </c>
      <c r="H1148" s="5" t="str">
        <f t="shared" ca="1" si="37"/>
        <v/>
      </c>
      <c r="M1148" s="2"/>
    </row>
    <row r="1149" spans="2:13" ht="15.6" x14ac:dyDescent="0.3">
      <c r="B1149" s="5" t="str">
        <f>IF(COUNTIF(data_val!$E$3:$E$5, sample_log!$E1149), sample_log!$C1149 &amp; "_" &amp; sample_log!$D1149, "")</f>
        <v/>
      </c>
      <c r="C1149" s="5" t="str">
        <f>IF(B1149="", IF(F1149="", "", C1148), IF(sample_log!E1149="Triennial SASS", "tri_params", "params"))</f>
        <v/>
      </c>
      <c r="D1149" s="5" t="str">
        <f>IF(B1149="", "", C1149 &amp; "!" &amp; CHAR(65+MATCH(B1149, params!$B$2:$R$2, 0)))</f>
        <v/>
      </c>
      <c r="E1149" s="5" t="str">
        <f ca="1">IF(B1149="", "", COUNTA(INDIRECT(D1149 &amp; 3):INDIRECT(D1149 &amp; 24)))</f>
        <v/>
      </c>
      <c r="F1149" s="5" t="str">
        <f t="shared" si="36"/>
        <v/>
      </c>
      <c r="G1149" s="5" t="str">
        <f>IF(F1149="", "", IF(B1149&lt;&gt;"", MATCH(B1149, params!$B$2:$R$2, 0), G1148))</f>
        <v/>
      </c>
      <c r="H1149" s="5" t="str">
        <f t="shared" ca="1" si="37"/>
        <v/>
      </c>
      <c r="M1149" s="2"/>
    </row>
    <row r="1150" spans="2:13" ht="15.6" x14ac:dyDescent="0.3">
      <c r="B1150" s="5" t="str">
        <f>IF(COUNTIF(data_val!$E$3:$E$5, sample_log!$E1150), sample_log!$C1150 &amp; "_" &amp; sample_log!$D1150, "")</f>
        <v/>
      </c>
      <c r="C1150" s="5" t="str">
        <f>IF(B1150="", IF(F1150="", "", C1149), IF(sample_log!E1150="Triennial SASS", "tri_params", "params"))</f>
        <v/>
      </c>
      <c r="D1150" s="5" t="str">
        <f>IF(B1150="", "", C1150 &amp; "!" &amp; CHAR(65+MATCH(B1150, params!$B$2:$R$2, 0)))</f>
        <v/>
      </c>
      <c r="E1150" s="5" t="str">
        <f ca="1">IF(B1150="", "", COUNTA(INDIRECT(D1150 &amp; 3):INDIRECT(D1150 &amp; 24)))</f>
        <v/>
      </c>
      <c r="F1150" s="5" t="str">
        <f t="shared" si="36"/>
        <v/>
      </c>
      <c r="G1150" s="5" t="str">
        <f>IF(F1150="", "", IF(B1150&lt;&gt;"", MATCH(B1150, params!$B$2:$R$2, 0), G1149))</f>
        <v/>
      </c>
      <c r="H1150" s="5" t="str">
        <f t="shared" ca="1" si="37"/>
        <v/>
      </c>
      <c r="M1150" s="2"/>
    </row>
    <row r="1151" spans="2:13" ht="15.6" x14ac:dyDescent="0.3">
      <c r="B1151" s="5" t="str">
        <f>IF(COUNTIF(data_val!$E$3:$E$5, sample_log!$E1151), sample_log!$C1151 &amp; "_" &amp; sample_log!$D1151, "")</f>
        <v/>
      </c>
      <c r="C1151" s="5" t="str">
        <f>IF(B1151="", IF(F1151="", "", C1150), IF(sample_log!E1151="Triennial SASS", "tri_params", "params"))</f>
        <v/>
      </c>
      <c r="D1151" s="5" t="str">
        <f>IF(B1151="", "", C1151 &amp; "!" &amp; CHAR(65+MATCH(B1151, params!$B$2:$R$2, 0)))</f>
        <v/>
      </c>
      <c r="E1151" s="5" t="str">
        <f ca="1">IF(B1151="", "", COUNTA(INDIRECT(D1151 &amp; 3):INDIRECT(D1151 &amp; 24)))</f>
        <v/>
      </c>
      <c r="F1151" s="5" t="str">
        <f t="shared" si="36"/>
        <v/>
      </c>
      <c r="G1151" s="5" t="str">
        <f>IF(F1151="", "", IF(B1151&lt;&gt;"", MATCH(B1151, params!$B$2:$R$2, 0), G1150))</f>
        <v/>
      </c>
      <c r="H1151" s="5" t="str">
        <f t="shared" ca="1" si="37"/>
        <v/>
      </c>
      <c r="M1151" s="2"/>
    </row>
    <row r="1152" spans="2:13" ht="15.6" x14ac:dyDescent="0.3">
      <c r="B1152" s="5" t="str">
        <f>IF(COUNTIF(data_val!$E$3:$E$5, sample_log!$E1152), sample_log!$C1152 &amp; "_" &amp; sample_log!$D1152, "")</f>
        <v/>
      </c>
      <c r="C1152" s="5" t="str">
        <f>IF(B1152="", IF(F1152="", "", C1151), IF(sample_log!E1152="Triennial SASS", "tri_params", "params"))</f>
        <v/>
      </c>
      <c r="D1152" s="5" t="str">
        <f>IF(B1152="", "", C1152 &amp; "!" &amp; CHAR(65+MATCH(B1152, params!$B$2:$R$2, 0)))</f>
        <v/>
      </c>
      <c r="E1152" s="5" t="str">
        <f ca="1">IF(B1152="", "", COUNTA(INDIRECT(D1152 &amp; 3):INDIRECT(D1152 &amp; 24)))</f>
        <v/>
      </c>
      <c r="F1152" s="5" t="str">
        <f t="shared" si="36"/>
        <v/>
      </c>
      <c r="G1152" s="5" t="str">
        <f>IF(F1152="", "", IF(B1152&lt;&gt;"", MATCH(B1152, params!$B$2:$R$2, 0), G1151))</f>
        <v/>
      </c>
      <c r="H1152" s="5" t="str">
        <f t="shared" ca="1" si="37"/>
        <v/>
      </c>
      <c r="M1152" s="2"/>
    </row>
    <row r="1153" spans="2:13" ht="15.6" x14ac:dyDescent="0.3">
      <c r="B1153" s="5" t="str">
        <f>IF(COUNTIF(data_val!$E$3:$E$5, sample_log!$E1153), sample_log!$C1153 &amp; "_" &amp; sample_log!$D1153, "")</f>
        <v/>
      </c>
      <c r="C1153" s="5" t="str">
        <f>IF(B1153="", IF(F1153="", "", C1152), IF(sample_log!E1153="Triennial SASS", "tri_params", "params"))</f>
        <v/>
      </c>
      <c r="D1153" s="5" t="str">
        <f>IF(B1153="", "", C1153 &amp; "!" &amp; CHAR(65+MATCH(B1153, params!$B$2:$R$2, 0)))</f>
        <v/>
      </c>
      <c r="E1153" s="5" t="str">
        <f ca="1">IF(B1153="", "", COUNTA(INDIRECT(D1153 &amp; 3):INDIRECT(D1153 &amp; 24)))</f>
        <v/>
      </c>
      <c r="F1153" s="5" t="str">
        <f t="shared" si="36"/>
        <v/>
      </c>
      <c r="G1153" s="5" t="str">
        <f>IF(F1153="", "", IF(B1153&lt;&gt;"", MATCH(B1153, params!$B$2:$R$2, 0), G1152))</f>
        <v/>
      </c>
      <c r="H1153" s="5" t="str">
        <f t="shared" ca="1" si="37"/>
        <v/>
      </c>
      <c r="M1153" s="2"/>
    </row>
    <row r="1154" spans="2:13" ht="15.6" x14ac:dyDescent="0.3">
      <c r="B1154" s="5" t="str">
        <f>IF(COUNTIF(data_val!$E$3:$E$5, sample_log!$E1154), sample_log!$C1154 &amp; "_" &amp; sample_log!$D1154, "")</f>
        <v/>
      </c>
      <c r="C1154" s="5" t="str">
        <f>IF(B1154="", IF(F1154="", "", C1153), IF(sample_log!E1154="Triennial SASS", "tri_params", "params"))</f>
        <v/>
      </c>
      <c r="D1154" s="5" t="str">
        <f>IF(B1154="", "", C1154 &amp; "!" &amp; CHAR(65+MATCH(B1154, params!$B$2:$R$2, 0)))</f>
        <v/>
      </c>
      <c r="E1154" s="5" t="str">
        <f ca="1">IF(B1154="", "", COUNTA(INDIRECT(D1154 &amp; 3):INDIRECT(D1154 &amp; 24)))</f>
        <v/>
      </c>
      <c r="F1154" s="5" t="str">
        <f t="shared" si="36"/>
        <v/>
      </c>
      <c r="G1154" s="5" t="str">
        <f>IF(F1154="", "", IF(B1154&lt;&gt;"", MATCH(B1154, params!$B$2:$R$2, 0), G1153))</f>
        <v/>
      </c>
      <c r="H1154" s="5" t="str">
        <f t="shared" ca="1" si="37"/>
        <v/>
      </c>
      <c r="M1154" s="2"/>
    </row>
    <row r="1155" spans="2:13" ht="15.6" x14ac:dyDescent="0.3">
      <c r="B1155" s="5" t="str">
        <f>IF(COUNTIF(data_val!$E$3:$E$5, sample_log!$E1155), sample_log!$C1155 &amp; "_" &amp; sample_log!$D1155, "")</f>
        <v/>
      </c>
      <c r="C1155" s="5" t="str">
        <f>IF(B1155="", IF(F1155="", "", C1154), IF(sample_log!E1155="Triennial SASS", "tri_params", "params"))</f>
        <v/>
      </c>
      <c r="D1155" s="5" t="str">
        <f>IF(B1155="", "", C1155 &amp; "!" &amp; CHAR(65+MATCH(B1155, params!$B$2:$R$2, 0)))</f>
        <v/>
      </c>
      <c r="E1155" s="5" t="str">
        <f ca="1">IF(B1155="", "", COUNTA(INDIRECT(D1155 &amp; 3):INDIRECT(D1155 &amp; 24)))</f>
        <v/>
      </c>
      <c r="F1155" s="5" t="str">
        <f t="shared" ref="F1155:F1218" si="38">IF(B1155="", IF(NOT(ISNUMBER(F1154)), "", IF(F1154-1&gt;0, F1154-1, "")), E1155)</f>
        <v/>
      </c>
      <c r="G1155" s="5" t="str">
        <f>IF(F1155="", "", IF(B1155&lt;&gt;"", MATCH(B1155, params!$B$2:$R$2, 0), G1154))</f>
        <v/>
      </c>
      <c r="H1155" s="5" t="str">
        <f t="shared" ca="1" si="37"/>
        <v/>
      </c>
      <c r="M1155" s="2"/>
    </row>
    <row r="1156" spans="2:13" ht="15.6" x14ac:dyDescent="0.3">
      <c r="B1156" s="5" t="str">
        <f>IF(COUNTIF(data_val!$E$3:$E$5, sample_log!$E1156), sample_log!$C1156 &amp; "_" &amp; sample_log!$D1156, "")</f>
        <v/>
      </c>
      <c r="C1156" s="5" t="str">
        <f>IF(B1156="", IF(F1156="", "", C1155), IF(sample_log!E1156="Triennial SASS", "tri_params", "params"))</f>
        <v/>
      </c>
      <c r="D1156" s="5" t="str">
        <f>IF(B1156="", "", C1156 &amp; "!" &amp; CHAR(65+MATCH(B1156, params!$B$2:$R$2, 0)))</f>
        <v/>
      </c>
      <c r="E1156" s="5" t="str">
        <f ca="1">IF(B1156="", "", COUNTA(INDIRECT(D1156 &amp; 3):INDIRECT(D1156 &amp; 24)))</f>
        <v/>
      </c>
      <c r="F1156" s="5" t="str">
        <f t="shared" si="38"/>
        <v/>
      </c>
      <c r="G1156" s="5" t="str">
        <f>IF(F1156="", "", IF(B1156&lt;&gt;"", MATCH(B1156, params!$B$2:$R$2, 0), G1155))</f>
        <v/>
      </c>
      <c r="H1156" s="5" t="str">
        <f t="shared" ca="1" si="37"/>
        <v/>
      </c>
      <c r="M1156" s="2"/>
    </row>
    <row r="1157" spans="2:13" ht="15.6" x14ac:dyDescent="0.3">
      <c r="B1157" s="5" t="str">
        <f>IF(COUNTIF(data_val!$E$3:$E$5, sample_log!$E1157), sample_log!$C1157 &amp; "_" &amp; sample_log!$D1157, "")</f>
        <v/>
      </c>
      <c r="C1157" s="5" t="str">
        <f>IF(B1157="", IF(F1157="", "", C1156), IF(sample_log!E1157="Triennial SASS", "tri_params", "params"))</f>
        <v/>
      </c>
      <c r="D1157" s="5" t="str">
        <f>IF(B1157="", "", C1157 &amp; "!" &amp; CHAR(65+MATCH(B1157, params!$B$2:$R$2, 0)))</f>
        <v/>
      </c>
      <c r="E1157" s="5" t="str">
        <f ca="1">IF(B1157="", "", COUNTA(INDIRECT(D1157 &amp; 3):INDIRECT(D1157 &amp; 24)))</f>
        <v/>
      </c>
      <c r="F1157" s="5" t="str">
        <f t="shared" si="38"/>
        <v/>
      </c>
      <c r="G1157" s="5" t="str">
        <f>IF(F1157="", "", IF(B1157&lt;&gt;"", MATCH(B1157, params!$B$2:$R$2, 0), G1156))</f>
        <v/>
      </c>
      <c r="H1157" s="5" t="str">
        <f t="shared" ca="1" si="37"/>
        <v/>
      </c>
      <c r="M1157" s="2"/>
    </row>
    <row r="1158" spans="2:13" ht="15.6" x14ac:dyDescent="0.3">
      <c r="B1158" s="5" t="str">
        <f>IF(COUNTIF(data_val!$E$3:$E$5, sample_log!$E1158), sample_log!$C1158 &amp; "_" &amp; sample_log!$D1158, "")</f>
        <v/>
      </c>
      <c r="C1158" s="5" t="str">
        <f>IF(B1158="", IF(F1158="", "", C1157), IF(sample_log!E1158="Triennial SASS", "tri_params", "params"))</f>
        <v/>
      </c>
      <c r="D1158" s="5" t="str">
        <f>IF(B1158="", "", C1158 &amp; "!" &amp; CHAR(65+MATCH(B1158, params!$B$2:$R$2, 0)))</f>
        <v/>
      </c>
      <c r="E1158" s="5" t="str">
        <f ca="1">IF(B1158="", "", COUNTA(INDIRECT(D1158 &amp; 3):INDIRECT(D1158 &amp; 24)))</f>
        <v/>
      </c>
      <c r="F1158" s="5" t="str">
        <f t="shared" si="38"/>
        <v/>
      </c>
      <c r="G1158" s="5" t="str">
        <f>IF(F1158="", "", IF(B1158&lt;&gt;"", MATCH(B1158, params!$B$2:$R$2, 0), G1157))</f>
        <v/>
      </c>
      <c r="H1158" s="5" t="str">
        <f t="shared" ca="1" si="37"/>
        <v/>
      </c>
      <c r="M1158" s="2"/>
    </row>
    <row r="1159" spans="2:13" ht="15.6" x14ac:dyDescent="0.3">
      <c r="B1159" s="5" t="str">
        <f>IF(COUNTIF(data_val!$E$3:$E$5, sample_log!$E1159), sample_log!$C1159 &amp; "_" &amp; sample_log!$D1159, "")</f>
        <v/>
      </c>
      <c r="C1159" s="5" t="str">
        <f>IF(B1159="", IF(F1159="", "", C1158), IF(sample_log!E1159="Triennial SASS", "tri_params", "params"))</f>
        <v/>
      </c>
      <c r="D1159" s="5" t="str">
        <f>IF(B1159="", "", C1159 &amp; "!" &amp; CHAR(65+MATCH(B1159, params!$B$2:$R$2, 0)))</f>
        <v/>
      </c>
      <c r="E1159" s="5" t="str">
        <f ca="1">IF(B1159="", "", COUNTA(INDIRECT(D1159 &amp; 3):INDIRECT(D1159 &amp; 24)))</f>
        <v/>
      </c>
      <c r="F1159" s="5" t="str">
        <f t="shared" si="38"/>
        <v/>
      </c>
      <c r="G1159" s="5" t="str">
        <f>IF(F1159="", "", IF(B1159&lt;&gt;"", MATCH(B1159, params!$B$2:$R$2, 0), G1158))</f>
        <v/>
      </c>
      <c r="H1159" s="5" t="str">
        <f t="shared" ca="1" si="37"/>
        <v/>
      </c>
      <c r="M1159" s="2"/>
    </row>
    <row r="1160" spans="2:13" ht="15.6" x14ac:dyDescent="0.3">
      <c r="B1160" s="5" t="str">
        <f>IF(COUNTIF(data_val!$E$3:$E$5, sample_log!$E1160), sample_log!$C1160 &amp; "_" &amp; sample_log!$D1160, "")</f>
        <v/>
      </c>
      <c r="C1160" s="5" t="str">
        <f>IF(B1160="", IF(F1160="", "", C1159), IF(sample_log!E1160="Triennial SASS", "tri_params", "params"))</f>
        <v/>
      </c>
      <c r="D1160" s="5" t="str">
        <f>IF(B1160="", "", C1160 &amp; "!" &amp; CHAR(65+MATCH(B1160, params!$B$2:$R$2, 0)))</f>
        <v/>
      </c>
      <c r="E1160" s="5" t="str">
        <f ca="1">IF(B1160="", "", COUNTA(INDIRECT(D1160 &amp; 3):INDIRECT(D1160 &amp; 24)))</f>
        <v/>
      </c>
      <c r="F1160" s="5" t="str">
        <f t="shared" si="38"/>
        <v/>
      </c>
      <c r="G1160" s="5" t="str">
        <f>IF(F1160="", "", IF(B1160&lt;&gt;"", MATCH(B1160, params!$B$2:$R$2, 0), G1159))</f>
        <v/>
      </c>
      <c r="H1160" s="5" t="str">
        <f t="shared" ca="1" si="37"/>
        <v/>
      </c>
      <c r="M1160" s="2"/>
    </row>
    <row r="1161" spans="2:13" ht="15.6" x14ac:dyDescent="0.3">
      <c r="B1161" s="5" t="str">
        <f>IF(COUNTIF(data_val!$E$3:$E$5, sample_log!$E1161), sample_log!$C1161 &amp; "_" &amp; sample_log!$D1161, "")</f>
        <v/>
      </c>
      <c r="C1161" s="5" t="str">
        <f>IF(B1161="", IF(F1161="", "", C1160), IF(sample_log!E1161="Triennial SASS", "tri_params", "params"))</f>
        <v/>
      </c>
      <c r="D1161" s="5" t="str">
        <f>IF(B1161="", "", C1161 &amp; "!" &amp; CHAR(65+MATCH(B1161, params!$B$2:$R$2, 0)))</f>
        <v/>
      </c>
      <c r="E1161" s="5" t="str">
        <f ca="1">IF(B1161="", "", COUNTA(INDIRECT(D1161 &amp; 3):INDIRECT(D1161 &amp; 24)))</f>
        <v/>
      </c>
      <c r="F1161" s="5" t="str">
        <f t="shared" si="38"/>
        <v/>
      </c>
      <c r="G1161" s="5" t="str">
        <f>IF(F1161="", "", IF(B1161&lt;&gt;"", MATCH(B1161, params!$B$2:$R$2, 0), G1160))</f>
        <v/>
      </c>
      <c r="H1161" s="5" t="str">
        <f t="shared" ca="1" si="37"/>
        <v/>
      </c>
      <c r="M1161" s="2"/>
    </row>
    <row r="1162" spans="2:13" ht="15.6" x14ac:dyDescent="0.3">
      <c r="B1162" s="5" t="str">
        <f>IF(COUNTIF(data_val!$E$3:$E$5, sample_log!$E1162), sample_log!$C1162 &amp; "_" &amp; sample_log!$D1162, "")</f>
        <v/>
      </c>
      <c r="C1162" s="5" t="str">
        <f>IF(B1162="", IF(F1162="", "", C1161), IF(sample_log!E1162="Triennial SASS", "tri_params", "params"))</f>
        <v/>
      </c>
      <c r="D1162" s="5" t="str">
        <f>IF(B1162="", "", C1162 &amp; "!" &amp; CHAR(65+MATCH(B1162, params!$B$2:$R$2, 0)))</f>
        <v/>
      </c>
      <c r="E1162" s="5" t="str">
        <f ca="1">IF(B1162="", "", COUNTA(INDIRECT(D1162 &amp; 3):INDIRECT(D1162 &amp; 24)))</f>
        <v/>
      </c>
      <c r="F1162" s="5" t="str">
        <f t="shared" si="38"/>
        <v/>
      </c>
      <c r="G1162" s="5" t="str">
        <f>IF(F1162="", "", IF(B1162&lt;&gt;"", MATCH(B1162, params!$B$2:$R$2, 0), G1161))</f>
        <v/>
      </c>
      <c r="H1162" s="5" t="str">
        <f t="shared" ca="1" si="37"/>
        <v/>
      </c>
      <c r="M1162" s="2"/>
    </row>
    <row r="1163" spans="2:13" ht="15.6" x14ac:dyDescent="0.3">
      <c r="B1163" s="5" t="str">
        <f>IF(COUNTIF(data_val!$E$3:$E$5, sample_log!$E1163), sample_log!$C1163 &amp; "_" &amp; sample_log!$D1163, "")</f>
        <v/>
      </c>
      <c r="C1163" s="5" t="str">
        <f>IF(B1163="", IF(F1163="", "", C1162), IF(sample_log!E1163="Triennial SASS", "tri_params", "params"))</f>
        <v/>
      </c>
      <c r="D1163" s="5" t="str">
        <f>IF(B1163="", "", C1163 &amp; "!" &amp; CHAR(65+MATCH(B1163, params!$B$2:$R$2, 0)))</f>
        <v/>
      </c>
      <c r="E1163" s="5" t="str">
        <f ca="1">IF(B1163="", "", COUNTA(INDIRECT(D1163 &amp; 3):INDIRECT(D1163 &amp; 24)))</f>
        <v/>
      </c>
      <c r="F1163" s="5" t="str">
        <f t="shared" si="38"/>
        <v/>
      </c>
      <c r="G1163" s="5" t="str">
        <f>IF(F1163="", "", IF(B1163&lt;&gt;"", MATCH(B1163, params!$B$2:$R$2, 0), G1162))</f>
        <v/>
      </c>
      <c r="H1163" s="5" t="str">
        <f t="shared" ca="1" si="37"/>
        <v/>
      </c>
      <c r="M1163" s="2"/>
    </row>
    <row r="1164" spans="2:13" ht="15.6" x14ac:dyDescent="0.3">
      <c r="B1164" s="5" t="str">
        <f>IF(COUNTIF(data_val!$E$3:$E$5, sample_log!$E1164), sample_log!$C1164 &amp; "_" &amp; sample_log!$D1164, "")</f>
        <v/>
      </c>
      <c r="C1164" s="5" t="str">
        <f>IF(B1164="", IF(F1164="", "", C1163), IF(sample_log!E1164="Triennial SASS", "tri_params", "params"))</f>
        <v/>
      </c>
      <c r="D1164" s="5" t="str">
        <f>IF(B1164="", "", C1164 &amp; "!" &amp; CHAR(65+MATCH(B1164, params!$B$2:$R$2, 0)))</f>
        <v/>
      </c>
      <c r="E1164" s="5" t="str">
        <f ca="1">IF(B1164="", "", COUNTA(INDIRECT(D1164 &amp; 3):INDIRECT(D1164 &amp; 24)))</f>
        <v/>
      </c>
      <c r="F1164" s="5" t="str">
        <f t="shared" si="38"/>
        <v/>
      </c>
      <c r="G1164" s="5" t="str">
        <f>IF(F1164="", "", IF(B1164&lt;&gt;"", MATCH(B1164, params!$B$2:$R$2, 0), G1163))</f>
        <v/>
      </c>
      <c r="H1164" s="5" t="str">
        <f t="shared" ca="1" si="37"/>
        <v/>
      </c>
      <c r="M1164" s="2"/>
    </row>
    <row r="1165" spans="2:13" ht="15.6" x14ac:dyDescent="0.3">
      <c r="B1165" s="5" t="str">
        <f>IF(COUNTIF(data_val!$E$3:$E$5, sample_log!$E1165), sample_log!$C1165 &amp; "_" &amp; sample_log!$D1165, "")</f>
        <v/>
      </c>
      <c r="C1165" s="5" t="str">
        <f>IF(B1165="", IF(F1165="", "", C1164), IF(sample_log!E1165="Triennial SASS", "tri_params", "params"))</f>
        <v/>
      </c>
      <c r="D1165" s="5" t="str">
        <f>IF(B1165="", "", C1165 &amp; "!" &amp; CHAR(65+MATCH(B1165, params!$B$2:$R$2, 0)))</f>
        <v/>
      </c>
      <c r="E1165" s="5" t="str">
        <f ca="1">IF(B1165="", "", COUNTA(INDIRECT(D1165 &amp; 3):INDIRECT(D1165 &amp; 24)))</f>
        <v/>
      </c>
      <c r="F1165" s="5" t="str">
        <f t="shared" si="38"/>
        <v/>
      </c>
      <c r="G1165" s="5" t="str">
        <f>IF(F1165="", "", IF(B1165&lt;&gt;"", MATCH(B1165, params!$B$2:$R$2, 0), G1164))</f>
        <v/>
      </c>
      <c r="H1165" s="5" t="str">
        <f t="shared" ca="1" si="37"/>
        <v/>
      </c>
      <c r="M1165" s="2"/>
    </row>
    <row r="1166" spans="2:13" ht="15.6" x14ac:dyDescent="0.3">
      <c r="B1166" s="5" t="str">
        <f>IF(COUNTIF(data_val!$E$3:$E$5, sample_log!$E1166), sample_log!$C1166 &amp; "_" &amp; sample_log!$D1166, "")</f>
        <v/>
      </c>
      <c r="C1166" s="5" t="str">
        <f>IF(B1166="", IF(F1166="", "", C1165), IF(sample_log!E1166="Triennial SASS", "tri_params", "params"))</f>
        <v/>
      </c>
      <c r="D1166" s="5" t="str">
        <f>IF(B1166="", "", C1166 &amp; "!" &amp; CHAR(65+MATCH(B1166, params!$B$2:$R$2, 0)))</f>
        <v/>
      </c>
      <c r="E1166" s="5" t="str">
        <f ca="1">IF(B1166="", "", COUNTA(INDIRECT(D1166 &amp; 3):INDIRECT(D1166 &amp; 24)))</f>
        <v/>
      </c>
      <c r="F1166" s="5" t="str">
        <f t="shared" si="38"/>
        <v/>
      </c>
      <c r="G1166" s="5" t="str">
        <f>IF(F1166="", "", IF(B1166&lt;&gt;"", MATCH(B1166, params!$B$2:$R$2, 0), G1165))</f>
        <v/>
      </c>
      <c r="H1166" s="5" t="str">
        <f t="shared" ca="1" si="37"/>
        <v/>
      </c>
      <c r="M1166" s="2"/>
    </row>
    <row r="1167" spans="2:13" ht="15.6" x14ac:dyDescent="0.3">
      <c r="B1167" s="5" t="str">
        <f>IF(COUNTIF(data_val!$E$3:$E$5, sample_log!$E1167), sample_log!$C1167 &amp; "_" &amp; sample_log!$D1167, "")</f>
        <v/>
      </c>
      <c r="C1167" s="5" t="str">
        <f>IF(B1167="", IF(F1167="", "", C1166), IF(sample_log!E1167="Triennial SASS", "tri_params", "params"))</f>
        <v/>
      </c>
      <c r="D1167" s="5" t="str">
        <f>IF(B1167="", "", C1167 &amp; "!" &amp; CHAR(65+MATCH(B1167, params!$B$2:$R$2, 0)))</f>
        <v/>
      </c>
      <c r="E1167" s="5" t="str">
        <f ca="1">IF(B1167="", "", COUNTA(INDIRECT(D1167 &amp; 3):INDIRECT(D1167 &amp; 24)))</f>
        <v/>
      </c>
      <c r="F1167" s="5" t="str">
        <f t="shared" si="38"/>
        <v/>
      </c>
      <c r="G1167" s="5" t="str">
        <f>IF(F1167="", "", IF(B1167&lt;&gt;"", MATCH(B1167, params!$B$2:$R$2, 0), G1166))</f>
        <v/>
      </c>
      <c r="H1167" s="5" t="str">
        <f t="shared" ca="1" si="37"/>
        <v/>
      </c>
      <c r="M1167" s="2"/>
    </row>
    <row r="1168" spans="2:13" ht="15.6" x14ac:dyDescent="0.3">
      <c r="B1168" s="5" t="str">
        <f>IF(COUNTIF(data_val!$E$3:$E$5, sample_log!$E1168), sample_log!$C1168 &amp; "_" &amp; sample_log!$D1168, "")</f>
        <v/>
      </c>
      <c r="C1168" s="5" t="str">
        <f>IF(B1168="", IF(F1168="", "", C1167), IF(sample_log!E1168="Triennial SASS", "tri_params", "params"))</f>
        <v/>
      </c>
      <c r="D1168" s="5" t="str">
        <f>IF(B1168="", "", C1168 &amp; "!" &amp; CHAR(65+MATCH(B1168, params!$B$2:$R$2, 0)))</f>
        <v/>
      </c>
      <c r="E1168" s="5" t="str">
        <f ca="1">IF(B1168="", "", COUNTA(INDIRECT(D1168 &amp; 3):INDIRECT(D1168 &amp; 24)))</f>
        <v/>
      </c>
      <c r="F1168" s="5" t="str">
        <f t="shared" si="38"/>
        <v/>
      </c>
      <c r="G1168" s="5" t="str">
        <f>IF(F1168="", "", IF(B1168&lt;&gt;"", MATCH(B1168, params!$B$2:$R$2, 0), G1167))</f>
        <v/>
      </c>
      <c r="H1168" s="5" t="str">
        <f t="shared" ca="1" si="37"/>
        <v/>
      </c>
      <c r="M1168" s="2"/>
    </row>
    <row r="1169" spans="2:13" ht="15.6" x14ac:dyDescent="0.3">
      <c r="B1169" s="5" t="str">
        <f>IF(COUNTIF(data_val!$E$3:$E$5, sample_log!$E1169), sample_log!$C1169 &amp; "_" &amp; sample_log!$D1169, "")</f>
        <v/>
      </c>
      <c r="C1169" s="5" t="str">
        <f>IF(B1169="", IF(F1169="", "", C1168), IF(sample_log!E1169="Triennial SASS", "tri_params", "params"))</f>
        <v/>
      </c>
      <c r="D1169" s="5" t="str">
        <f>IF(B1169="", "", C1169 &amp; "!" &amp; CHAR(65+MATCH(B1169, params!$B$2:$R$2, 0)))</f>
        <v/>
      </c>
      <c r="E1169" s="5" t="str">
        <f ca="1">IF(B1169="", "", COUNTA(INDIRECT(D1169 &amp; 3):INDIRECT(D1169 &amp; 24)))</f>
        <v/>
      </c>
      <c r="F1169" s="5" t="str">
        <f t="shared" si="38"/>
        <v/>
      </c>
      <c r="G1169" s="5" t="str">
        <f>IF(F1169="", "", IF(B1169&lt;&gt;"", MATCH(B1169, params!$B$2:$R$2, 0), G1168))</f>
        <v/>
      </c>
      <c r="H1169" s="5" t="str">
        <f t="shared" ca="1" si="37"/>
        <v/>
      </c>
      <c r="M1169" s="2"/>
    </row>
    <row r="1170" spans="2:13" ht="15.6" x14ac:dyDescent="0.3">
      <c r="B1170" s="5" t="str">
        <f>IF(COUNTIF(data_val!$E$3:$E$5, sample_log!$E1170), sample_log!$C1170 &amp; "_" &amp; sample_log!$D1170, "")</f>
        <v/>
      </c>
      <c r="C1170" s="5" t="str">
        <f>IF(B1170="", IF(F1170="", "", C1169), IF(sample_log!E1170="Triennial SASS", "tri_params", "params"))</f>
        <v/>
      </c>
      <c r="D1170" s="5" t="str">
        <f>IF(B1170="", "", C1170 &amp; "!" &amp; CHAR(65+MATCH(B1170, params!$B$2:$R$2, 0)))</f>
        <v/>
      </c>
      <c r="E1170" s="5" t="str">
        <f ca="1">IF(B1170="", "", COUNTA(INDIRECT(D1170 &amp; 3):INDIRECT(D1170 &amp; 24)))</f>
        <v/>
      </c>
      <c r="F1170" s="5" t="str">
        <f t="shared" si="38"/>
        <v/>
      </c>
      <c r="G1170" s="5" t="str">
        <f>IF(F1170="", "", IF(B1170&lt;&gt;"", MATCH(B1170, params!$B$2:$R$2, 0), G1169))</f>
        <v/>
      </c>
      <c r="H1170" s="5" t="str">
        <f t="shared" ca="1" si="37"/>
        <v/>
      </c>
      <c r="M1170" s="2"/>
    </row>
    <row r="1171" spans="2:13" ht="15.6" x14ac:dyDescent="0.3">
      <c r="B1171" s="5" t="str">
        <f>IF(COUNTIF(data_val!$E$3:$E$5, sample_log!$E1171), sample_log!$C1171 &amp; "_" &amp; sample_log!$D1171, "")</f>
        <v/>
      </c>
      <c r="C1171" s="5" t="str">
        <f>IF(B1171="", IF(F1171="", "", C1170), IF(sample_log!E1171="Triennial SASS", "tri_params", "params"))</f>
        <v/>
      </c>
      <c r="D1171" s="5" t="str">
        <f>IF(B1171="", "", C1171 &amp; "!" &amp; CHAR(65+MATCH(B1171, params!$B$2:$R$2, 0)))</f>
        <v/>
      </c>
      <c r="E1171" s="5" t="str">
        <f ca="1">IF(B1171="", "", COUNTA(INDIRECT(D1171 &amp; 3):INDIRECT(D1171 &amp; 24)))</f>
        <v/>
      </c>
      <c r="F1171" s="5" t="str">
        <f t="shared" si="38"/>
        <v/>
      </c>
      <c r="G1171" s="5" t="str">
        <f>IF(F1171="", "", IF(B1171&lt;&gt;"", MATCH(B1171, params!$B$2:$R$2, 0), G1170))</f>
        <v/>
      </c>
      <c r="H1171" s="5" t="str">
        <f t="shared" ca="1" si="37"/>
        <v/>
      </c>
      <c r="M1171" s="2"/>
    </row>
    <row r="1172" spans="2:13" ht="15.6" x14ac:dyDescent="0.3">
      <c r="B1172" s="5" t="str">
        <f>IF(COUNTIF(data_val!$E$3:$E$5, sample_log!$E1172), sample_log!$C1172 &amp; "_" &amp; sample_log!$D1172, "")</f>
        <v/>
      </c>
      <c r="C1172" s="5" t="str">
        <f>IF(B1172="", IF(F1172="", "", C1171), IF(sample_log!E1172="Triennial SASS", "tri_params", "params"))</f>
        <v/>
      </c>
      <c r="D1172" s="5" t="str">
        <f>IF(B1172="", "", C1172 &amp; "!" &amp; CHAR(65+MATCH(B1172, params!$B$2:$R$2, 0)))</f>
        <v/>
      </c>
      <c r="E1172" s="5" t="str">
        <f ca="1">IF(B1172="", "", COUNTA(INDIRECT(D1172 &amp; 3):INDIRECT(D1172 &amp; 24)))</f>
        <v/>
      </c>
      <c r="F1172" s="5" t="str">
        <f t="shared" si="38"/>
        <v/>
      </c>
      <c r="G1172" s="5" t="str">
        <f>IF(F1172="", "", IF(B1172&lt;&gt;"", MATCH(B1172, params!$B$2:$R$2, 0), G1171))</f>
        <v/>
      </c>
      <c r="H1172" s="5" t="str">
        <f t="shared" ca="1" si="37"/>
        <v/>
      </c>
      <c r="M1172" s="2"/>
    </row>
    <row r="1173" spans="2:13" ht="15.6" x14ac:dyDescent="0.3">
      <c r="B1173" s="5" t="str">
        <f>IF(COUNTIF(data_val!$E$3:$E$5, sample_log!$E1173), sample_log!$C1173 &amp; "_" &amp; sample_log!$D1173, "")</f>
        <v/>
      </c>
      <c r="C1173" s="5" t="str">
        <f>IF(B1173="", IF(F1173="", "", C1172), IF(sample_log!E1173="Triennial SASS", "tri_params", "params"))</f>
        <v/>
      </c>
      <c r="D1173" s="5" t="str">
        <f>IF(B1173="", "", C1173 &amp; "!" &amp; CHAR(65+MATCH(B1173, params!$B$2:$R$2, 0)))</f>
        <v/>
      </c>
      <c r="E1173" s="5" t="str">
        <f ca="1">IF(B1173="", "", COUNTA(INDIRECT(D1173 &amp; 3):INDIRECT(D1173 &amp; 24)))</f>
        <v/>
      </c>
      <c r="F1173" s="5" t="str">
        <f t="shared" si="38"/>
        <v/>
      </c>
      <c r="G1173" s="5" t="str">
        <f>IF(F1173="", "", IF(B1173&lt;&gt;"", MATCH(B1173, params!$B$2:$R$2, 0), G1172))</f>
        <v/>
      </c>
      <c r="H1173" s="5" t="str">
        <f t="shared" ca="1" si="37"/>
        <v/>
      </c>
      <c r="M1173" s="2"/>
    </row>
    <row r="1174" spans="2:13" ht="15.6" x14ac:dyDescent="0.3">
      <c r="B1174" s="5" t="str">
        <f>IF(COUNTIF(data_val!$E$3:$E$5, sample_log!$E1174), sample_log!$C1174 &amp; "_" &amp; sample_log!$D1174, "")</f>
        <v/>
      </c>
      <c r="C1174" s="5" t="str">
        <f>IF(B1174="", IF(F1174="", "", C1173), IF(sample_log!E1174="Triennial SASS", "tri_params", "params"))</f>
        <v/>
      </c>
      <c r="D1174" s="5" t="str">
        <f>IF(B1174="", "", C1174 &amp; "!" &amp; CHAR(65+MATCH(B1174, params!$B$2:$R$2, 0)))</f>
        <v/>
      </c>
      <c r="E1174" s="5" t="str">
        <f ca="1">IF(B1174="", "", COUNTA(INDIRECT(D1174 &amp; 3):INDIRECT(D1174 &amp; 24)))</f>
        <v/>
      </c>
      <c r="F1174" s="5" t="str">
        <f t="shared" si="38"/>
        <v/>
      </c>
      <c r="G1174" s="5" t="str">
        <f>IF(F1174="", "", IF(B1174&lt;&gt;"", MATCH(B1174, params!$B$2:$R$2, 0), G1173))</f>
        <v/>
      </c>
      <c r="H1174" s="5" t="str">
        <f t="shared" ca="1" si="37"/>
        <v/>
      </c>
      <c r="M1174" s="2"/>
    </row>
    <row r="1175" spans="2:13" ht="15.6" x14ac:dyDescent="0.3">
      <c r="B1175" s="5" t="str">
        <f>IF(COUNTIF(data_val!$E$3:$E$5, sample_log!$E1175), sample_log!$C1175 &amp; "_" &amp; sample_log!$D1175, "")</f>
        <v/>
      </c>
      <c r="C1175" s="5" t="str">
        <f>IF(B1175="", IF(F1175="", "", C1174), IF(sample_log!E1175="Triennial SASS", "tri_params", "params"))</f>
        <v/>
      </c>
      <c r="D1175" s="5" t="str">
        <f>IF(B1175="", "", C1175 &amp; "!" &amp; CHAR(65+MATCH(B1175, params!$B$2:$R$2, 0)))</f>
        <v/>
      </c>
      <c r="E1175" s="5" t="str">
        <f ca="1">IF(B1175="", "", COUNTA(INDIRECT(D1175 &amp; 3):INDIRECT(D1175 &amp; 24)))</f>
        <v/>
      </c>
      <c r="F1175" s="5" t="str">
        <f t="shared" si="38"/>
        <v/>
      </c>
      <c r="G1175" s="5" t="str">
        <f>IF(F1175="", "", IF(B1175&lt;&gt;"", MATCH(B1175, params!$B$2:$R$2, 0), G1174))</f>
        <v/>
      </c>
      <c r="H1175" s="5" t="str">
        <f t="shared" ca="1" si="37"/>
        <v/>
      </c>
      <c r="M1175" s="2"/>
    </row>
    <row r="1176" spans="2:13" ht="15.6" x14ac:dyDescent="0.3">
      <c r="B1176" s="5" t="str">
        <f>IF(COUNTIF(data_val!$E$3:$E$5, sample_log!$E1176), sample_log!$C1176 &amp; "_" &amp; sample_log!$D1176, "")</f>
        <v/>
      </c>
      <c r="C1176" s="5" t="str">
        <f>IF(B1176="", IF(F1176="", "", C1175), IF(sample_log!E1176="Triennial SASS", "tri_params", "params"))</f>
        <v/>
      </c>
      <c r="D1176" s="5" t="str">
        <f>IF(B1176="", "", C1176 &amp; "!" &amp; CHAR(65+MATCH(B1176, params!$B$2:$R$2, 0)))</f>
        <v/>
      </c>
      <c r="E1176" s="5" t="str">
        <f ca="1">IF(B1176="", "", COUNTA(INDIRECT(D1176 &amp; 3):INDIRECT(D1176 &amp; 24)))</f>
        <v/>
      </c>
      <c r="F1176" s="5" t="str">
        <f t="shared" si="38"/>
        <v/>
      </c>
      <c r="G1176" s="5" t="str">
        <f>IF(F1176="", "", IF(B1176&lt;&gt;"", MATCH(B1176, params!$B$2:$R$2, 0), G1175))</f>
        <v/>
      </c>
      <c r="H1176" s="5" t="str">
        <f t="shared" ca="1" si="37"/>
        <v/>
      </c>
      <c r="M1176" s="2"/>
    </row>
    <row r="1177" spans="2:13" ht="15.6" x14ac:dyDescent="0.3">
      <c r="B1177" s="5" t="str">
        <f>IF(COUNTIF(data_val!$E$3:$E$5, sample_log!$E1177), sample_log!$C1177 &amp; "_" &amp; sample_log!$D1177, "")</f>
        <v/>
      </c>
      <c r="C1177" s="5" t="str">
        <f>IF(B1177="", IF(F1177="", "", C1176), IF(sample_log!E1177="Triennial SASS", "tri_params", "params"))</f>
        <v/>
      </c>
      <c r="D1177" s="5" t="str">
        <f>IF(B1177="", "", C1177 &amp; "!" &amp; CHAR(65+MATCH(B1177, params!$B$2:$R$2, 0)))</f>
        <v/>
      </c>
      <c r="E1177" s="5" t="str">
        <f ca="1">IF(B1177="", "", COUNTA(INDIRECT(D1177 &amp; 3):INDIRECT(D1177 &amp; 24)))</f>
        <v/>
      </c>
      <c r="F1177" s="5" t="str">
        <f t="shared" si="38"/>
        <v/>
      </c>
      <c r="G1177" s="5" t="str">
        <f>IF(F1177="", "", IF(B1177&lt;&gt;"", MATCH(B1177, params!$B$2:$R$2, 0), G1176))</f>
        <v/>
      </c>
      <c r="H1177" s="5" t="str">
        <f t="shared" ref="H1177:H1240" ca="1" si="39">IF($F1177="", "", INDEX(INDIRECT("'" &amp; C1177 &amp; "'!$B$3:$R$24"), $F1177, $G1177))</f>
        <v/>
      </c>
      <c r="M1177" s="2"/>
    </row>
    <row r="1178" spans="2:13" ht="15.6" x14ac:dyDescent="0.3">
      <c r="B1178" s="5" t="str">
        <f>IF(COUNTIF(data_val!$E$3:$E$5, sample_log!$E1178), sample_log!$C1178 &amp; "_" &amp; sample_log!$D1178, "")</f>
        <v/>
      </c>
      <c r="C1178" s="5" t="str">
        <f>IF(B1178="", IF(F1178="", "", C1177), IF(sample_log!E1178="Triennial SASS", "tri_params", "params"))</f>
        <v/>
      </c>
      <c r="D1178" s="5" t="str">
        <f>IF(B1178="", "", C1178 &amp; "!" &amp; CHAR(65+MATCH(B1178, params!$B$2:$R$2, 0)))</f>
        <v/>
      </c>
      <c r="E1178" s="5" t="str">
        <f ca="1">IF(B1178="", "", COUNTA(INDIRECT(D1178 &amp; 3):INDIRECT(D1178 &amp; 24)))</f>
        <v/>
      </c>
      <c r="F1178" s="5" t="str">
        <f t="shared" si="38"/>
        <v/>
      </c>
      <c r="G1178" s="5" t="str">
        <f>IF(F1178="", "", IF(B1178&lt;&gt;"", MATCH(B1178, params!$B$2:$R$2, 0), G1177))</f>
        <v/>
      </c>
      <c r="H1178" s="5" t="str">
        <f t="shared" ca="1" si="39"/>
        <v/>
      </c>
      <c r="M1178" s="2"/>
    </row>
    <row r="1179" spans="2:13" ht="15.6" x14ac:dyDescent="0.3">
      <c r="B1179" s="5" t="str">
        <f>IF(COUNTIF(data_val!$E$3:$E$5, sample_log!$E1179), sample_log!$C1179 &amp; "_" &amp; sample_log!$D1179, "")</f>
        <v/>
      </c>
      <c r="C1179" s="5" t="str">
        <f>IF(B1179="", IF(F1179="", "", C1178), IF(sample_log!E1179="Triennial SASS", "tri_params", "params"))</f>
        <v/>
      </c>
      <c r="D1179" s="5" t="str">
        <f>IF(B1179="", "", C1179 &amp; "!" &amp; CHAR(65+MATCH(B1179, params!$B$2:$R$2, 0)))</f>
        <v/>
      </c>
      <c r="E1179" s="5" t="str">
        <f ca="1">IF(B1179="", "", COUNTA(INDIRECT(D1179 &amp; 3):INDIRECT(D1179 &amp; 24)))</f>
        <v/>
      </c>
      <c r="F1179" s="5" t="str">
        <f t="shared" si="38"/>
        <v/>
      </c>
      <c r="G1179" s="5" t="str">
        <f>IF(F1179="", "", IF(B1179&lt;&gt;"", MATCH(B1179, params!$B$2:$R$2, 0), G1178))</f>
        <v/>
      </c>
      <c r="H1179" s="5" t="str">
        <f t="shared" ca="1" si="39"/>
        <v/>
      </c>
      <c r="M1179" s="2"/>
    </row>
    <row r="1180" spans="2:13" ht="15.6" x14ac:dyDescent="0.3">
      <c r="B1180" s="5" t="str">
        <f>IF(COUNTIF(data_val!$E$3:$E$5, sample_log!$E1180), sample_log!$C1180 &amp; "_" &amp; sample_log!$D1180, "")</f>
        <v/>
      </c>
      <c r="C1180" s="5" t="str">
        <f>IF(B1180="", IF(F1180="", "", C1179), IF(sample_log!E1180="Triennial SASS", "tri_params", "params"))</f>
        <v/>
      </c>
      <c r="D1180" s="5" t="str">
        <f>IF(B1180="", "", C1180 &amp; "!" &amp; CHAR(65+MATCH(B1180, params!$B$2:$R$2, 0)))</f>
        <v/>
      </c>
      <c r="E1180" s="5" t="str">
        <f ca="1">IF(B1180="", "", COUNTA(INDIRECT(D1180 &amp; 3):INDIRECT(D1180 &amp; 24)))</f>
        <v/>
      </c>
      <c r="F1180" s="5" t="str">
        <f t="shared" si="38"/>
        <v/>
      </c>
      <c r="G1180" s="5" t="str">
        <f>IF(F1180="", "", IF(B1180&lt;&gt;"", MATCH(B1180, params!$B$2:$R$2, 0), G1179))</f>
        <v/>
      </c>
      <c r="H1180" s="5" t="str">
        <f t="shared" ca="1" si="39"/>
        <v/>
      </c>
      <c r="M1180" s="2"/>
    </row>
    <row r="1181" spans="2:13" ht="15.6" x14ac:dyDescent="0.3">
      <c r="B1181" s="5" t="str">
        <f>IF(COUNTIF(data_val!$E$3:$E$5, sample_log!$E1181), sample_log!$C1181 &amp; "_" &amp; sample_log!$D1181, "")</f>
        <v/>
      </c>
      <c r="C1181" s="5" t="str">
        <f>IF(B1181="", IF(F1181="", "", C1180), IF(sample_log!E1181="Triennial SASS", "tri_params", "params"))</f>
        <v/>
      </c>
      <c r="D1181" s="5" t="str">
        <f>IF(B1181="", "", C1181 &amp; "!" &amp; CHAR(65+MATCH(B1181, params!$B$2:$R$2, 0)))</f>
        <v/>
      </c>
      <c r="E1181" s="5" t="str">
        <f ca="1">IF(B1181="", "", COUNTA(INDIRECT(D1181 &amp; 3):INDIRECT(D1181 &amp; 24)))</f>
        <v/>
      </c>
      <c r="F1181" s="5" t="str">
        <f t="shared" si="38"/>
        <v/>
      </c>
      <c r="G1181" s="5" t="str">
        <f>IF(F1181="", "", IF(B1181&lt;&gt;"", MATCH(B1181, params!$B$2:$R$2, 0), G1180))</f>
        <v/>
      </c>
      <c r="H1181" s="5" t="str">
        <f t="shared" ca="1" si="39"/>
        <v/>
      </c>
      <c r="M1181" s="2"/>
    </row>
    <row r="1182" spans="2:13" ht="15.6" x14ac:dyDescent="0.3">
      <c r="B1182" s="5" t="str">
        <f>IF(COUNTIF(data_val!$E$3:$E$5, sample_log!$E1182), sample_log!$C1182 &amp; "_" &amp; sample_log!$D1182, "")</f>
        <v/>
      </c>
      <c r="C1182" s="5" t="str">
        <f>IF(B1182="", IF(F1182="", "", C1181), IF(sample_log!E1182="Triennial SASS", "tri_params", "params"))</f>
        <v/>
      </c>
      <c r="D1182" s="5" t="str">
        <f>IF(B1182="", "", C1182 &amp; "!" &amp; CHAR(65+MATCH(B1182, params!$B$2:$R$2, 0)))</f>
        <v/>
      </c>
      <c r="E1182" s="5" t="str">
        <f ca="1">IF(B1182="", "", COUNTA(INDIRECT(D1182 &amp; 3):INDIRECT(D1182 &amp; 24)))</f>
        <v/>
      </c>
      <c r="F1182" s="5" t="str">
        <f t="shared" si="38"/>
        <v/>
      </c>
      <c r="G1182" s="5" t="str">
        <f>IF(F1182="", "", IF(B1182&lt;&gt;"", MATCH(B1182, params!$B$2:$R$2, 0), G1181))</f>
        <v/>
      </c>
      <c r="H1182" s="5" t="str">
        <f t="shared" ca="1" si="39"/>
        <v/>
      </c>
      <c r="M1182" s="2"/>
    </row>
    <row r="1183" spans="2:13" ht="15.6" x14ac:dyDescent="0.3">
      <c r="B1183" s="5" t="str">
        <f>IF(COUNTIF(data_val!$E$3:$E$5, sample_log!$E1183), sample_log!$C1183 &amp; "_" &amp; sample_log!$D1183, "")</f>
        <v/>
      </c>
      <c r="C1183" s="5" t="str">
        <f>IF(B1183="", IF(F1183="", "", C1182), IF(sample_log!E1183="Triennial SASS", "tri_params", "params"))</f>
        <v/>
      </c>
      <c r="D1183" s="5" t="str">
        <f>IF(B1183="", "", C1183 &amp; "!" &amp; CHAR(65+MATCH(B1183, params!$B$2:$R$2, 0)))</f>
        <v/>
      </c>
      <c r="E1183" s="5" t="str">
        <f ca="1">IF(B1183="", "", COUNTA(INDIRECT(D1183 &amp; 3):INDIRECT(D1183 &amp; 24)))</f>
        <v/>
      </c>
      <c r="F1183" s="5" t="str">
        <f t="shared" si="38"/>
        <v/>
      </c>
      <c r="G1183" s="5" t="str">
        <f>IF(F1183="", "", IF(B1183&lt;&gt;"", MATCH(B1183, params!$B$2:$R$2, 0), G1182))</f>
        <v/>
      </c>
      <c r="H1183" s="5" t="str">
        <f t="shared" ca="1" si="39"/>
        <v/>
      </c>
      <c r="M1183" s="2"/>
    </row>
    <row r="1184" spans="2:13" ht="15.6" x14ac:dyDescent="0.3">
      <c r="B1184" s="5" t="str">
        <f>IF(COUNTIF(data_val!$E$3:$E$5, sample_log!$E1184), sample_log!$C1184 &amp; "_" &amp; sample_log!$D1184, "")</f>
        <v/>
      </c>
      <c r="C1184" s="5" t="str">
        <f>IF(B1184="", IF(F1184="", "", C1183), IF(sample_log!E1184="Triennial SASS", "tri_params", "params"))</f>
        <v/>
      </c>
      <c r="D1184" s="5" t="str">
        <f>IF(B1184="", "", C1184 &amp; "!" &amp; CHAR(65+MATCH(B1184, params!$B$2:$R$2, 0)))</f>
        <v/>
      </c>
      <c r="E1184" s="5" t="str">
        <f ca="1">IF(B1184="", "", COUNTA(INDIRECT(D1184 &amp; 3):INDIRECT(D1184 &amp; 24)))</f>
        <v/>
      </c>
      <c r="F1184" s="5" t="str">
        <f t="shared" si="38"/>
        <v/>
      </c>
      <c r="G1184" s="5" t="str">
        <f>IF(F1184="", "", IF(B1184&lt;&gt;"", MATCH(B1184, params!$B$2:$R$2, 0), G1183))</f>
        <v/>
      </c>
      <c r="H1184" s="5" t="str">
        <f t="shared" ca="1" si="39"/>
        <v/>
      </c>
      <c r="M1184" s="2"/>
    </row>
    <row r="1185" spans="2:13" ht="15.6" x14ac:dyDescent="0.3">
      <c r="B1185" s="5" t="str">
        <f>IF(COUNTIF(data_val!$E$3:$E$5, sample_log!$E1185), sample_log!$C1185 &amp; "_" &amp; sample_log!$D1185, "")</f>
        <v/>
      </c>
      <c r="C1185" s="5" t="str">
        <f>IF(B1185="", IF(F1185="", "", C1184), IF(sample_log!E1185="Triennial SASS", "tri_params", "params"))</f>
        <v/>
      </c>
      <c r="D1185" s="5" t="str">
        <f>IF(B1185="", "", C1185 &amp; "!" &amp; CHAR(65+MATCH(B1185, params!$B$2:$R$2, 0)))</f>
        <v/>
      </c>
      <c r="E1185" s="5" t="str">
        <f ca="1">IF(B1185="", "", COUNTA(INDIRECT(D1185 &amp; 3):INDIRECT(D1185 &amp; 24)))</f>
        <v/>
      </c>
      <c r="F1185" s="5" t="str">
        <f t="shared" si="38"/>
        <v/>
      </c>
      <c r="G1185" s="5" t="str">
        <f>IF(F1185="", "", IF(B1185&lt;&gt;"", MATCH(B1185, params!$B$2:$R$2, 0), G1184))</f>
        <v/>
      </c>
      <c r="H1185" s="5" t="str">
        <f t="shared" ca="1" si="39"/>
        <v/>
      </c>
      <c r="M1185" s="2"/>
    </row>
    <row r="1186" spans="2:13" ht="15.6" x14ac:dyDescent="0.3">
      <c r="B1186" s="5" t="str">
        <f>IF(COUNTIF(data_val!$E$3:$E$5, sample_log!$E1186), sample_log!$C1186 &amp; "_" &amp; sample_log!$D1186, "")</f>
        <v/>
      </c>
      <c r="C1186" s="5" t="str">
        <f>IF(B1186="", IF(F1186="", "", C1185), IF(sample_log!E1186="Triennial SASS", "tri_params", "params"))</f>
        <v/>
      </c>
      <c r="D1186" s="5" t="str">
        <f>IF(B1186="", "", C1186 &amp; "!" &amp; CHAR(65+MATCH(B1186, params!$B$2:$R$2, 0)))</f>
        <v/>
      </c>
      <c r="E1186" s="5" t="str">
        <f ca="1">IF(B1186="", "", COUNTA(INDIRECT(D1186 &amp; 3):INDIRECT(D1186 &amp; 24)))</f>
        <v/>
      </c>
      <c r="F1186" s="5" t="str">
        <f t="shared" si="38"/>
        <v/>
      </c>
      <c r="G1186" s="5" t="str">
        <f>IF(F1186="", "", IF(B1186&lt;&gt;"", MATCH(B1186, params!$B$2:$R$2, 0), G1185))</f>
        <v/>
      </c>
      <c r="H1186" s="5" t="str">
        <f t="shared" ca="1" si="39"/>
        <v/>
      </c>
      <c r="M1186" s="2"/>
    </row>
    <row r="1187" spans="2:13" ht="15.6" x14ac:dyDescent="0.3">
      <c r="B1187" s="5" t="str">
        <f>IF(COUNTIF(data_val!$E$3:$E$5, sample_log!$E1187), sample_log!$C1187 &amp; "_" &amp; sample_log!$D1187, "")</f>
        <v/>
      </c>
      <c r="C1187" s="5" t="str">
        <f>IF(B1187="", IF(F1187="", "", C1186), IF(sample_log!E1187="Triennial SASS", "tri_params", "params"))</f>
        <v/>
      </c>
      <c r="D1187" s="5" t="str">
        <f>IF(B1187="", "", C1187 &amp; "!" &amp; CHAR(65+MATCH(B1187, params!$B$2:$R$2, 0)))</f>
        <v/>
      </c>
      <c r="E1187" s="5" t="str">
        <f ca="1">IF(B1187="", "", COUNTA(INDIRECT(D1187 &amp; 3):INDIRECT(D1187 &amp; 24)))</f>
        <v/>
      </c>
      <c r="F1187" s="5" t="str">
        <f t="shared" si="38"/>
        <v/>
      </c>
      <c r="G1187" s="5" t="str">
        <f>IF(F1187="", "", IF(B1187&lt;&gt;"", MATCH(B1187, params!$B$2:$R$2, 0), G1186))</f>
        <v/>
      </c>
      <c r="H1187" s="5" t="str">
        <f t="shared" ca="1" si="39"/>
        <v/>
      </c>
      <c r="M1187" s="2"/>
    </row>
    <row r="1188" spans="2:13" ht="15.6" x14ac:dyDescent="0.3">
      <c r="B1188" s="5" t="str">
        <f>IF(COUNTIF(data_val!$E$3:$E$5, sample_log!$E1188), sample_log!$C1188 &amp; "_" &amp; sample_log!$D1188, "")</f>
        <v/>
      </c>
      <c r="C1188" s="5" t="str">
        <f>IF(B1188="", IF(F1188="", "", C1187), IF(sample_log!E1188="Triennial SASS", "tri_params", "params"))</f>
        <v/>
      </c>
      <c r="D1188" s="5" t="str">
        <f>IF(B1188="", "", C1188 &amp; "!" &amp; CHAR(65+MATCH(B1188, params!$B$2:$R$2, 0)))</f>
        <v/>
      </c>
      <c r="E1188" s="5" t="str">
        <f ca="1">IF(B1188="", "", COUNTA(INDIRECT(D1188 &amp; 3):INDIRECT(D1188 &amp; 24)))</f>
        <v/>
      </c>
      <c r="F1188" s="5" t="str">
        <f t="shared" si="38"/>
        <v/>
      </c>
      <c r="G1188" s="5" t="str">
        <f>IF(F1188="", "", IF(B1188&lt;&gt;"", MATCH(B1188, params!$B$2:$R$2, 0), G1187))</f>
        <v/>
      </c>
      <c r="H1188" s="5" t="str">
        <f t="shared" ca="1" si="39"/>
        <v/>
      </c>
      <c r="M1188" s="2"/>
    </row>
    <row r="1189" spans="2:13" ht="15.6" x14ac:dyDescent="0.3">
      <c r="B1189" s="5" t="str">
        <f>IF(COUNTIF(data_val!$E$3:$E$5, sample_log!$E1189), sample_log!$C1189 &amp; "_" &amp; sample_log!$D1189, "")</f>
        <v/>
      </c>
      <c r="C1189" s="5" t="str">
        <f>IF(B1189="", IF(F1189="", "", C1188), IF(sample_log!E1189="Triennial SASS", "tri_params", "params"))</f>
        <v/>
      </c>
      <c r="D1189" s="5" t="str">
        <f>IF(B1189="", "", C1189 &amp; "!" &amp; CHAR(65+MATCH(B1189, params!$B$2:$R$2, 0)))</f>
        <v/>
      </c>
      <c r="E1189" s="5" t="str">
        <f ca="1">IF(B1189="", "", COUNTA(INDIRECT(D1189 &amp; 3):INDIRECT(D1189 &amp; 24)))</f>
        <v/>
      </c>
      <c r="F1189" s="5" t="str">
        <f t="shared" si="38"/>
        <v/>
      </c>
      <c r="G1189" s="5" t="str">
        <f>IF(F1189="", "", IF(B1189&lt;&gt;"", MATCH(B1189, params!$B$2:$R$2, 0), G1188))</f>
        <v/>
      </c>
      <c r="H1189" s="5" t="str">
        <f t="shared" ca="1" si="39"/>
        <v/>
      </c>
      <c r="M1189" s="2"/>
    </row>
    <row r="1190" spans="2:13" ht="15.6" x14ac:dyDescent="0.3">
      <c r="B1190" s="5" t="str">
        <f>IF(COUNTIF(data_val!$E$3:$E$5, sample_log!$E1190), sample_log!$C1190 &amp; "_" &amp; sample_log!$D1190, "")</f>
        <v/>
      </c>
      <c r="C1190" s="5" t="str">
        <f>IF(B1190="", IF(F1190="", "", C1189), IF(sample_log!E1190="Triennial SASS", "tri_params", "params"))</f>
        <v/>
      </c>
      <c r="D1190" s="5" t="str">
        <f>IF(B1190="", "", C1190 &amp; "!" &amp; CHAR(65+MATCH(B1190, params!$B$2:$R$2, 0)))</f>
        <v/>
      </c>
      <c r="E1190" s="5" t="str">
        <f ca="1">IF(B1190="", "", COUNTA(INDIRECT(D1190 &amp; 3):INDIRECT(D1190 &amp; 24)))</f>
        <v/>
      </c>
      <c r="F1190" s="5" t="str">
        <f t="shared" si="38"/>
        <v/>
      </c>
      <c r="G1190" s="5" t="str">
        <f>IF(F1190="", "", IF(B1190&lt;&gt;"", MATCH(B1190, params!$B$2:$R$2, 0), G1189))</f>
        <v/>
      </c>
      <c r="H1190" s="5" t="str">
        <f t="shared" ca="1" si="39"/>
        <v/>
      </c>
      <c r="M1190" s="2"/>
    </row>
    <row r="1191" spans="2:13" ht="15.6" x14ac:dyDescent="0.3">
      <c r="B1191" s="5" t="str">
        <f>IF(COUNTIF(data_val!$E$3:$E$5, sample_log!$E1191), sample_log!$C1191 &amp; "_" &amp; sample_log!$D1191, "")</f>
        <v/>
      </c>
      <c r="C1191" s="5" t="str">
        <f>IF(B1191="", IF(F1191="", "", C1190), IF(sample_log!E1191="Triennial SASS", "tri_params", "params"))</f>
        <v/>
      </c>
      <c r="D1191" s="5" t="str">
        <f>IF(B1191="", "", C1191 &amp; "!" &amp; CHAR(65+MATCH(B1191, params!$B$2:$R$2, 0)))</f>
        <v/>
      </c>
      <c r="E1191" s="5" t="str">
        <f ca="1">IF(B1191="", "", COUNTA(INDIRECT(D1191 &amp; 3):INDIRECT(D1191 &amp; 24)))</f>
        <v/>
      </c>
      <c r="F1191" s="5" t="str">
        <f t="shared" si="38"/>
        <v/>
      </c>
      <c r="G1191" s="5" t="str">
        <f>IF(F1191="", "", IF(B1191&lt;&gt;"", MATCH(B1191, params!$B$2:$R$2, 0), G1190))</f>
        <v/>
      </c>
      <c r="H1191" s="5" t="str">
        <f t="shared" ca="1" si="39"/>
        <v/>
      </c>
      <c r="M1191" s="2"/>
    </row>
    <row r="1192" spans="2:13" ht="15.6" x14ac:dyDescent="0.3">
      <c r="B1192" s="5" t="str">
        <f>IF(COUNTIF(data_val!$E$3:$E$5, sample_log!$E1192), sample_log!$C1192 &amp; "_" &amp; sample_log!$D1192, "")</f>
        <v/>
      </c>
      <c r="C1192" s="5" t="str">
        <f>IF(B1192="", IF(F1192="", "", C1191), IF(sample_log!E1192="Triennial SASS", "tri_params", "params"))</f>
        <v/>
      </c>
      <c r="D1192" s="5" t="str">
        <f>IF(B1192="", "", C1192 &amp; "!" &amp; CHAR(65+MATCH(B1192, params!$B$2:$R$2, 0)))</f>
        <v/>
      </c>
      <c r="E1192" s="5" t="str">
        <f ca="1">IF(B1192="", "", COUNTA(INDIRECT(D1192 &amp; 3):INDIRECT(D1192 &amp; 24)))</f>
        <v/>
      </c>
      <c r="F1192" s="5" t="str">
        <f t="shared" si="38"/>
        <v/>
      </c>
      <c r="G1192" s="5" t="str">
        <f>IF(F1192="", "", IF(B1192&lt;&gt;"", MATCH(B1192, params!$B$2:$R$2, 0), G1191))</f>
        <v/>
      </c>
      <c r="H1192" s="5" t="str">
        <f t="shared" ca="1" si="39"/>
        <v/>
      </c>
      <c r="M1192" s="2"/>
    </row>
    <row r="1193" spans="2:13" ht="15.6" x14ac:dyDescent="0.3">
      <c r="B1193" s="5" t="str">
        <f>IF(COUNTIF(data_val!$E$3:$E$5, sample_log!$E1193), sample_log!$C1193 &amp; "_" &amp; sample_log!$D1193, "")</f>
        <v/>
      </c>
      <c r="C1193" s="5" t="str">
        <f>IF(B1193="", IF(F1193="", "", C1192), IF(sample_log!E1193="Triennial SASS", "tri_params", "params"))</f>
        <v/>
      </c>
      <c r="D1193" s="5" t="str">
        <f>IF(B1193="", "", C1193 &amp; "!" &amp; CHAR(65+MATCH(B1193, params!$B$2:$R$2, 0)))</f>
        <v/>
      </c>
      <c r="E1193" s="5" t="str">
        <f ca="1">IF(B1193="", "", COUNTA(INDIRECT(D1193 &amp; 3):INDIRECT(D1193 &amp; 24)))</f>
        <v/>
      </c>
      <c r="F1193" s="5" t="str">
        <f t="shared" si="38"/>
        <v/>
      </c>
      <c r="G1193" s="5" t="str">
        <f>IF(F1193="", "", IF(B1193&lt;&gt;"", MATCH(B1193, params!$B$2:$R$2, 0), G1192))</f>
        <v/>
      </c>
      <c r="H1193" s="5" t="str">
        <f t="shared" ca="1" si="39"/>
        <v/>
      </c>
      <c r="M1193" s="2"/>
    </row>
    <row r="1194" spans="2:13" ht="15.6" x14ac:dyDescent="0.3">
      <c r="B1194" s="5" t="str">
        <f>IF(COUNTIF(data_val!$E$3:$E$5, sample_log!$E1194), sample_log!$C1194 &amp; "_" &amp; sample_log!$D1194, "")</f>
        <v/>
      </c>
      <c r="C1194" s="5" t="str">
        <f>IF(B1194="", IF(F1194="", "", C1193), IF(sample_log!E1194="Triennial SASS", "tri_params", "params"))</f>
        <v/>
      </c>
      <c r="D1194" s="5" t="str">
        <f>IF(B1194="", "", C1194 &amp; "!" &amp; CHAR(65+MATCH(B1194, params!$B$2:$R$2, 0)))</f>
        <v/>
      </c>
      <c r="E1194" s="5" t="str">
        <f ca="1">IF(B1194="", "", COUNTA(INDIRECT(D1194 &amp; 3):INDIRECT(D1194 &amp; 24)))</f>
        <v/>
      </c>
      <c r="F1194" s="5" t="str">
        <f t="shared" si="38"/>
        <v/>
      </c>
      <c r="G1194" s="5" t="str">
        <f>IF(F1194="", "", IF(B1194&lt;&gt;"", MATCH(B1194, params!$B$2:$R$2, 0), G1193))</f>
        <v/>
      </c>
      <c r="H1194" s="5" t="str">
        <f t="shared" ca="1" si="39"/>
        <v/>
      </c>
      <c r="M1194" s="2"/>
    </row>
    <row r="1195" spans="2:13" ht="15.6" x14ac:dyDescent="0.3">
      <c r="B1195" s="5" t="str">
        <f>IF(COUNTIF(data_val!$E$3:$E$5, sample_log!$E1195), sample_log!$C1195 &amp; "_" &amp; sample_log!$D1195, "")</f>
        <v/>
      </c>
      <c r="C1195" s="5" t="str">
        <f>IF(B1195="", IF(F1195="", "", C1194), IF(sample_log!E1195="Triennial SASS", "tri_params", "params"))</f>
        <v/>
      </c>
      <c r="D1195" s="5" t="str">
        <f>IF(B1195="", "", C1195 &amp; "!" &amp; CHAR(65+MATCH(B1195, params!$B$2:$R$2, 0)))</f>
        <v/>
      </c>
      <c r="E1195" s="5" t="str">
        <f ca="1">IF(B1195="", "", COUNTA(INDIRECT(D1195 &amp; 3):INDIRECT(D1195 &amp; 24)))</f>
        <v/>
      </c>
      <c r="F1195" s="5" t="str">
        <f t="shared" si="38"/>
        <v/>
      </c>
      <c r="G1195" s="5" t="str">
        <f>IF(F1195="", "", IF(B1195&lt;&gt;"", MATCH(B1195, params!$B$2:$R$2, 0), G1194))</f>
        <v/>
      </c>
      <c r="H1195" s="5" t="str">
        <f t="shared" ca="1" si="39"/>
        <v/>
      </c>
      <c r="M1195" s="2"/>
    </row>
    <row r="1196" spans="2:13" ht="15.6" x14ac:dyDescent="0.3">
      <c r="B1196" s="5" t="str">
        <f>IF(COUNTIF(data_val!$E$3:$E$5, sample_log!$E1196), sample_log!$C1196 &amp; "_" &amp; sample_log!$D1196, "")</f>
        <v/>
      </c>
      <c r="C1196" s="5" t="str">
        <f>IF(B1196="", IF(F1196="", "", C1195), IF(sample_log!E1196="Triennial SASS", "tri_params", "params"))</f>
        <v/>
      </c>
      <c r="D1196" s="5" t="str">
        <f>IF(B1196="", "", C1196 &amp; "!" &amp; CHAR(65+MATCH(B1196, params!$B$2:$R$2, 0)))</f>
        <v/>
      </c>
      <c r="E1196" s="5" t="str">
        <f ca="1">IF(B1196="", "", COUNTA(INDIRECT(D1196 &amp; 3):INDIRECT(D1196 &amp; 24)))</f>
        <v/>
      </c>
      <c r="F1196" s="5" t="str">
        <f t="shared" si="38"/>
        <v/>
      </c>
      <c r="G1196" s="5" t="str">
        <f>IF(F1196="", "", IF(B1196&lt;&gt;"", MATCH(B1196, params!$B$2:$R$2, 0), G1195))</f>
        <v/>
      </c>
      <c r="H1196" s="5" t="str">
        <f t="shared" ca="1" si="39"/>
        <v/>
      </c>
      <c r="M1196" s="2"/>
    </row>
    <row r="1197" spans="2:13" ht="15.6" x14ac:dyDescent="0.3">
      <c r="B1197" s="5" t="str">
        <f>IF(COUNTIF(data_val!$E$3:$E$5, sample_log!$E1197), sample_log!$C1197 &amp; "_" &amp; sample_log!$D1197, "")</f>
        <v/>
      </c>
      <c r="C1197" s="5" t="str">
        <f>IF(B1197="", IF(F1197="", "", C1196), IF(sample_log!E1197="Triennial SASS", "tri_params", "params"))</f>
        <v/>
      </c>
      <c r="D1197" s="5" t="str">
        <f>IF(B1197="", "", C1197 &amp; "!" &amp; CHAR(65+MATCH(B1197, params!$B$2:$R$2, 0)))</f>
        <v/>
      </c>
      <c r="E1197" s="5" t="str">
        <f ca="1">IF(B1197="", "", COUNTA(INDIRECT(D1197 &amp; 3):INDIRECT(D1197 &amp; 24)))</f>
        <v/>
      </c>
      <c r="F1197" s="5" t="str">
        <f t="shared" si="38"/>
        <v/>
      </c>
      <c r="G1197" s="5" t="str">
        <f>IF(F1197="", "", IF(B1197&lt;&gt;"", MATCH(B1197, params!$B$2:$R$2, 0), G1196))</f>
        <v/>
      </c>
      <c r="H1197" s="5" t="str">
        <f t="shared" ca="1" si="39"/>
        <v/>
      </c>
      <c r="M1197" s="2"/>
    </row>
    <row r="1198" spans="2:13" ht="15.6" x14ac:dyDescent="0.3">
      <c r="B1198" s="5" t="str">
        <f>IF(COUNTIF(data_val!$E$3:$E$5, sample_log!$E1198), sample_log!$C1198 &amp; "_" &amp; sample_log!$D1198, "")</f>
        <v/>
      </c>
      <c r="C1198" s="5" t="str">
        <f>IF(B1198="", IF(F1198="", "", C1197), IF(sample_log!E1198="Triennial SASS", "tri_params", "params"))</f>
        <v/>
      </c>
      <c r="D1198" s="5" t="str">
        <f>IF(B1198="", "", C1198 &amp; "!" &amp; CHAR(65+MATCH(B1198, params!$B$2:$R$2, 0)))</f>
        <v/>
      </c>
      <c r="E1198" s="5" t="str">
        <f ca="1">IF(B1198="", "", COUNTA(INDIRECT(D1198 &amp; 3):INDIRECT(D1198 &amp; 24)))</f>
        <v/>
      </c>
      <c r="F1198" s="5" t="str">
        <f t="shared" si="38"/>
        <v/>
      </c>
      <c r="G1198" s="5" t="str">
        <f>IF(F1198="", "", IF(B1198&lt;&gt;"", MATCH(B1198, params!$B$2:$R$2, 0), G1197))</f>
        <v/>
      </c>
      <c r="H1198" s="5" t="str">
        <f t="shared" ca="1" si="39"/>
        <v/>
      </c>
      <c r="M1198" s="2"/>
    </row>
    <row r="1199" spans="2:13" ht="15.6" x14ac:dyDescent="0.3">
      <c r="B1199" s="5" t="str">
        <f>IF(COUNTIF(data_val!$E$3:$E$5, sample_log!$E1199), sample_log!$C1199 &amp; "_" &amp; sample_log!$D1199, "")</f>
        <v/>
      </c>
      <c r="C1199" s="5" t="str">
        <f>IF(B1199="", IF(F1199="", "", C1198), IF(sample_log!E1199="Triennial SASS", "tri_params", "params"))</f>
        <v/>
      </c>
      <c r="D1199" s="5" t="str">
        <f>IF(B1199="", "", C1199 &amp; "!" &amp; CHAR(65+MATCH(B1199, params!$B$2:$R$2, 0)))</f>
        <v/>
      </c>
      <c r="E1199" s="5" t="str">
        <f ca="1">IF(B1199="", "", COUNTA(INDIRECT(D1199 &amp; 3):INDIRECT(D1199 &amp; 24)))</f>
        <v/>
      </c>
      <c r="F1199" s="5" t="str">
        <f t="shared" si="38"/>
        <v/>
      </c>
      <c r="G1199" s="5" t="str">
        <f>IF(F1199="", "", IF(B1199&lt;&gt;"", MATCH(B1199, params!$B$2:$R$2, 0), G1198))</f>
        <v/>
      </c>
      <c r="H1199" s="5" t="str">
        <f t="shared" ca="1" si="39"/>
        <v/>
      </c>
      <c r="M1199" s="2"/>
    </row>
    <row r="1200" spans="2:13" ht="15.6" x14ac:dyDescent="0.3">
      <c r="B1200" s="5" t="str">
        <f>IF(COUNTIF(data_val!$E$3:$E$5, sample_log!$E1200), sample_log!$C1200 &amp; "_" &amp; sample_log!$D1200, "")</f>
        <v/>
      </c>
      <c r="C1200" s="5" t="str">
        <f>IF(B1200="", IF(F1200="", "", C1199), IF(sample_log!E1200="Triennial SASS", "tri_params", "params"))</f>
        <v/>
      </c>
      <c r="D1200" s="5" t="str">
        <f>IF(B1200="", "", C1200 &amp; "!" &amp; CHAR(65+MATCH(B1200, params!$B$2:$R$2, 0)))</f>
        <v/>
      </c>
      <c r="E1200" s="5" t="str">
        <f ca="1">IF(B1200="", "", COUNTA(INDIRECT(D1200 &amp; 3):INDIRECT(D1200 &amp; 24)))</f>
        <v/>
      </c>
      <c r="F1200" s="5" t="str">
        <f t="shared" si="38"/>
        <v/>
      </c>
      <c r="G1200" s="5" t="str">
        <f>IF(F1200="", "", IF(B1200&lt;&gt;"", MATCH(B1200, params!$B$2:$R$2, 0), G1199))</f>
        <v/>
      </c>
      <c r="H1200" s="5" t="str">
        <f t="shared" ca="1" si="39"/>
        <v/>
      </c>
      <c r="M1200" s="2"/>
    </row>
    <row r="1201" spans="2:13" ht="15.6" x14ac:dyDescent="0.3">
      <c r="B1201" s="5" t="str">
        <f>IF(COUNTIF(data_val!$E$3:$E$5, sample_log!$E1201), sample_log!$C1201 &amp; "_" &amp; sample_log!$D1201, "")</f>
        <v/>
      </c>
      <c r="C1201" s="5" t="str">
        <f>IF(B1201="", IF(F1201="", "", C1200), IF(sample_log!E1201="Triennial SASS", "tri_params", "params"))</f>
        <v/>
      </c>
      <c r="D1201" s="5" t="str">
        <f>IF(B1201="", "", C1201 &amp; "!" &amp; CHAR(65+MATCH(B1201, params!$B$2:$R$2, 0)))</f>
        <v/>
      </c>
      <c r="E1201" s="5" t="str">
        <f ca="1">IF(B1201="", "", COUNTA(INDIRECT(D1201 &amp; 3):INDIRECT(D1201 &amp; 24)))</f>
        <v/>
      </c>
      <c r="F1201" s="5" t="str">
        <f t="shared" si="38"/>
        <v/>
      </c>
      <c r="G1201" s="5" t="str">
        <f>IF(F1201="", "", IF(B1201&lt;&gt;"", MATCH(B1201, params!$B$2:$R$2, 0), G1200))</f>
        <v/>
      </c>
      <c r="H1201" s="5" t="str">
        <f t="shared" ca="1" si="39"/>
        <v/>
      </c>
      <c r="M1201" s="2"/>
    </row>
    <row r="1202" spans="2:13" ht="15.6" x14ac:dyDescent="0.3">
      <c r="B1202" s="5" t="str">
        <f>IF(COUNTIF(data_val!$E$3:$E$5, sample_log!$E1202), sample_log!$C1202 &amp; "_" &amp; sample_log!$D1202, "")</f>
        <v/>
      </c>
      <c r="C1202" s="5" t="str">
        <f>IF(B1202="", IF(F1202="", "", C1201), IF(sample_log!E1202="Triennial SASS", "tri_params", "params"))</f>
        <v/>
      </c>
      <c r="D1202" s="5" t="str">
        <f>IF(B1202="", "", C1202 &amp; "!" &amp; CHAR(65+MATCH(B1202, params!$B$2:$R$2, 0)))</f>
        <v/>
      </c>
      <c r="E1202" s="5" t="str">
        <f ca="1">IF(B1202="", "", COUNTA(INDIRECT(D1202 &amp; 3):INDIRECT(D1202 &amp; 24)))</f>
        <v/>
      </c>
      <c r="F1202" s="5" t="str">
        <f t="shared" si="38"/>
        <v/>
      </c>
      <c r="G1202" s="5" t="str">
        <f>IF(F1202="", "", IF(B1202&lt;&gt;"", MATCH(B1202, params!$B$2:$R$2, 0), G1201))</f>
        <v/>
      </c>
      <c r="H1202" s="5" t="str">
        <f t="shared" ca="1" si="39"/>
        <v/>
      </c>
      <c r="M1202" s="2"/>
    </row>
    <row r="1203" spans="2:13" ht="15.6" x14ac:dyDescent="0.3">
      <c r="B1203" s="5" t="str">
        <f>IF(COUNTIF(data_val!$E$3:$E$5, sample_log!$E1203), sample_log!$C1203 &amp; "_" &amp; sample_log!$D1203, "")</f>
        <v/>
      </c>
      <c r="C1203" s="5" t="str">
        <f>IF(B1203="", IF(F1203="", "", C1202), IF(sample_log!E1203="Triennial SASS", "tri_params", "params"))</f>
        <v/>
      </c>
      <c r="D1203" s="5" t="str">
        <f>IF(B1203="", "", C1203 &amp; "!" &amp; CHAR(65+MATCH(B1203, params!$B$2:$R$2, 0)))</f>
        <v/>
      </c>
      <c r="E1203" s="5" t="str">
        <f ca="1">IF(B1203="", "", COUNTA(INDIRECT(D1203 &amp; 3):INDIRECT(D1203 &amp; 24)))</f>
        <v/>
      </c>
      <c r="F1203" s="5" t="str">
        <f t="shared" si="38"/>
        <v/>
      </c>
      <c r="G1203" s="5" t="str">
        <f>IF(F1203="", "", IF(B1203&lt;&gt;"", MATCH(B1203, params!$B$2:$R$2, 0), G1202))</f>
        <v/>
      </c>
      <c r="H1203" s="5" t="str">
        <f t="shared" ca="1" si="39"/>
        <v/>
      </c>
      <c r="M1203" s="2"/>
    </row>
    <row r="1204" spans="2:13" ht="15.6" x14ac:dyDescent="0.3">
      <c r="B1204" s="5" t="str">
        <f>IF(COUNTIF(data_val!$E$3:$E$5, sample_log!$E1204), sample_log!$C1204 &amp; "_" &amp; sample_log!$D1204, "")</f>
        <v/>
      </c>
      <c r="C1204" s="5" t="str">
        <f>IF(B1204="", IF(F1204="", "", C1203), IF(sample_log!E1204="Triennial SASS", "tri_params", "params"))</f>
        <v/>
      </c>
      <c r="D1204" s="5" t="str">
        <f>IF(B1204="", "", C1204 &amp; "!" &amp; CHAR(65+MATCH(B1204, params!$B$2:$R$2, 0)))</f>
        <v/>
      </c>
      <c r="E1204" s="5" t="str">
        <f ca="1">IF(B1204="", "", COUNTA(INDIRECT(D1204 &amp; 3):INDIRECT(D1204 &amp; 24)))</f>
        <v/>
      </c>
      <c r="F1204" s="5" t="str">
        <f t="shared" si="38"/>
        <v/>
      </c>
      <c r="G1204" s="5" t="str">
        <f>IF(F1204="", "", IF(B1204&lt;&gt;"", MATCH(B1204, params!$B$2:$R$2, 0), G1203))</f>
        <v/>
      </c>
      <c r="H1204" s="5" t="str">
        <f t="shared" ca="1" si="39"/>
        <v/>
      </c>
      <c r="M1204" s="2"/>
    </row>
    <row r="1205" spans="2:13" ht="15.6" x14ac:dyDescent="0.3">
      <c r="B1205" s="5" t="str">
        <f>IF(COUNTIF(data_val!$E$3:$E$5, sample_log!$E1205), sample_log!$C1205 &amp; "_" &amp; sample_log!$D1205, "")</f>
        <v/>
      </c>
      <c r="C1205" s="5" t="str">
        <f>IF(B1205="", IF(F1205="", "", C1204), IF(sample_log!E1205="Triennial SASS", "tri_params", "params"))</f>
        <v/>
      </c>
      <c r="D1205" s="5" t="str">
        <f>IF(B1205="", "", C1205 &amp; "!" &amp; CHAR(65+MATCH(B1205, params!$B$2:$R$2, 0)))</f>
        <v/>
      </c>
      <c r="E1205" s="5" t="str">
        <f ca="1">IF(B1205="", "", COUNTA(INDIRECT(D1205 &amp; 3):INDIRECT(D1205 &amp; 24)))</f>
        <v/>
      </c>
      <c r="F1205" s="5" t="str">
        <f t="shared" si="38"/>
        <v/>
      </c>
      <c r="G1205" s="5" t="str">
        <f>IF(F1205="", "", IF(B1205&lt;&gt;"", MATCH(B1205, params!$B$2:$R$2, 0), G1204))</f>
        <v/>
      </c>
      <c r="H1205" s="5" t="str">
        <f t="shared" ca="1" si="39"/>
        <v/>
      </c>
      <c r="M1205" s="2"/>
    </row>
    <row r="1206" spans="2:13" ht="15.6" x14ac:dyDescent="0.3">
      <c r="B1206" s="5" t="str">
        <f>IF(COUNTIF(data_val!$E$3:$E$5, sample_log!$E1206), sample_log!$C1206 &amp; "_" &amp; sample_log!$D1206, "")</f>
        <v/>
      </c>
      <c r="C1206" s="5" t="str">
        <f>IF(B1206="", IF(F1206="", "", C1205), IF(sample_log!E1206="Triennial SASS", "tri_params", "params"))</f>
        <v/>
      </c>
      <c r="D1206" s="5" t="str">
        <f>IF(B1206="", "", C1206 &amp; "!" &amp; CHAR(65+MATCH(B1206, params!$B$2:$R$2, 0)))</f>
        <v/>
      </c>
      <c r="E1206" s="5" t="str">
        <f ca="1">IF(B1206="", "", COUNTA(INDIRECT(D1206 &amp; 3):INDIRECT(D1206 &amp; 24)))</f>
        <v/>
      </c>
      <c r="F1206" s="5" t="str">
        <f t="shared" si="38"/>
        <v/>
      </c>
      <c r="G1206" s="5" t="str">
        <f>IF(F1206="", "", IF(B1206&lt;&gt;"", MATCH(B1206, params!$B$2:$R$2, 0), G1205))</f>
        <v/>
      </c>
      <c r="H1206" s="5" t="str">
        <f t="shared" ca="1" si="39"/>
        <v/>
      </c>
      <c r="M1206" s="2"/>
    </row>
    <row r="1207" spans="2:13" ht="15.6" x14ac:dyDescent="0.3">
      <c r="B1207" s="5" t="str">
        <f>IF(COUNTIF(data_val!$E$3:$E$5, sample_log!$E1207), sample_log!$C1207 &amp; "_" &amp; sample_log!$D1207, "")</f>
        <v/>
      </c>
      <c r="C1207" s="5" t="str">
        <f>IF(B1207="", IF(F1207="", "", C1206), IF(sample_log!E1207="Triennial SASS", "tri_params", "params"))</f>
        <v/>
      </c>
      <c r="D1207" s="5" t="str">
        <f>IF(B1207="", "", C1207 &amp; "!" &amp; CHAR(65+MATCH(B1207, params!$B$2:$R$2, 0)))</f>
        <v/>
      </c>
      <c r="E1207" s="5" t="str">
        <f ca="1">IF(B1207="", "", COUNTA(INDIRECT(D1207 &amp; 3):INDIRECT(D1207 &amp; 24)))</f>
        <v/>
      </c>
      <c r="F1207" s="5" t="str">
        <f t="shared" si="38"/>
        <v/>
      </c>
      <c r="G1207" s="5" t="str">
        <f>IF(F1207="", "", IF(B1207&lt;&gt;"", MATCH(B1207, params!$B$2:$R$2, 0), G1206))</f>
        <v/>
      </c>
      <c r="H1207" s="5" t="str">
        <f t="shared" ca="1" si="39"/>
        <v/>
      </c>
      <c r="M1207" s="2"/>
    </row>
    <row r="1208" spans="2:13" ht="15.6" x14ac:dyDescent="0.3">
      <c r="B1208" s="5" t="str">
        <f>IF(COUNTIF(data_val!$E$3:$E$5, sample_log!$E1208), sample_log!$C1208 &amp; "_" &amp; sample_log!$D1208, "")</f>
        <v/>
      </c>
      <c r="C1208" s="5" t="str">
        <f>IF(B1208="", IF(F1208="", "", C1207), IF(sample_log!E1208="Triennial SASS", "tri_params", "params"))</f>
        <v/>
      </c>
      <c r="D1208" s="5" t="str">
        <f>IF(B1208="", "", C1208 &amp; "!" &amp; CHAR(65+MATCH(B1208, params!$B$2:$R$2, 0)))</f>
        <v/>
      </c>
      <c r="E1208" s="5" t="str">
        <f ca="1">IF(B1208="", "", COUNTA(INDIRECT(D1208 &amp; 3):INDIRECT(D1208 &amp; 24)))</f>
        <v/>
      </c>
      <c r="F1208" s="5" t="str">
        <f t="shared" si="38"/>
        <v/>
      </c>
      <c r="G1208" s="5" t="str">
        <f>IF(F1208="", "", IF(B1208&lt;&gt;"", MATCH(B1208, params!$B$2:$R$2, 0), G1207))</f>
        <v/>
      </c>
      <c r="H1208" s="5" t="str">
        <f t="shared" ca="1" si="39"/>
        <v/>
      </c>
      <c r="M1208" s="2"/>
    </row>
    <row r="1209" spans="2:13" ht="15.6" x14ac:dyDescent="0.3">
      <c r="B1209" s="5" t="str">
        <f>IF(COUNTIF(data_val!$E$3:$E$5, sample_log!$E1209), sample_log!$C1209 &amp; "_" &amp; sample_log!$D1209, "")</f>
        <v/>
      </c>
      <c r="C1209" s="5" t="str">
        <f>IF(B1209="", IF(F1209="", "", C1208), IF(sample_log!E1209="Triennial SASS", "tri_params", "params"))</f>
        <v/>
      </c>
      <c r="D1209" s="5" t="str">
        <f>IF(B1209="", "", C1209 &amp; "!" &amp; CHAR(65+MATCH(B1209, params!$B$2:$R$2, 0)))</f>
        <v/>
      </c>
      <c r="E1209" s="5" t="str">
        <f ca="1">IF(B1209="", "", COUNTA(INDIRECT(D1209 &amp; 3):INDIRECT(D1209 &amp; 24)))</f>
        <v/>
      </c>
      <c r="F1209" s="5" t="str">
        <f t="shared" si="38"/>
        <v/>
      </c>
      <c r="G1209" s="5" t="str">
        <f>IF(F1209="", "", IF(B1209&lt;&gt;"", MATCH(B1209, params!$B$2:$R$2, 0), G1208))</f>
        <v/>
      </c>
      <c r="H1209" s="5" t="str">
        <f t="shared" ca="1" si="39"/>
        <v/>
      </c>
      <c r="M1209" s="2"/>
    </row>
    <row r="1210" spans="2:13" ht="15.6" x14ac:dyDescent="0.3">
      <c r="B1210" s="5" t="str">
        <f>IF(COUNTIF(data_val!$E$3:$E$5, sample_log!$E1210), sample_log!$C1210 &amp; "_" &amp; sample_log!$D1210, "")</f>
        <v/>
      </c>
      <c r="C1210" s="5" t="str">
        <f>IF(B1210="", IF(F1210="", "", C1209), IF(sample_log!E1210="Triennial SASS", "tri_params", "params"))</f>
        <v/>
      </c>
      <c r="D1210" s="5" t="str">
        <f>IF(B1210="", "", C1210 &amp; "!" &amp; CHAR(65+MATCH(B1210, params!$B$2:$R$2, 0)))</f>
        <v/>
      </c>
      <c r="E1210" s="5" t="str">
        <f ca="1">IF(B1210="", "", COUNTA(INDIRECT(D1210 &amp; 3):INDIRECT(D1210 &amp; 24)))</f>
        <v/>
      </c>
      <c r="F1210" s="5" t="str">
        <f t="shared" si="38"/>
        <v/>
      </c>
      <c r="G1210" s="5" t="str">
        <f>IF(F1210="", "", IF(B1210&lt;&gt;"", MATCH(B1210, params!$B$2:$R$2, 0), G1209))</f>
        <v/>
      </c>
      <c r="H1210" s="5" t="str">
        <f t="shared" ca="1" si="39"/>
        <v/>
      </c>
      <c r="M1210" s="2"/>
    </row>
    <row r="1211" spans="2:13" ht="15.6" x14ac:dyDescent="0.3">
      <c r="B1211" s="5" t="str">
        <f>IF(COUNTIF(data_val!$E$3:$E$5, sample_log!$E1211), sample_log!$C1211 &amp; "_" &amp; sample_log!$D1211, "")</f>
        <v/>
      </c>
      <c r="C1211" s="5" t="str">
        <f>IF(B1211="", IF(F1211="", "", C1210), IF(sample_log!E1211="Triennial SASS", "tri_params", "params"))</f>
        <v/>
      </c>
      <c r="D1211" s="5" t="str">
        <f>IF(B1211="", "", C1211 &amp; "!" &amp; CHAR(65+MATCH(B1211, params!$B$2:$R$2, 0)))</f>
        <v/>
      </c>
      <c r="E1211" s="5" t="str">
        <f ca="1">IF(B1211="", "", COUNTA(INDIRECT(D1211 &amp; 3):INDIRECT(D1211 &amp; 24)))</f>
        <v/>
      </c>
      <c r="F1211" s="5" t="str">
        <f t="shared" si="38"/>
        <v/>
      </c>
      <c r="G1211" s="5" t="str">
        <f>IF(F1211="", "", IF(B1211&lt;&gt;"", MATCH(B1211, params!$B$2:$R$2, 0), G1210))</f>
        <v/>
      </c>
      <c r="H1211" s="5" t="str">
        <f t="shared" ca="1" si="39"/>
        <v/>
      </c>
      <c r="M1211" s="2"/>
    </row>
    <row r="1212" spans="2:13" ht="15.6" x14ac:dyDescent="0.3">
      <c r="B1212" s="5" t="str">
        <f>IF(COUNTIF(data_val!$E$3:$E$5, sample_log!$E1212), sample_log!$C1212 &amp; "_" &amp; sample_log!$D1212, "")</f>
        <v/>
      </c>
      <c r="C1212" s="5" t="str">
        <f>IF(B1212="", IF(F1212="", "", C1211), IF(sample_log!E1212="Triennial SASS", "tri_params", "params"))</f>
        <v/>
      </c>
      <c r="D1212" s="5" t="str">
        <f>IF(B1212="", "", C1212 &amp; "!" &amp; CHAR(65+MATCH(B1212, params!$B$2:$R$2, 0)))</f>
        <v/>
      </c>
      <c r="E1212" s="5" t="str">
        <f ca="1">IF(B1212="", "", COUNTA(INDIRECT(D1212 &amp; 3):INDIRECT(D1212 &amp; 24)))</f>
        <v/>
      </c>
      <c r="F1212" s="5" t="str">
        <f t="shared" si="38"/>
        <v/>
      </c>
      <c r="G1212" s="5" t="str">
        <f>IF(F1212="", "", IF(B1212&lt;&gt;"", MATCH(B1212, params!$B$2:$R$2, 0), G1211))</f>
        <v/>
      </c>
      <c r="H1212" s="5" t="str">
        <f t="shared" ca="1" si="39"/>
        <v/>
      </c>
      <c r="M1212" s="2"/>
    </row>
    <row r="1213" spans="2:13" ht="15.6" x14ac:dyDescent="0.3">
      <c r="B1213" s="5" t="str">
        <f>IF(COUNTIF(data_val!$E$3:$E$5, sample_log!$E1213), sample_log!$C1213 &amp; "_" &amp; sample_log!$D1213, "")</f>
        <v/>
      </c>
      <c r="C1213" s="5" t="str">
        <f>IF(B1213="", IF(F1213="", "", C1212), IF(sample_log!E1213="Triennial SASS", "tri_params", "params"))</f>
        <v/>
      </c>
      <c r="D1213" s="5" t="str">
        <f>IF(B1213="", "", C1213 &amp; "!" &amp; CHAR(65+MATCH(B1213, params!$B$2:$R$2, 0)))</f>
        <v/>
      </c>
      <c r="E1213" s="5" t="str">
        <f ca="1">IF(B1213="", "", COUNTA(INDIRECT(D1213 &amp; 3):INDIRECT(D1213 &amp; 24)))</f>
        <v/>
      </c>
      <c r="F1213" s="5" t="str">
        <f t="shared" si="38"/>
        <v/>
      </c>
      <c r="G1213" s="5" t="str">
        <f>IF(F1213="", "", IF(B1213&lt;&gt;"", MATCH(B1213, params!$B$2:$R$2, 0), G1212))</f>
        <v/>
      </c>
      <c r="H1213" s="5" t="str">
        <f t="shared" ca="1" si="39"/>
        <v/>
      </c>
      <c r="M1213" s="2"/>
    </row>
    <row r="1214" spans="2:13" ht="15.6" x14ac:dyDescent="0.3">
      <c r="B1214" s="5" t="str">
        <f>IF(COUNTIF(data_val!$E$3:$E$5, sample_log!$E1214), sample_log!$C1214 &amp; "_" &amp; sample_log!$D1214, "")</f>
        <v/>
      </c>
      <c r="C1214" s="5" t="str">
        <f>IF(B1214="", IF(F1214="", "", C1213), IF(sample_log!E1214="Triennial SASS", "tri_params", "params"))</f>
        <v/>
      </c>
      <c r="D1214" s="5" t="str">
        <f>IF(B1214="", "", C1214 &amp; "!" &amp; CHAR(65+MATCH(B1214, params!$B$2:$R$2, 0)))</f>
        <v/>
      </c>
      <c r="E1214" s="5" t="str">
        <f ca="1">IF(B1214="", "", COUNTA(INDIRECT(D1214 &amp; 3):INDIRECT(D1214 &amp; 24)))</f>
        <v/>
      </c>
      <c r="F1214" s="5" t="str">
        <f t="shared" si="38"/>
        <v/>
      </c>
      <c r="G1214" s="5" t="str">
        <f>IF(F1214="", "", IF(B1214&lt;&gt;"", MATCH(B1214, params!$B$2:$R$2, 0), G1213))</f>
        <v/>
      </c>
      <c r="H1214" s="5" t="str">
        <f t="shared" ca="1" si="39"/>
        <v/>
      </c>
      <c r="M1214" s="2"/>
    </row>
    <row r="1215" spans="2:13" ht="15.6" x14ac:dyDescent="0.3">
      <c r="B1215" s="5" t="str">
        <f>IF(COUNTIF(data_val!$E$3:$E$5, sample_log!$E1215), sample_log!$C1215 &amp; "_" &amp; sample_log!$D1215, "")</f>
        <v/>
      </c>
      <c r="C1215" s="5" t="str">
        <f>IF(B1215="", IF(F1215="", "", C1214), IF(sample_log!E1215="Triennial SASS", "tri_params", "params"))</f>
        <v/>
      </c>
      <c r="D1215" s="5" t="str">
        <f>IF(B1215="", "", C1215 &amp; "!" &amp; CHAR(65+MATCH(B1215, params!$B$2:$R$2, 0)))</f>
        <v/>
      </c>
      <c r="E1215" s="5" t="str">
        <f ca="1">IF(B1215="", "", COUNTA(INDIRECT(D1215 &amp; 3):INDIRECT(D1215 &amp; 24)))</f>
        <v/>
      </c>
      <c r="F1215" s="5" t="str">
        <f t="shared" si="38"/>
        <v/>
      </c>
      <c r="G1215" s="5" t="str">
        <f>IF(F1215="", "", IF(B1215&lt;&gt;"", MATCH(B1215, params!$B$2:$R$2, 0), G1214))</f>
        <v/>
      </c>
      <c r="H1215" s="5" t="str">
        <f t="shared" ca="1" si="39"/>
        <v/>
      </c>
      <c r="M1215" s="2"/>
    </row>
    <row r="1216" spans="2:13" ht="15.6" x14ac:dyDescent="0.3">
      <c r="B1216" s="5" t="str">
        <f>IF(COUNTIF(data_val!$E$3:$E$5, sample_log!$E1216), sample_log!$C1216 &amp; "_" &amp; sample_log!$D1216, "")</f>
        <v/>
      </c>
      <c r="C1216" s="5" t="str">
        <f>IF(B1216="", IF(F1216="", "", C1215), IF(sample_log!E1216="Triennial SASS", "tri_params", "params"))</f>
        <v/>
      </c>
      <c r="D1216" s="5" t="str">
        <f>IF(B1216="", "", C1216 &amp; "!" &amp; CHAR(65+MATCH(B1216, params!$B$2:$R$2, 0)))</f>
        <v/>
      </c>
      <c r="E1216" s="5" t="str">
        <f ca="1">IF(B1216="", "", COUNTA(INDIRECT(D1216 &amp; 3):INDIRECT(D1216 &amp; 24)))</f>
        <v/>
      </c>
      <c r="F1216" s="5" t="str">
        <f t="shared" si="38"/>
        <v/>
      </c>
      <c r="G1216" s="5" t="str">
        <f>IF(F1216="", "", IF(B1216&lt;&gt;"", MATCH(B1216, params!$B$2:$R$2, 0), G1215))</f>
        <v/>
      </c>
      <c r="H1216" s="5" t="str">
        <f t="shared" ca="1" si="39"/>
        <v/>
      </c>
      <c r="M1216" s="2"/>
    </row>
    <row r="1217" spans="2:13" ht="15.6" x14ac:dyDescent="0.3">
      <c r="B1217" s="5" t="str">
        <f>IF(COUNTIF(data_val!$E$3:$E$5, sample_log!$E1217), sample_log!$C1217 &amp; "_" &amp; sample_log!$D1217, "")</f>
        <v/>
      </c>
      <c r="C1217" s="5" t="str">
        <f>IF(B1217="", IF(F1217="", "", C1216), IF(sample_log!E1217="Triennial SASS", "tri_params", "params"))</f>
        <v/>
      </c>
      <c r="D1217" s="5" t="str">
        <f>IF(B1217="", "", C1217 &amp; "!" &amp; CHAR(65+MATCH(B1217, params!$B$2:$R$2, 0)))</f>
        <v/>
      </c>
      <c r="E1217" s="5" t="str">
        <f ca="1">IF(B1217="", "", COUNTA(INDIRECT(D1217 &amp; 3):INDIRECT(D1217 &amp; 24)))</f>
        <v/>
      </c>
      <c r="F1217" s="5" t="str">
        <f t="shared" si="38"/>
        <v/>
      </c>
      <c r="G1217" s="5" t="str">
        <f>IF(F1217="", "", IF(B1217&lt;&gt;"", MATCH(B1217, params!$B$2:$R$2, 0), G1216))</f>
        <v/>
      </c>
      <c r="H1217" s="5" t="str">
        <f t="shared" ca="1" si="39"/>
        <v/>
      </c>
      <c r="M1217" s="2"/>
    </row>
    <row r="1218" spans="2:13" ht="15.6" x14ac:dyDescent="0.3">
      <c r="B1218" s="5" t="str">
        <f>IF(COUNTIF(data_val!$E$3:$E$5, sample_log!$E1218), sample_log!$C1218 &amp; "_" &amp; sample_log!$D1218, "")</f>
        <v/>
      </c>
      <c r="C1218" s="5" t="str">
        <f>IF(B1218="", IF(F1218="", "", C1217), IF(sample_log!E1218="Triennial SASS", "tri_params", "params"))</f>
        <v/>
      </c>
      <c r="D1218" s="5" t="str">
        <f>IF(B1218="", "", C1218 &amp; "!" &amp; CHAR(65+MATCH(B1218, params!$B$2:$R$2, 0)))</f>
        <v/>
      </c>
      <c r="E1218" s="5" t="str">
        <f ca="1">IF(B1218="", "", COUNTA(INDIRECT(D1218 &amp; 3):INDIRECT(D1218 &amp; 24)))</f>
        <v/>
      </c>
      <c r="F1218" s="5" t="str">
        <f t="shared" si="38"/>
        <v/>
      </c>
      <c r="G1218" s="5" t="str">
        <f>IF(F1218="", "", IF(B1218&lt;&gt;"", MATCH(B1218, params!$B$2:$R$2, 0), G1217))</f>
        <v/>
      </c>
      <c r="H1218" s="5" t="str">
        <f t="shared" ca="1" si="39"/>
        <v/>
      </c>
      <c r="M1218" s="2"/>
    </row>
    <row r="1219" spans="2:13" ht="15.6" x14ac:dyDescent="0.3">
      <c r="B1219" s="5" t="str">
        <f>IF(COUNTIF(data_val!$E$3:$E$5, sample_log!$E1219), sample_log!$C1219 &amp; "_" &amp; sample_log!$D1219, "")</f>
        <v/>
      </c>
      <c r="C1219" s="5" t="str">
        <f>IF(B1219="", IF(F1219="", "", C1218), IF(sample_log!E1219="Triennial SASS", "tri_params", "params"))</f>
        <v/>
      </c>
      <c r="D1219" s="5" t="str">
        <f>IF(B1219="", "", C1219 &amp; "!" &amp; CHAR(65+MATCH(B1219, params!$B$2:$R$2, 0)))</f>
        <v/>
      </c>
      <c r="E1219" s="5" t="str">
        <f ca="1">IF(B1219="", "", COUNTA(INDIRECT(D1219 &amp; 3):INDIRECT(D1219 &amp; 24)))</f>
        <v/>
      </c>
      <c r="F1219" s="5" t="str">
        <f t="shared" ref="F1219:F1282" si="40">IF(B1219="", IF(NOT(ISNUMBER(F1218)), "", IF(F1218-1&gt;0, F1218-1, "")), E1219)</f>
        <v/>
      </c>
      <c r="G1219" s="5" t="str">
        <f>IF(F1219="", "", IF(B1219&lt;&gt;"", MATCH(B1219, params!$B$2:$R$2, 0), G1218))</f>
        <v/>
      </c>
      <c r="H1219" s="5" t="str">
        <f t="shared" ca="1" si="39"/>
        <v/>
      </c>
      <c r="M1219" s="2"/>
    </row>
    <row r="1220" spans="2:13" ht="15.6" x14ac:dyDescent="0.3">
      <c r="B1220" s="5" t="str">
        <f>IF(COUNTIF(data_val!$E$3:$E$5, sample_log!$E1220), sample_log!$C1220 &amp; "_" &amp; sample_log!$D1220, "")</f>
        <v/>
      </c>
      <c r="C1220" s="5" t="str">
        <f>IF(B1220="", IF(F1220="", "", C1219), IF(sample_log!E1220="Triennial SASS", "tri_params", "params"))</f>
        <v/>
      </c>
      <c r="D1220" s="5" t="str">
        <f>IF(B1220="", "", C1220 &amp; "!" &amp; CHAR(65+MATCH(B1220, params!$B$2:$R$2, 0)))</f>
        <v/>
      </c>
      <c r="E1220" s="5" t="str">
        <f ca="1">IF(B1220="", "", COUNTA(INDIRECT(D1220 &amp; 3):INDIRECT(D1220 &amp; 24)))</f>
        <v/>
      </c>
      <c r="F1220" s="5" t="str">
        <f t="shared" si="40"/>
        <v/>
      </c>
      <c r="G1220" s="5" t="str">
        <f>IF(F1220="", "", IF(B1220&lt;&gt;"", MATCH(B1220, params!$B$2:$R$2, 0), G1219))</f>
        <v/>
      </c>
      <c r="H1220" s="5" t="str">
        <f t="shared" ca="1" si="39"/>
        <v/>
      </c>
      <c r="M1220" s="2"/>
    </row>
    <row r="1221" spans="2:13" ht="15.6" x14ac:dyDescent="0.3">
      <c r="B1221" s="5" t="str">
        <f>IF(COUNTIF(data_val!$E$3:$E$5, sample_log!$E1221), sample_log!$C1221 &amp; "_" &amp; sample_log!$D1221, "")</f>
        <v/>
      </c>
      <c r="C1221" s="5" t="str">
        <f>IF(B1221="", IF(F1221="", "", C1220), IF(sample_log!E1221="Triennial SASS", "tri_params", "params"))</f>
        <v/>
      </c>
      <c r="D1221" s="5" t="str">
        <f>IF(B1221="", "", C1221 &amp; "!" &amp; CHAR(65+MATCH(B1221, params!$B$2:$R$2, 0)))</f>
        <v/>
      </c>
      <c r="E1221" s="5" t="str">
        <f ca="1">IF(B1221="", "", COUNTA(INDIRECT(D1221 &amp; 3):INDIRECT(D1221 &amp; 24)))</f>
        <v/>
      </c>
      <c r="F1221" s="5" t="str">
        <f t="shared" si="40"/>
        <v/>
      </c>
      <c r="G1221" s="5" t="str">
        <f>IF(F1221="", "", IF(B1221&lt;&gt;"", MATCH(B1221, params!$B$2:$R$2, 0), G1220))</f>
        <v/>
      </c>
      <c r="H1221" s="5" t="str">
        <f t="shared" ca="1" si="39"/>
        <v/>
      </c>
      <c r="M1221" s="2"/>
    </row>
    <row r="1222" spans="2:13" ht="15.6" x14ac:dyDescent="0.3">
      <c r="B1222" s="5" t="str">
        <f>IF(COUNTIF(data_val!$E$3:$E$5, sample_log!$E1222), sample_log!$C1222 &amp; "_" &amp; sample_log!$D1222, "")</f>
        <v/>
      </c>
      <c r="C1222" s="5" t="str">
        <f>IF(B1222="", IF(F1222="", "", C1221), IF(sample_log!E1222="Triennial SASS", "tri_params", "params"))</f>
        <v/>
      </c>
      <c r="D1222" s="5" t="str">
        <f>IF(B1222="", "", C1222 &amp; "!" &amp; CHAR(65+MATCH(B1222, params!$B$2:$R$2, 0)))</f>
        <v/>
      </c>
      <c r="E1222" s="5" t="str">
        <f ca="1">IF(B1222="", "", COUNTA(INDIRECT(D1222 &amp; 3):INDIRECT(D1222 &amp; 24)))</f>
        <v/>
      </c>
      <c r="F1222" s="5" t="str">
        <f t="shared" si="40"/>
        <v/>
      </c>
      <c r="G1222" s="5" t="str">
        <f>IF(F1222="", "", IF(B1222&lt;&gt;"", MATCH(B1222, params!$B$2:$R$2, 0), G1221))</f>
        <v/>
      </c>
      <c r="H1222" s="5" t="str">
        <f t="shared" ca="1" si="39"/>
        <v/>
      </c>
      <c r="M1222" s="2"/>
    </row>
    <row r="1223" spans="2:13" ht="15.6" x14ac:dyDescent="0.3">
      <c r="B1223" s="5" t="str">
        <f>IF(COUNTIF(data_val!$E$3:$E$5, sample_log!$E1223), sample_log!$C1223 &amp; "_" &amp; sample_log!$D1223, "")</f>
        <v/>
      </c>
      <c r="C1223" s="5" t="str">
        <f>IF(B1223="", IF(F1223="", "", C1222), IF(sample_log!E1223="Triennial SASS", "tri_params", "params"))</f>
        <v/>
      </c>
      <c r="D1223" s="5" t="str">
        <f>IF(B1223="", "", C1223 &amp; "!" &amp; CHAR(65+MATCH(B1223, params!$B$2:$R$2, 0)))</f>
        <v/>
      </c>
      <c r="E1223" s="5" t="str">
        <f ca="1">IF(B1223="", "", COUNTA(INDIRECT(D1223 &amp; 3):INDIRECT(D1223 &amp; 24)))</f>
        <v/>
      </c>
      <c r="F1223" s="5" t="str">
        <f t="shared" si="40"/>
        <v/>
      </c>
      <c r="G1223" s="5" t="str">
        <f>IF(F1223="", "", IF(B1223&lt;&gt;"", MATCH(B1223, params!$B$2:$R$2, 0), G1222))</f>
        <v/>
      </c>
      <c r="H1223" s="5" t="str">
        <f t="shared" ca="1" si="39"/>
        <v/>
      </c>
      <c r="M1223" s="2"/>
    </row>
    <row r="1224" spans="2:13" ht="15.6" x14ac:dyDescent="0.3">
      <c r="B1224" s="5" t="str">
        <f>IF(COUNTIF(data_val!$E$3:$E$5, sample_log!$E1224), sample_log!$C1224 &amp; "_" &amp; sample_log!$D1224, "")</f>
        <v/>
      </c>
      <c r="C1224" s="5" t="str">
        <f>IF(B1224="", IF(F1224="", "", C1223), IF(sample_log!E1224="Triennial SASS", "tri_params", "params"))</f>
        <v/>
      </c>
      <c r="D1224" s="5" t="str">
        <f>IF(B1224="", "", C1224 &amp; "!" &amp; CHAR(65+MATCH(B1224, params!$B$2:$R$2, 0)))</f>
        <v/>
      </c>
      <c r="E1224" s="5" t="str">
        <f ca="1">IF(B1224="", "", COUNTA(INDIRECT(D1224 &amp; 3):INDIRECT(D1224 &amp; 24)))</f>
        <v/>
      </c>
      <c r="F1224" s="5" t="str">
        <f t="shared" si="40"/>
        <v/>
      </c>
      <c r="G1224" s="5" t="str">
        <f>IF(F1224="", "", IF(B1224&lt;&gt;"", MATCH(B1224, params!$B$2:$R$2, 0), G1223))</f>
        <v/>
      </c>
      <c r="H1224" s="5" t="str">
        <f t="shared" ca="1" si="39"/>
        <v/>
      </c>
      <c r="M1224" s="2"/>
    </row>
    <row r="1225" spans="2:13" ht="15.6" x14ac:dyDescent="0.3">
      <c r="B1225" s="5" t="str">
        <f>IF(COUNTIF(data_val!$E$3:$E$5, sample_log!$E1225), sample_log!$C1225 &amp; "_" &amp; sample_log!$D1225, "")</f>
        <v/>
      </c>
      <c r="C1225" s="5" t="str">
        <f>IF(B1225="", IF(F1225="", "", C1224), IF(sample_log!E1225="Triennial SASS", "tri_params", "params"))</f>
        <v/>
      </c>
      <c r="D1225" s="5" t="str">
        <f>IF(B1225="", "", C1225 &amp; "!" &amp; CHAR(65+MATCH(B1225, params!$B$2:$R$2, 0)))</f>
        <v/>
      </c>
      <c r="E1225" s="5" t="str">
        <f ca="1">IF(B1225="", "", COUNTA(INDIRECT(D1225 &amp; 3):INDIRECT(D1225 &amp; 24)))</f>
        <v/>
      </c>
      <c r="F1225" s="5" t="str">
        <f t="shared" si="40"/>
        <v/>
      </c>
      <c r="G1225" s="5" t="str">
        <f>IF(F1225="", "", IF(B1225&lt;&gt;"", MATCH(B1225, params!$B$2:$R$2, 0), G1224))</f>
        <v/>
      </c>
      <c r="H1225" s="5" t="str">
        <f t="shared" ca="1" si="39"/>
        <v/>
      </c>
      <c r="M1225" s="2"/>
    </row>
    <row r="1226" spans="2:13" ht="15.6" x14ac:dyDescent="0.3">
      <c r="B1226" s="5" t="str">
        <f>IF(COUNTIF(data_val!$E$3:$E$5, sample_log!$E1226), sample_log!$C1226 &amp; "_" &amp; sample_log!$D1226, "")</f>
        <v/>
      </c>
      <c r="C1226" s="5" t="str">
        <f>IF(B1226="", IF(F1226="", "", C1225), IF(sample_log!E1226="Triennial SASS", "tri_params", "params"))</f>
        <v/>
      </c>
      <c r="D1226" s="5" t="str">
        <f>IF(B1226="", "", C1226 &amp; "!" &amp; CHAR(65+MATCH(B1226, params!$B$2:$R$2, 0)))</f>
        <v/>
      </c>
      <c r="E1226" s="5" t="str">
        <f ca="1">IF(B1226="", "", COUNTA(INDIRECT(D1226 &amp; 3):INDIRECT(D1226 &amp; 24)))</f>
        <v/>
      </c>
      <c r="F1226" s="5" t="str">
        <f t="shared" si="40"/>
        <v/>
      </c>
      <c r="G1226" s="5" t="str">
        <f>IF(F1226="", "", IF(B1226&lt;&gt;"", MATCH(B1226, params!$B$2:$R$2, 0), G1225))</f>
        <v/>
      </c>
      <c r="H1226" s="5" t="str">
        <f t="shared" ca="1" si="39"/>
        <v/>
      </c>
      <c r="M1226" s="2"/>
    </row>
    <row r="1227" spans="2:13" ht="15.6" x14ac:dyDescent="0.3">
      <c r="B1227" s="5" t="str">
        <f>IF(COUNTIF(data_val!$E$3:$E$5, sample_log!$E1227), sample_log!$C1227 &amp; "_" &amp; sample_log!$D1227, "")</f>
        <v/>
      </c>
      <c r="C1227" s="5" t="str">
        <f>IF(B1227="", IF(F1227="", "", C1226), IF(sample_log!E1227="Triennial SASS", "tri_params", "params"))</f>
        <v/>
      </c>
      <c r="D1227" s="5" t="str">
        <f>IF(B1227="", "", C1227 &amp; "!" &amp; CHAR(65+MATCH(B1227, params!$B$2:$R$2, 0)))</f>
        <v/>
      </c>
      <c r="E1227" s="5" t="str">
        <f ca="1">IF(B1227="", "", COUNTA(INDIRECT(D1227 &amp; 3):INDIRECT(D1227 &amp; 24)))</f>
        <v/>
      </c>
      <c r="F1227" s="5" t="str">
        <f t="shared" si="40"/>
        <v/>
      </c>
      <c r="G1227" s="5" t="str">
        <f>IF(F1227="", "", IF(B1227&lt;&gt;"", MATCH(B1227, params!$B$2:$R$2, 0), G1226))</f>
        <v/>
      </c>
      <c r="H1227" s="5" t="str">
        <f t="shared" ca="1" si="39"/>
        <v/>
      </c>
      <c r="M1227" s="2"/>
    </row>
    <row r="1228" spans="2:13" ht="15.6" x14ac:dyDescent="0.3">
      <c r="B1228" s="5" t="str">
        <f>IF(COUNTIF(data_val!$E$3:$E$5, sample_log!$E1228), sample_log!$C1228 &amp; "_" &amp; sample_log!$D1228, "")</f>
        <v/>
      </c>
      <c r="C1228" s="5" t="str">
        <f>IF(B1228="", IF(F1228="", "", C1227), IF(sample_log!E1228="Triennial SASS", "tri_params", "params"))</f>
        <v/>
      </c>
      <c r="D1228" s="5" t="str">
        <f>IF(B1228="", "", C1228 &amp; "!" &amp; CHAR(65+MATCH(B1228, params!$B$2:$R$2, 0)))</f>
        <v/>
      </c>
      <c r="E1228" s="5" t="str">
        <f ca="1">IF(B1228="", "", COUNTA(INDIRECT(D1228 &amp; 3):INDIRECT(D1228 &amp; 24)))</f>
        <v/>
      </c>
      <c r="F1228" s="5" t="str">
        <f t="shared" si="40"/>
        <v/>
      </c>
      <c r="G1228" s="5" t="str">
        <f>IF(F1228="", "", IF(B1228&lt;&gt;"", MATCH(B1228, params!$B$2:$R$2, 0), G1227))</f>
        <v/>
      </c>
      <c r="H1228" s="5" t="str">
        <f t="shared" ca="1" si="39"/>
        <v/>
      </c>
      <c r="M1228" s="2"/>
    </row>
    <row r="1229" spans="2:13" ht="15.6" x14ac:dyDescent="0.3">
      <c r="B1229" s="5" t="str">
        <f>IF(COUNTIF(data_val!$E$3:$E$5, sample_log!$E1229), sample_log!$C1229 &amp; "_" &amp; sample_log!$D1229, "")</f>
        <v/>
      </c>
      <c r="C1229" s="5" t="str">
        <f>IF(B1229="", IF(F1229="", "", C1228), IF(sample_log!E1229="Triennial SASS", "tri_params", "params"))</f>
        <v/>
      </c>
      <c r="D1229" s="5" t="str">
        <f>IF(B1229="", "", C1229 &amp; "!" &amp; CHAR(65+MATCH(B1229, params!$B$2:$R$2, 0)))</f>
        <v/>
      </c>
      <c r="E1229" s="5" t="str">
        <f ca="1">IF(B1229="", "", COUNTA(INDIRECT(D1229 &amp; 3):INDIRECT(D1229 &amp; 24)))</f>
        <v/>
      </c>
      <c r="F1229" s="5" t="str">
        <f t="shared" si="40"/>
        <v/>
      </c>
      <c r="G1229" s="5" t="str">
        <f>IF(F1229="", "", IF(B1229&lt;&gt;"", MATCH(B1229, params!$B$2:$R$2, 0), G1228))</f>
        <v/>
      </c>
      <c r="H1229" s="5" t="str">
        <f t="shared" ca="1" si="39"/>
        <v/>
      </c>
      <c r="M1229" s="2"/>
    </row>
    <row r="1230" spans="2:13" ht="15.6" x14ac:dyDescent="0.3">
      <c r="B1230" s="5" t="str">
        <f>IF(COUNTIF(data_val!$E$3:$E$5, sample_log!$E1230), sample_log!$C1230 &amp; "_" &amp; sample_log!$D1230, "")</f>
        <v/>
      </c>
      <c r="C1230" s="5" t="str">
        <f>IF(B1230="", IF(F1230="", "", C1229), IF(sample_log!E1230="Triennial SASS", "tri_params", "params"))</f>
        <v/>
      </c>
      <c r="D1230" s="5" t="str">
        <f>IF(B1230="", "", C1230 &amp; "!" &amp; CHAR(65+MATCH(B1230, params!$B$2:$R$2, 0)))</f>
        <v/>
      </c>
      <c r="E1230" s="5" t="str">
        <f ca="1">IF(B1230="", "", COUNTA(INDIRECT(D1230 &amp; 3):INDIRECT(D1230 &amp; 24)))</f>
        <v/>
      </c>
      <c r="F1230" s="5" t="str">
        <f t="shared" si="40"/>
        <v/>
      </c>
      <c r="G1230" s="5" t="str">
        <f>IF(F1230="", "", IF(B1230&lt;&gt;"", MATCH(B1230, params!$B$2:$R$2, 0), G1229))</f>
        <v/>
      </c>
      <c r="H1230" s="5" t="str">
        <f t="shared" ca="1" si="39"/>
        <v/>
      </c>
      <c r="M1230" s="2"/>
    </row>
    <row r="1231" spans="2:13" ht="15.6" x14ac:dyDescent="0.3">
      <c r="B1231" s="5" t="str">
        <f>IF(COUNTIF(data_val!$E$3:$E$5, sample_log!$E1231), sample_log!$C1231 &amp; "_" &amp; sample_log!$D1231, "")</f>
        <v/>
      </c>
      <c r="C1231" s="5" t="str">
        <f>IF(B1231="", IF(F1231="", "", C1230), IF(sample_log!E1231="Triennial SASS", "tri_params", "params"))</f>
        <v/>
      </c>
      <c r="D1231" s="5" t="str">
        <f>IF(B1231="", "", C1231 &amp; "!" &amp; CHAR(65+MATCH(B1231, params!$B$2:$R$2, 0)))</f>
        <v/>
      </c>
      <c r="E1231" s="5" t="str">
        <f ca="1">IF(B1231="", "", COUNTA(INDIRECT(D1231 &amp; 3):INDIRECT(D1231 &amp; 24)))</f>
        <v/>
      </c>
      <c r="F1231" s="5" t="str">
        <f t="shared" si="40"/>
        <v/>
      </c>
      <c r="G1231" s="5" t="str">
        <f>IF(F1231="", "", IF(B1231&lt;&gt;"", MATCH(B1231, params!$B$2:$R$2, 0), G1230))</f>
        <v/>
      </c>
      <c r="H1231" s="5" t="str">
        <f t="shared" ca="1" si="39"/>
        <v/>
      </c>
      <c r="M1231" s="2"/>
    </row>
    <row r="1232" spans="2:13" ht="15.6" x14ac:dyDescent="0.3">
      <c r="B1232" s="5" t="str">
        <f>IF(COUNTIF(data_val!$E$3:$E$5, sample_log!$E1232), sample_log!$C1232 &amp; "_" &amp; sample_log!$D1232, "")</f>
        <v/>
      </c>
      <c r="C1232" s="5" t="str">
        <f>IF(B1232="", IF(F1232="", "", C1231), IF(sample_log!E1232="Triennial SASS", "tri_params", "params"))</f>
        <v/>
      </c>
      <c r="D1232" s="5" t="str">
        <f>IF(B1232="", "", C1232 &amp; "!" &amp; CHAR(65+MATCH(B1232, params!$B$2:$R$2, 0)))</f>
        <v/>
      </c>
      <c r="E1232" s="5" t="str">
        <f ca="1">IF(B1232="", "", COUNTA(INDIRECT(D1232 &amp; 3):INDIRECT(D1232 &amp; 24)))</f>
        <v/>
      </c>
      <c r="F1232" s="5" t="str">
        <f t="shared" si="40"/>
        <v/>
      </c>
      <c r="G1232" s="5" t="str">
        <f>IF(F1232="", "", IF(B1232&lt;&gt;"", MATCH(B1232, params!$B$2:$R$2, 0), G1231))</f>
        <v/>
      </c>
      <c r="H1232" s="5" t="str">
        <f t="shared" ca="1" si="39"/>
        <v/>
      </c>
      <c r="M1232" s="2"/>
    </row>
    <row r="1233" spans="2:13" ht="15.6" x14ac:dyDescent="0.3">
      <c r="B1233" s="5" t="str">
        <f>IF(COUNTIF(data_val!$E$3:$E$5, sample_log!$E1233), sample_log!$C1233 &amp; "_" &amp; sample_log!$D1233, "")</f>
        <v/>
      </c>
      <c r="C1233" s="5" t="str">
        <f>IF(B1233="", IF(F1233="", "", C1232), IF(sample_log!E1233="Triennial SASS", "tri_params", "params"))</f>
        <v/>
      </c>
      <c r="D1233" s="5" t="str">
        <f>IF(B1233="", "", C1233 &amp; "!" &amp; CHAR(65+MATCH(B1233, params!$B$2:$R$2, 0)))</f>
        <v/>
      </c>
      <c r="E1233" s="5" t="str">
        <f ca="1">IF(B1233="", "", COUNTA(INDIRECT(D1233 &amp; 3):INDIRECT(D1233 &amp; 24)))</f>
        <v/>
      </c>
      <c r="F1233" s="5" t="str">
        <f t="shared" si="40"/>
        <v/>
      </c>
      <c r="G1233" s="5" t="str">
        <f>IF(F1233="", "", IF(B1233&lt;&gt;"", MATCH(B1233, params!$B$2:$R$2, 0), G1232))</f>
        <v/>
      </c>
      <c r="H1233" s="5" t="str">
        <f t="shared" ca="1" si="39"/>
        <v/>
      </c>
      <c r="M1233" s="2"/>
    </row>
    <row r="1234" spans="2:13" ht="15.6" x14ac:dyDescent="0.3">
      <c r="B1234" s="5" t="str">
        <f>IF(COUNTIF(data_val!$E$3:$E$5, sample_log!$E1234), sample_log!$C1234 &amp; "_" &amp; sample_log!$D1234, "")</f>
        <v/>
      </c>
      <c r="C1234" s="5" t="str">
        <f>IF(B1234="", IF(F1234="", "", C1233), IF(sample_log!E1234="Triennial SASS", "tri_params", "params"))</f>
        <v/>
      </c>
      <c r="D1234" s="5" t="str">
        <f>IF(B1234="", "", C1234 &amp; "!" &amp; CHAR(65+MATCH(B1234, params!$B$2:$R$2, 0)))</f>
        <v/>
      </c>
      <c r="E1234" s="5" t="str">
        <f ca="1">IF(B1234="", "", COUNTA(INDIRECT(D1234 &amp; 3):INDIRECT(D1234 &amp; 24)))</f>
        <v/>
      </c>
      <c r="F1234" s="5" t="str">
        <f t="shared" si="40"/>
        <v/>
      </c>
      <c r="G1234" s="5" t="str">
        <f>IF(F1234="", "", IF(B1234&lt;&gt;"", MATCH(B1234, params!$B$2:$R$2, 0), G1233))</f>
        <v/>
      </c>
      <c r="H1234" s="5" t="str">
        <f t="shared" ca="1" si="39"/>
        <v/>
      </c>
      <c r="M1234" s="2"/>
    </row>
    <row r="1235" spans="2:13" ht="15.6" x14ac:dyDescent="0.3">
      <c r="B1235" s="5" t="str">
        <f>IF(COUNTIF(data_val!$E$3:$E$5, sample_log!$E1235), sample_log!$C1235 &amp; "_" &amp; sample_log!$D1235, "")</f>
        <v/>
      </c>
      <c r="C1235" s="5" t="str">
        <f>IF(B1235="", IF(F1235="", "", C1234), IF(sample_log!E1235="Triennial SASS", "tri_params", "params"))</f>
        <v/>
      </c>
      <c r="D1235" s="5" t="str">
        <f>IF(B1235="", "", C1235 &amp; "!" &amp; CHAR(65+MATCH(B1235, params!$B$2:$R$2, 0)))</f>
        <v/>
      </c>
      <c r="E1235" s="5" t="str">
        <f ca="1">IF(B1235="", "", COUNTA(INDIRECT(D1235 &amp; 3):INDIRECT(D1235 &amp; 24)))</f>
        <v/>
      </c>
      <c r="F1235" s="5" t="str">
        <f t="shared" si="40"/>
        <v/>
      </c>
      <c r="G1235" s="5" t="str">
        <f>IF(F1235="", "", IF(B1235&lt;&gt;"", MATCH(B1235, params!$B$2:$R$2, 0), G1234))</f>
        <v/>
      </c>
      <c r="H1235" s="5" t="str">
        <f t="shared" ca="1" si="39"/>
        <v/>
      </c>
      <c r="M1235" s="2"/>
    </row>
    <row r="1236" spans="2:13" ht="15.6" x14ac:dyDescent="0.3">
      <c r="B1236" s="5" t="str">
        <f>IF(COUNTIF(data_val!$E$3:$E$5, sample_log!$E1236), sample_log!$C1236 &amp; "_" &amp; sample_log!$D1236, "")</f>
        <v/>
      </c>
      <c r="C1236" s="5" t="str">
        <f>IF(B1236="", IF(F1236="", "", C1235), IF(sample_log!E1236="Triennial SASS", "tri_params", "params"))</f>
        <v/>
      </c>
      <c r="D1236" s="5" t="str">
        <f>IF(B1236="", "", C1236 &amp; "!" &amp; CHAR(65+MATCH(B1236, params!$B$2:$R$2, 0)))</f>
        <v/>
      </c>
      <c r="E1236" s="5" t="str">
        <f ca="1">IF(B1236="", "", COUNTA(INDIRECT(D1236 &amp; 3):INDIRECT(D1236 &amp; 24)))</f>
        <v/>
      </c>
      <c r="F1236" s="5" t="str">
        <f t="shared" si="40"/>
        <v/>
      </c>
      <c r="G1236" s="5" t="str">
        <f>IF(F1236="", "", IF(B1236&lt;&gt;"", MATCH(B1236, params!$B$2:$R$2, 0), G1235))</f>
        <v/>
      </c>
      <c r="H1236" s="5" t="str">
        <f t="shared" ca="1" si="39"/>
        <v/>
      </c>
      <c r="M1236" s="2"/>
    </row>
    <row r="1237" spans="2:13" ht="15.6" x14ac:dyDescent="0.3">
      <c r="B1237" s="5" t="str">
        <f>IF(COUNTIF(data_val!$E$3:$E$5, sample_log!$E1237), sample_log!$C1237 &amp; "_" &amp; sample_log!$D1237, "")</f>
        <v/>
      </c>
      <c r="C1237" s="5" t="str">
        <f>IF(B1237="", IF(F1237="", "", C1236), IF(sample_log!E1237="Triennial SASS", "tri_params", "params"))</f>
        <v/>
      </c>
      <c r="D1237" s="5" t="str">
        <f>IF(B1237="", "", C1237 &amp; "!" &amp; CHAR(65+MATCH(B1237, params!$B$2:$R$2, 0)))</f>
        <v/>
      </c>
      <c r="E1237" s="5" t="str">
        <f ca="1">IF(B1237="", "", COUNTA(INDIRECT(D1237 &amp; 3):INDIRECT(D1237 &amp; 24)))</f>
        <v/>
      </c>
      <c r="F1237" s="5" t="str">
        <f t="shared" si="40"/>
        <v/>
      </c>
      <c r="G1237" s="5" t="str">
        <f>IF(F1237="", "", IF(B1237&lt;&gt;"", MATCH(B1237, params!$B$2:$R$2, 0), G1236))</f>
        <v/>
      </c>
      <c r="H1237" s="5" t="str">
        <f t="shared" ca="1" si="39"/>
        <v/>
      </c>
      <c r="M1237" s="2"/>
    </row>
    <row r="1238" spans="2:13" ht="15.6" x14ac:dyDescent="0.3">
      <c r="B1238" s="5" t="str">
        <f>IF(COUNTIF(data_val!$E$3:$E$5, sample_log!$E1238), sample_log!$C1238 &amp; "_" &amp; sample_log!$D1238, "")</f>
        <v/>
      </c>
      <c r="C1238" s="5" t="str">
        <f>IF(B1238="", IF(F1238="", "", C1237), IF(sample_log!E1238="Triennial SASS", "tri_params", "params"))</f>
        <v/>
      </c>
      <c r="D1238" s="5" t="str">
        <f>IF(B1238="", "", C1238 &amp; "!" &amp; CHAR(65+MATCH(B1238, params!$B$2:$R$2, 0)))</f>
        <v/>
      </c>
      <c r="E1238" s="5" t="str">
        <f ca="1">IF(B1238="", "", COUNTA(INDIRECT(D1238 &amp; 3):INDIRECT(D1238 &amp; 24)))</f>
        <v/>
      </c>
      <c r="F1238" s="5" t="str">
        <f t="shared" si="40"/>
        <v/>
      </c>
      <c r="G1238" s="5" t="str">
        <f>IF(F1238="", "", IF(B1238&lt;&gt;"", MATCH(B1238, params!$B$2:$R$2, 0), G1237))</f>
        <v/>
      </c>
      <c r="H1238" s="5" t="str">
        <f t="shared" ca="1" si="39"/>
        <v/>
      </c>
      <c r="M1238" s="2"/>
    </row>
    <row r="1239" spans="2:13" ht="15.6" x14ac:dyDescent="0.3">
      <c r="B1239" s="5" t="str">
        <f>IF(COUNTIF(data_val!$E$3:$E$5, sample_log!$E1239), sample_log!$C1239 &amp; "_" &amp; sample_log!$D1239, "")</f>
        <v/>
      </c>
      <c r="C1239" s="5" t="str">
        <f>IF(B1239="", IF(F1239="", "", C1238), IF(sample_log!E1239="Triennial SASS", "tri_params", "params"))</f>
        <v/>
      </c>
      <c r="D1239" s="5" t="str">
        <f>IF(B1239="", "", C1239 &amp; "!" &amp; CHAR(65+MATCH(B1239, params!$B$2:$R$2, 0)))</f>
        <v/>
      </c>
      <c r="E1239" s="5" t="str">
        <f ca="1">IF(B1239="", "", COUNTA(INDIRECT(D1239 &amp; 3):INDIRECT(D1239 &amp; 24)))</f>
        <v/>
      </c>
      <c r="F1239" s="5" t="str">
        <f t="shared" si="40"/>
        <v/>
      </c>
      <c r="G1239" s="5" t="str">
        <f>IF(F1239="", "", IF(B1239&lt;&gt;"", MATCH(B1239, params!$B$2:$R$2, 0), G1238))</f>
        <v/>
      </c>
      <c r="H1239" s="5" t="str">
        <f t="shared" ca="1" si="39"/>
        <v/>
      </c>
      <c r="M1239" s="2"/>
    </row>
    <row r="1240" spans="2:13" ht="15.6" x14ac:dyDescent="0.3">
      <c r="B1240" s="5" t="str">
        <f>IF(COUNTIF(data_val!$E$3:$E$5, sample_log!$E1240), sample_log!$C1240 &amp; "_" &amp; sample_log!$D1240, "")</f>
        <v/>
      </c>
      <c r="C1240" s="5" t="str">
        <f>IF(B1240="", IF(F1240="", "", C1239), IF(sample_log!E1240="Triennial SASS", "tri_params", "params"))</f>
        <v/>
      </c>
      <c r="D1240" s="5" t="str">
        <f>IF(B1240="", "", C1240 &amp; "!" &amp; CHAR(65+MATCH(B1240, params!$B$2:$R$2, 0)))</f>
        <v/>
      </c>
      <c r="E1240" s="5" t="str">
        <f ca="1">IF(B1240="", "", COUNTA(INDIRECT(D1240 &amp; 3):INDIRECT(D1240 &amp; 24)))</f>
        <v/>
      </c>
      <c r="F1240" s="5" t="str">
        <f t="shared" si="40"/>
        <v/>
      </c>
      <c r="G1240" s="5" t="str">
        <f>IF(F1240="", "", IF(B1240&lt;&gt;"", MATCH(B1240, params!$B$2:$R$2, 0), G1239))</f>
        <v/>
      </c>
      <c r="H1240" s="5" t="str">
        <f t="shared" ca="1" si="39"/>
        <v/>
      </c>
      <c r="M1240" s="2"/>
    </row>
    <row r="1241" spans="2:13" ht="15.6" x14ac:dyDescent="0.3">
      <c r="B1241" s="5" t="str">
        <f>IF(COUNTIF(data_val!$E$3:$E$5, sample_log!$E1241), sample_log!$C1241 &amp; "_" &amp; sample_log!$D1241, "")</f>
        <v/>
      </c>
      <c r="C1241" s="5" t="str">
        <f>IF(B1241="", IF(F1241="", "", C1240), IF(sample_log!E1241="Triennial SASS", "tri_params", "params"))</f>
        <v/>
      </c>
      <c r="D1241" s="5" t="str">
        <f>IF(B1241="", "", C1241 &amp; "!" &amp; CHAR(65+MATCH(B1241, params!$B$2:$R$2, 0)))</f>
        <v/>
      </c>
      <c r="E1241" s="5" t="str">
        <f ca="1">IF(B1241="", "", COUNTA(INDIRECT(D1241 &amp; 3):INDIRECT(D1241 &amp; 24)))</f>
        <v/>
      </c>
      <c r="F1241" s="5" t="str">
        <f t="shared" si="40"/>
        <v/>
      </c>
      <c r="G1241" s="5" t="str">
        <f>IF(F1241="", "", IF(B1241&lt;&gt;"", MATCH(B1241, params!$B$2:$R$2, 0), G1240))</f>
        <v/>
      </c>
      <c r="H1241" s="5" t="str">
        <f t="shared" ref="H1241:H1304" ca="1" si="41">IF($F1241="", "", INDEX(INDIRECT("'" &amp; C1241 &amp; "'!$B$3:$R$24"), $F1241, $G1241))</f>
        <v/>
      </c>
      <c r="M1241" s="2"/>
    </row>
    <row r="1242" spans="2:13" ht="15.6" x14ac:dyDescent="0.3">
      <c r="B1242" s="5" t="str">
        <f>IF(COUNTIF(data_val!$E$3:$E$5, sample_log!$E1242), sample_log!$C1242 &amp; "_" &amp; sample_log!$D1242, "")</f>
        <v/>
      </c>
      <c r="C1242" s="5" t="str">
        <f>IF(B1242="", IF(F1242="", "", C1241), IF(sample_log!E1242="Triennial SASS", "tri_params", "params"))</f>
        <v/>
      </c>
      <c r="D1242" s="5" t="str">
        <f>IF(B1242="", "", C1242 &amp; "!" &amp; CHAR(65+MATCH(B1242, params!$B$2:$R$2, 0)))</f>
        <v/>
      </c>
      <c r="E1242" s="5" t="str">
        <f ca="1">IF(B1242="", "", COUNTA(INDIRECT(D1242 &amp; 3):INDIRECT(D1242 &amp; 24)))</f>
        <v/>
      </c>
      <c r="F1242" s="5" t="str">
        <f t="shared" si="40"/>
        <v/>
      </c>
      <c r="G1242" s="5" t="str">
        <f>IF(F1242="", "", IF(B1242&lt;&gt;"", MATCH(B1242, params!$B$2:$R$2, 0), G1241))</f>
        <v/>
      </c>
      <c r="H1242" s="5" t="str">
        <f t="shared" ca="1" si="41"/>
        <v/>
      </c>
      <c r="M1242" s="2"/>
    </row>
    <row r="1243" spans="2:13" ht="15.6" x14ac:dyDescent="0.3">
      <c r="B1243" s="5" t="str">
        <f>IF(COUNTIF(data_val!$E$3:$E$5, sample_log!$E1243), sample_log!$C1243 &amp; "_" &amp; sample_log!$D1243, "")</f>
        <v/>
      </c>
      <c r="C1243" s="5" t="str">
        <f>IF(B1243="", IF(F1243="", "", C1242), IF(sample_log!E1243="Triennial SASS", "tri_params", "params"))</f>
        <v/>
      </c>
      <c r="D1243" s="5" t="str">
        <f>IF(B1243="", "", C1243 &amp; "!" &amp; CHAR(65+MATCH(B1243, params!$B$2:$R$2, 0)))</f>
        <v/>
      </c>
      <c r="E1243" s="5" t="str">
        <f ca="1">IF(B1243="", "", COUNTA(INDIRECT(D1243 &amp; 3):INDIRECT(D1243 &amp; 24)))</f>
        <v/>
      </c>
      <c r="F1243" s="5" t="str">
        <f t="shared" si="40"/>
        <v/>
      </c>
      <c r="G1243" s="5" t="str">
        <f>IF(F1243="", "", IF(B1243&lt;&gt;"", MATCH(B1243, params!$B$2:$R$2, 0), G1242))</f>
        <v/>
      </c>
      <c r="H1243" s="5" t="str">
        <f t="shared" ca="1" si="41"/>
        <v/>
      </c>
      <c r="M1243" s="2"/>
    </row>
    <row r="1244" spans="2:13" ht="15.6" x14ac:dyDescent="0.3">
      <c r="B1244" s="5" t="str">
        <f>IF(COUNTIF(data_val!$E$3:$E$5, sample_log!$E1244), sample_log!$C1244 &amp; "_" &amp; sample_log!$D1244, "")</f>
        <v/>
      </c>
      <c r="C1244" s="5" t="str">
        <f>IF(B1244="", IF(F1244="", "", C1243), IF(sample_log!E1244="Triennial SASS", "tri_params", "params"))</f>
        <v/>
      </c>
      <c r="D1244" s="5" t="str">
        <f>IF(B1244="", "", C1244 &amp; "!" &amp; CHAR(65+MATCH(B1244, params!$B$2:$R$2, 0)))</f>
        <v/>
      </c>
      <c r="E1244" s="5" t="str">
        <f ca="1">IF(B1244="", "", COUNTA(INDIRECT(D1244 &amp; 3):INDIRECT(D1244 &amp; 24)))</f>
        <v/>
      </c>
      <c r="F1244" s="5" t="str">
        <f t="shared" si="40"/>
        <v/>
      </c>
      <c r="G1244" s="5" t="str">
        <f>IF(F1244="", "", IF(B1244&lt;&gt;"", MATCH(B1244, params!$B$2:$R$2, 0), G1243))</f>
        <v/>
      </c>
      <c r="H1244" s="5" t="str">
        <f t="shared" ca="1" si="41"/>
        <v/>
      </c>
      <c r="M1244" s="2"/>
    </row>
    <row r="1245" spans="2:13" ht="15.6" x14ac:dyDescent="0.3">
      <c r="B1245" s="5" t="str">
        <f>IF(COUNTIF(data_val!$E$3:$E$5, sample_log!$E1245), sample_log!$C1245 &amp; "_" &amp; sample_log!$D1245, "")</f>
        <v/>
      </c>
      <c r="C1245" s="5" t="str">
        <f>IF(B1245="", IF(F1245="", "", C1244), IF(sample_log!E1245="Triennial SASS", "tri_params", "params"))</f>
        <v/>
      </c>
      <c r="D1245" s="5" t="str">
        <f>IF(B1245="", "", C1245 &amp; "!" &amp; CHAR(65+MATCH(B1245, params!$B$2:$R$2, 0)))</f>
        <v/>
      </c>
      <c r="E1245" s="5" t="str">
        <f ca="1">IF(B1245="", "", COUNTA(INDIRECT(D1245 &amp; 3):INDIRECT(D1245 &amp; 24)))</f>
        <v/>
      </c>
      <c r="F1245" s="5" t="str">
        <f t="shared" si="40"/>
        <v/>
      </c>
      <c r="G1245" s="5" t="str">
        <f>IF(F1245="", "", IF(B1245&lt;&gt;"", MATCH(B1245, params!$B$2:$R$2, 0), G1244))</f>
        <v/>
      </c>
      <c r="H1245" s="5" t="str">
        <f t="shared" ca="1" si="41"/>
        <v/>
      </c>
      <c r="M1245" s="2"/>
    </row>
    <row r="1246" spans="2:13" ht="15.6" x14ac:dyDescent="0.3">
      <c r="B1246" s="5" t="str">
        <f>IF(COUNTIF(data_val!$E$3:$E$5, sample_log!$E1246), sample_log!$C1246 &amp; "_" &amp; sample_log!$D1246, "")</f>
        <v/>
      </c>
      <c r="C1246" s="5" t="str">
        <f>IF(B1246="", IF(F1246="", "", C1245), IF(sample_log!E1246="Triennial SASS", "tri_params", "params"))</f>
        <v/>
      </c>
      <c r="D1246" s="5" t="str">
        <f>IF(B1246="", "", C1246 &amp; "!" &amp; CHAR(65+MATCH(B1246, params!$B$2:$R$2, 0)))</f>
        <v/>
      </c>
      <c r="E1246" s="5" t="str">
        <f ca="1">IF(B1246="", "", COUNTA(INDIRECT(D1246 &amp; 3):INDIRECT(D1246 &amp; 24)))</f>
        <v/>
      </c>
      <c r="F1246" s="5" t="str">
        <f t="shared" si="40"/>
        <v/>
      </c>
      <c r="G1246" s="5" t="str">
        <f>IF(F1246="", "", IF(B1246&lt;&gt;"", MATCH(B1246, params!$B$2:$R$2, 0), G1245))</f>
        <v/>
      </c>
      <c r="H1246" s="5" t="str">
        <f t="shared" ca="1" si="41"/>
        <v/>
      </c>
      <c r="M1246" s="2"/>
    </row>
    <row r="1247" spans="2:13" ht="15.6" x14ac:dyDescent="0.3">
      <c r="B1247" s="5" t="str">
        <f>IF(COUNTIF(data_val!$E$3:$E$5, sample_log!$E1247), sample_log!$C1247 &amp; "_" &amp; sample_log!$D1247, "")</f>
        <v/>
      </c>
      <c r="C1247" s="5" t="str">
        <f>IF(B1247="", IF(F1247="", "", C1246), IF(sample_log!E1247="Triennial SASS", "tri_params", "params"))</f>
        <v/>
      </c>
      <c r="D1247" s="5" t="str">
        <f>IF(B1247="", "", C1247 &amp; "!" &amp; CHAR(65+MATCH(B1247, params!$B$2:$R$2, 0)))</f>
        <v/>
      </c>
      <c r="E1247" s="5" t="str">
        <f ca="1">IF(B1247="", "", COUNTA(INDIRECT(D1247 &amp; 3):INDIRECT(D1247 &amp; 24)))</f>
        <v/>
      </c>
      <c r="F1247" s="5" t="str">
        <f t="shared" si="40"/>
        <v/>
      </c>
      <c r="G1247" s="5" t="str">
        <f>IF(F1247="", "", IF(B1247&lt;&gt;"", MATCH(B1247, params!$B$2:$R$2, 0), G1246))</f>
        <v/>
      </c>
      <c r="H1247" s="5" t="str">
        <f t="shared" ca="1" si="41"/>
        <v/>
      </c>
      <c r="M1247" s="2"/>
    </row>
    <row r="1248" spans="2:13" ht="15.6" x14ac:dyDescent="0.3">
      <c r="B1248" s="5" t="str">
        <f>IF(COUNTIF(data_val!$E$3:$E$5, sample_log!$E1248), sample_log!$C1248 &amp; "_" &amp; sample_log!$D1248, "")</f>
        <v/>
      </c>
      <c r="C1248" s="5" t="str">
        <f>IF(B1248="", IF(F1248="", "", C1247), IF(sample_log!E1248="Triennial SASS", "tri_params", "params"))</f>
        <v/>
      </c>
      <c r="D1248" s="5" t="str">
        <f>IF(B1248="", "", C1248 &amp; "!" &amp; CHAR(65+MATCH(B1248, params!$B$2:$R$2, 0)))</f>
        <v/>
      </c>
      <c r="E1248" s="5" t="str">
        <f ca="1">IF(B1248="", "", COUNTA(INDIRECT(D1248 &amp; 3):INDIRECT(D1248 &amp; 24)))</f>
        <v/>
      </c>
      <c r="F1248" s="5" t="str">
        <f t="shared" si="40"/>
        <v/>
      </c>
      <c r="G1248" s="5" t="str">
        <f>IF(F1248="", "", IF(B1248&lt;&gt;"", MATCH(B1248, params!$B$2:$R$2, 0), G1247))</f>
        <v/>
      </c>
      <c r="H1248" s="5" t="str">
        <f t="shared" ca="1" si="41"/>
        <v/>
      </c>
      <c r="M1248" s="2"/>
    </row>
    <row r="1249" spans="2:13" ht="15.6" x14ac:dyDescent="0.3">
      <c r="B1249" s="5" t="str">
        <f>IF(COUNTIF(data_val!$E$3:$E$5, sample_log!$E1249), sample_log!$C1249 &amp; "_" &amp; sample_log!$D1249, "")</f>
        <v/>
      </c>
      <c r="C1249" s="5" t="str">
        <f>IF(B1249="", IF(F1249="", "", C1248), IF(sample_log!E1249="Triennial SASS", "tri_params", "params"))</f>
        <v/>
      </c>
      <c r="D1249" s="5" t="str">
        <f>IF(B1249="", "", C1249 &amp; "!" &amp; CHAR(65+MATCH(B1249, params!$B$2:$R$2, 0)))</f>
        <v/>
      </c>
      <c r="E1249" s="5" t="str">
        <f ca="1">IF(B1249="", "", COUNTA(INDIRECT(D1249 &amp; 3):INDIRECT(D1249 &amp; 24)))</f>
        <v/>
      </c>
      <c r="F1249" s="5" t="str">
        <f t="shared" si="40"/>
        <v/>
      </c>
      <c r="G1249" s="5" t="str">
        <f>IF(F1249="", "", IF(B1249&lt;&gt;"", MATCH(B1249, params!$B$2:$R$2, 0), G1248))</f>
        <v/>
      </c>
      <c r="H1249" s="5" t="str">
        <f t="shared" ca="1" si="41"/>
        <v/>
      </c>
      <c r="M1249" s="2"/>
    </row>
    <row r="1250" spans="2:13" ht="15.6" x14ac:dyDescent="0.3">
      <c r="B1250" s="5" t="str">
        <f>IF(COUNTIF(data_val!$E$3:$E$5, sample_log!$E1250), sample_log!$C1250 &amp; "_" &amp; sample_log!$D1250, "")</f>
        <v/>
      </c>
      <c r="C1250" s="5" t="str">
        <f>IF(B1250="", IF(F1250="", "", C1249), IF(sample_log!E1250="Triennial SASS", "tri_params", "params"))</f>
        <v/>
      </c>
      <c r="D1250" s="5" t="str">
        <f>IF(B1250="", "", C1250 &amp; "!" &amp; CHAR(65+MATCH(B1250, params!$B$2:$R$2, 0)))</f>
        <v/>
      </c>
      <c r="E1250" s="5" t="str">
        <f ca="1">IF(B1250="", "", COUNTA(INDIRECT(D1250 &amp; 3):INDIRECT(D1250 &amp; 24)))</f>
        <v/>
      </c>
      <c r="F1250" s="5" t="str">
        <f t="shared" si="40"/>
        <v/>
      </c>
      <c r="G1250" s="5" t="str">
        <f>IF(F1250="", "", IF(B1250&lt;&gt;"", MATCH(B1250, params!$B$2:$R$2, 0), G1249))</f>
        <v/>
      </c>
      <c r="H1250" s="5" t="str">
        <f t="shared" ca="1" si="41"/>
        <v/>
      </c>
      <c r="M1250" s="2"/>
    </row>
    <row r="1251" spans="2:13" ht="15.6" x14ac:dyDescent="0.3">
      <c r="B1251" s="5" t="str">
        <f>IF(COUNTIF(data_val!$E$3:$E$5, sample_log!$E1251), sample_log!$C1251 &amp; "_" &amp; sample_log!$D1251, "")</f>
        <v/>
      </c>
      <c r="C1251" s="5" t="str">
        <f>IF(B1251="", IF(F1251="", "", C1250), IF(sample_log!E1251="Triennial SASS", "tri_params", "params"))</f>
        <v/>
      </c>
      <c r="D1251" s="5" t="str">
        <f>IF(B1251="", "", C1251 &amp; "!" &amp; CHAR(65+MATCH(B1251, params!$B$2:$R$2, 0)))</f>
        <v/>
      </c>
      <c r="E1251" s="5" t="str">
        <f ca="1">IF(B1251="", "", COUNTA(INDIRECT(D1251 &amp; 3):INDIRECT(D1251 &amp; 24)))</f>
        <v/>
      </c>
      <c r="F1251" s="5" t="str">
        <f t="shared" si="40"/>
        <v/>
      </c>
      <c r="G1251" s="5" t="str">
        <f>IF(F1251="", "", IF(B1251&lt;&gt;"", MATCH(B1251, params!$B$2:$R$2, 0), G1250))</f>
        <v/>
      </c>
      <c r="H1251" s="5" t="str">
        <f t="shared" ca="1" si="41"/>
        <v/>
      </c>
      <c r="M1251" s="2"/>
    </row>
    <row r="1252" spans="2:13" ht="15.6" x14ac:dyDescent="0.3">
      <c r="B1252" s="5" t="str">
        <f>IF(COUNTIF(data_val!$E$3:$E$5, sample_log!$E1252), sample_log!$C1252 &amp; "_" &amp; sample_log!$D1252, "")</f>
        <v/>
      </c>
      <c r="C1252" s="5" t="str">
        <f>IF(B1252="", IF(F1252="", "", C1251), IF(sample_log!E1252="Triennial SASS", "tri_params", "params"))</f>
        <v/>
      </c>
      <c r="D1252" s="5" t="str">
        <f>IF(B1252="", "", C1252 &amp; "!" &amp; CHAR(65+MATCH(B1252, params!$B$2:$R$2, 0)))</f>
        <v/>
      </c>
      <c r="E1252" s="5" t="str">
        <f ca="1">IF(B1252="", "", COUNTA(INDIRECT(D1252 &amp; 3):INDIRECT(D1252 &amp; 24)))</f>
        <v/>
      </c>
      <c r="F1252" s="5" t="str">
        <f t="shared" si="40"/>
        <v/>
      </c>
      <c r="G1252" s="5" t="str">
        <f>IF(F1252="", "", IF(B1252&lt;&gt;"", MATCH(B1252, params!$B$2:$R$2, 0), G1251))</f>
        <v/>
      </c>
      <c r="H1252" s="5" t="str">
        <f t="shared" ca="1" si="41"/>
        <v/>
      </c>
      <c r="M1252" s="2"/>
    </row>
    <row r="1253" spans="2:13" ht="15.6" x14ac:dyDescent="0.3">
      <c r="B1253" s="5" t="str">
        <f>IF(COUNTIF(data_val!$E$3:$E$5, sample_log!$E1253), sample_log!$C1253 &amp; "_" &amp; sample_log!$D1253, "")</f>
        <v/>
      </c>
      <c r="C1253" s="5" t="str">
        <f>IF(B1253="", IF(F1253="", "", C1252), IF(sample_log!E1253="Triennial SASS", "tri_params", "params"))</f>
        <v/>
      </c>
      <c r="D1253" s="5" t="str">
        <f>IF(B1253="", "", C1253 &amp; "!" &amp; CHAR(65+MATCH(B1253, params!$B$2:$R$2, 0)))</f>
        <v/>
      </c>
      <c r="E1253" s="5" t="str">
        <f ca="1">IF(B1253="", "", COUNTA(INDIRECT(D1253 &amp; 3):INDIRECT(D1253 &amp; 24)))</f>
        <v/>
      </c>
      <c r="F1253" s="5" t="str">
        <f t="shared" si="40"/>
        <v/>
      </c>
      <c r="G1253" s="5" t="str">
        <f>IF(F1253="", "", IF(B1253&lt;&gt;"", MATCH(B1253, params!$B$2:$R$2, 0), G1252))</f>
        <v/>
      </c>
      <c r="H1253" s="5" t="str">
        <f t="shared" ca="1" si="41"/>
        <v/>
      </c>
      <c r="M1253" s="2"/>
    </row>
    <row r="1254" spans="2:13" ht="15.6" x14ac:dyDescent="0.3">
      <c r="B1254" s="5" t="str">
        <f>IF(COUNTIF(data_val!$E$3:$E$5, sample_log!$E1254), sample_log!$C1254 &amp; "_" &amp; sample_log!$D1254, "")</f>
        <v/>
      </c>
      <c r="C1254" s="5" t="str">
        <f>IF(B1254="", IF(F1254="", "", C1253), IF(sample_log!E1254="Triennial SASS", "tri_params", "params"))</f>
        <v/>
      </c>
      <c r="D1254" s="5" t="str">
        <f>IF(B1254="", "", C1254 &amp; "!" &amp; CHAR(65+MATCH(B1254, params!$B$2:$R$2, 0)))</f>
        <v/>
      </c>
      <c r="E1254" s="5" t="str">
        <f ca="1">IF(B1254="", "", COUNTA(INDIRECT(D1254 &amp; 3):INDIRECT(D1254 &amp; 24)))</f>
        <v/>
      </c>
      <c r="F1254" s="5" t="str">
        <f t="shared" si="40"/>
        <v/>
      </c>
      <c r="G1254" s="5" t="str">
        <f>IF(F1254="", "", IF(B1254&lt;&gt;"", MATCH(B1254, params!$B$2:$R$2, 0), G1253))</f>
        <v/>
      </c>
      <c r="H1254" s="5" t="str">
        <f t="shared" ca="1" si="41"/>
        <v/>
      </c>
      <c r="M1254" s="2"/>
    </row>
    <row r="1255" spans="2:13" ht="15.6" x14ac:dyDescent="0.3">
      <c r="B1255" s="5" t="str">
        <f>IF(COUNTIF(data_val!$E$3:$E$5, sample_log!$E1255), sample_log!$C1255 &amp; "_" &amp; sample_log!$D1255, "")</f>
        <v/>
      </c>
      <c r="C1255" s="5" t="str">
        <f>IF(B1255="", IF(F1255="", "", C1254), IF(sample_log!E1255="Triennial SASS", "tri_params", "params"))</f>
        <v/>
      </c>
      <c r="D1255" s="5" t="str">
        <f>IF(B1255="", "", C1255 &amp; "!" &amp; CHAR(65+MATCH(B1255, params!$B$2:$R$2, 0)))</f>
        <v/>
      </c>
      <c r="E1255" s="5" t="str">
        <f ca="1">IF(B1255="", "", COUNTA(INDIRECT(D1255 &amp; 3):INDIRECT(D1255 &amp; 24)))</f>
        <v/>
      </c>
      <c r="F1255" s="5" t="str">
        <f t="shared" si="40"/>
        <v/>
      </c>
      <c r="G1255" s="5" t="str">
        <f>IF(F1255="", "", IF(B1255&lt;&gt;"", MATCH(B1255, params!$B$2:$R$2, 0), G1254))</f>
        <v/>
      </c>
      <c r="H1255" s="5" t="str">
        <f t="shared" ca="1" si="41"/>
        <v/>
      </c>
      <c r="M1255" s="2"/>
    </row>
    <row r="1256" spans="2:13" ht="15.6" x14ac:dyDescent="0.3">
      <c r="B1256" s="5" t="str">
        <f>IF(COUNTIF(data_val!$E$3:$E$5, sample_log!$E1256), sample_log!$C1256 &amp; "_" &amp; sample_log!$D1256, "")</f>
        <v/>
      </c>
      <c r="C1256" s="5" t="str">
        <f>IF(B1256="", IF(F1256="", "", C1255), IF(sample_log!E1256="Triennial SASS", "tri_params", "params"))</f>
        <v/>
      </c>
      <c r="D1256" s="5" t="str">
        <f>IF(B1256="", "", C1256 &amp; "!" &amp; CHAR(65+MATCH(B1256, params!$B$2:$R$2, 0)))</f>
        <v/>
      </c>
      <c r="E1256" s="5" t="str">
        <f ca="1">IF(B1256="", "", COUNTA(INDIRECT(D1256 &amp; 3):INDIRECT(D1256 &amp; 24)))</f>
        <v/>
      </c>
      <c r="F1256" s="5" t="str">
        <f t="shared" si="40"/>
        <v/>
      </c>
      <c r="G1256" s="5" t="str">
        <f>IF(F1256="", "", IF(B1256&lt;&gt;"", MATCH(B1256, params!$B$2:$R$2, 0), G1255))</f>
        <v/>
      </c>
      <c r="H1256" s="5" t="str">
        <f t="shared" ca="1" si="41"/>
        <v/>
      </c>
      <c r="M1256" s="2"/>
    </row>
    <row r="1257" spans="2:13" ht="15.6" x14ac:dyDescent="0.3">
      <c r="B1257" s="5" t="str">
        <f>IF(COUNTIF(data_val!$E$3:$E$5, sample_log!$E1257), sample_log!$C1257 &amp; "_" &amp; sample_log!$D1257, "")</f>
        <v/>
      </c>
      <c r="C1257" s="5" t="str">
        <f>IF(B1257="", IF(F1257="", "", C1256), IF(sample_log!E1257="Triennial SASS", "tri_params", "params"))</f>
        <v/>
      </c>
      <c r="D1257" s="5" t="str">
        <f>IF(B1257="", "", C1257 &amp; "!" &amp; CHAR(65+MATCH(B1257, params!$B$2:$R$2, 0)))</f>
        <v/>
      </c>
      <c r="E1257" s="5" t="str">
        <f ca="1">IF(B1257="", "", COUNTA(INDIRECT(D1257 &amp; 3):INDIRECT(D1257 &amp; 24)))</f>
        <v/>
      </c>
      <c r="F1257" s="5" t="str">
        <f t="shared" si="40"/>
        <v/>
      </c>
      <c r="G1257" s="5" t="str">
        <f>IF(F1257="", "", IF(B1257&lt;&gt;"", MATCH(B1257, params!$B$2:$R$2, 0), G1256))</f>
        <v/>
      </c>
      <c r="H1257" s="5" t="str">
        <f t="shared" ca="1" si="41"/>
        <v/>
      </c>
      <c r="M1257" s="2"/>
    </row>
    <row r="1258" spans="2:13" ht="15.6" x14ac:dyDescent="0.3">
      <c r="B1258" s="5" t="str">
        <f>IF(COUNTIF(data_val!$E$3:$E$5, sample_log!$E1258), sample_log!$C1258 &amp; "_" &amp; sample_log!$D1258, "")</f>
        <v/>
      </c>
      <c r="C1258" s="5" t="str">
        <f>IF(B1258="", IF(F1258="", "", C1257), IF(sample_log!E1258="Triennial SASS", "tri_params", "params"))</f>
        <v/>
      </c>
      <c r="D1258" s="5" t="str">
        <f>IF(B1258="", "", C1258 &amp; "!" &amp; CHAR(65+MATCH(B1258, params!$B$2:$R$2, 0)))</f>
        <v/>
      </c>
      <c r="E1258" s="5" t="str">
        <f ca="1">IF(B1258="", "", COUNTA(INDIRECT(D1258 &amp; 3):INDIRECT(D1258 &amp; 24)))</f>
        <v/>
      </c>
      <c r="F1258" s="5" t="str">
        <f t="shared" si="40"/>
        <v/>
      </c>
      <c r="G1258" s="5" t="str">
        <f>IF(F1258="", "", IF(B1258&lt;&gt;"", MATCH(B1258, params!$B$2:$R$2, 0), G1257))</f>
        <v/>
      </c>
      <c r="H1258" s="5" t="str">
        <f t="shared" ca="1" si="41"/>
        <v/>
      </c>
      <c r="M1258" s="2"/>
    </row>
    <row r="1259" spans="2:13" ht="15.6" x14ac:dyDescent="0.3">
      <c r="B1259" s="5" t="str">
        <f>IF(COUNTIF(data_val!$E$3:$E$5, sample_log!$E1259), sample_log!$C1259 &amp; "_" &amp; sample_log!$D1259, "")</f>
        <v/>
      </c>
      <c r="C1259" s="5" t="str">
        <f>IF(B1259="", IF(F1259="", "", C1258), IF(sample_log!E1259="Triennial SASS", "tri_params", "params"))</f>
        <v/>
      </c>
      <c r="D1259" s="5" t="str">
        <f>IF(B1259="", "", C1259 &amp; "!" &amp; CHAR(65+MATCH(B1259, params!$B$2:$R$2, 0)))</f>
        <v/>
      </c>
      <c r="E1259" s="5" t="str">
        <f ca="1">IF(B1259="", "", COUNTA(INDIRECT(D1259 &amp; 3):INDIRECT(D1259 &amp; 24)))</f>
        <v/>
      </c>
      <c r="F1259" s="5" t="str">
        <f t="shared" si="40"/>
        <v/>
      </c>
      <c r="G1259" s="5" t="str">
        <f>IF(F1259="", "", IF(B1259&lt;&gt;"", MATCH(B1259, params!$B$2:$R$2, 0), G1258))</f>
        <v/>
      </c>
      <c r="H1259" s="5" t="str">
        <f t="shared" ca="1" si="41"/>
        <v/>
      </c>
      <c r="M1259" s="2"/>
    </row>
    <row r="1260" spans="2:13" ht="15.6" x14ac:dyDescent="0.3">
      <c r="B1260" s="5" t="str">
        <f>IF(COUNTIF(data_val!$E$3:$E$5, sample_log!$E1260), sample_log!$C1260 &amp; "_" &amp; sample_log!$D1260, "")</f>
        <v/>
      </c>
      <c r="C1260" s="5" t="str">
        <f>IF(B1260="", IF(F1260="", "", C1259), IF(sample_log!E1260="Triennial SASS", "tri_params", "params"))</f>
        <v/>
      </c>
      <c r="D1260" s="5" t="str">
        <f>IF(B1260="", "", C1260 &amp; "!" &amp; CHAR(65+MATCH(B1260, params!$B$2:$R$2, 0)))</f>
        <v/>
      </c>
      <c r="E1260" s="5" t="str">
        <f ca="1">IF(B1260="", "", COUNTA(INDIRECT(D1260 &amp; 3):INDIRECT(D1260 &amp; 24)))</f>
        <v/>
      </c>
      <c r="F1260" s="5" t="str">
        <f t="shared" si="40"/>
        <v/>
      </c>
      <c r="G1260" s="5" t="str">
        <f>IF(F1260="", "", IF(B1260&lt;&gt;"", MATCH(B1260, params!$B$2:$R$2, 0), G1259))</f>
        <v/>
      </c>
      <c r="H1260" s="5" t="str">
        <f t="shared" ca="1" si="41"/>
        <v/>
      </c>
      <c r="M1260" s="2"/>
    </row>
    <row r="1261" spans="2:13" ht="15.6" x14ac:dyDescent="0.3">
      <c r="B1261" s="5" t="str">
        <f>IF(COUNTIF(data_val!$E$3:$E$5, sample_log!$E1261), sample_log!$C1261 &amp; "_" &amp; sample_log!$D1261, "")</f>
        <v/>
      </c>
      <c r="C1261" s="5" t="str">
        <f>IF(B1261="", IF(F1261="", "", C1260), IF(sample_log!E1261="Triennial SASS", "tri_params", "params"))</f>
        <v/>
      </c>
      <c r="D1261" s="5" t="str">
        <f>IF(B1261="", "", C1261 &amp; "!" &amp; CHAR(65+MATCH(B1261, params!$B$2:$R$2, 0)))</f>
        <v/>
      </c>
      <c r="E1261" s="5" t="str">
        <f ca="1">IF(B1261="", "", COUNTA(INDIRECT(D1261 &amp; 3):INDIRECT(D1261 &amp; 24)))</f>
        <v/>
      </c>
      <c r="F1261" s="5" t="str">
        <f t="shared" si="40"/>
        <v/>
      </c>
      <c r="G1261" s="5" t="str">
        <f>IF(F1261="", "", IF(B1261&lt;&gt;"", MATCH(B1261, params!$B$2:$R$2, 0), G1260))</f>
        <v/>
      </c>
      <c r="H1261" s="5" t="str">
        <f t="shared" ca="1" si="41"/>
        <v/>
      </c>
      <c r="M1261" s="2"/>
    </row>
    <row r="1262" spans="2:13" ht="15.6" x14ac:dyDescent="0.3">
      <c r="B1262" s="5" t="str">
        <f>IF(COUNTIF(data_val!$E$3:$E$5, sample_log!$E1262), sample_log!$C1262 &amp; "_" &amp; sample_log!$D1262, "")</f>
        <v/>
      </c>
      <c r="C1262" s="5" t="str">
        <f>IF(B1262="", IF(F1262="", "", C1261), IF(sample_log!E1262="Triennial SASS", "tri_params", "params"))</f>
        <v/>
      </c>
      <c r="D1262" s="5" t="str">
        <f>IF(B1262="", "", C1262 &amp; "!" &amp; CHAR(65+MATCH(B1262, params!$B$2:$R$2, 0)))</f>
        <v/>
      </c>
      <c r="E1262" s="5" t="str">
        <f ca="1">IF(B1262="", "", COUNTA(INDIRECT(D1262 &amp; 3):INDIRECT(D1262 &amp; 24)))</f>
        <v/>
      </c>
      <c r="F1262" s="5" t="str">
        <f t="shared" si="40"/>
        <v/>
      </c>
      <c r="G1262" s="5" t="str">
        <f>IF(F1262="", "", IF(B1262&lt;&gt;"", MATCH(B1262, params!$B$2:$R$2, 0), G1261))</f>
        <v/>
      </c>
      <c r="H1262" s="5" t="str">
        <f t="shared" ca="1" si="41"/>
        <v/>
      </c>
      <c r="M1262" s="2"/>
    </row>
    <row r="1263" spans="2:13" ht="15.6" x14ac:dyDescent="0.3">
      <c r="B1263" s="5" t="str">
        <f>IF(COUNTIF(data_val!$E$3:$E$5, sample_log!$E1263), sample_log!$C1263 &amp; "_" &amp; sample_log!$D1263, "")</f>
        <v/>
      </c>
      <c r="C1263" s="5" t="str">
        <f>IF(B1263="", IF(F1263="", "", C1262), IF(sample_log!E1263="Triennial SASS", "tri_params", "params"))</f>
        <v/>
      </c>
      <c r="D1263" s="5" t="str">
        <f>IF(B1263="", "", C1263 &amp; "!" &amp; CHAR(65+MATCH(B1263, params!$B$2:$R$2, 0)))</f>
        <v/>
      </c>
      <c r="E1263" s="5" t="str">
        <f ca="1">IF(B1263="", "", COUNTA(INDIRECT(D1263 &amp; 3):INDIRECT(D1263 &amp; 24)))</f>
        <v/>
      </c>
      <c r="F1263" s="5" t="str">
        <f t="shared" si="40"/>
        <v/>
      </c>
      <c r="G1263" s="5" t="str">
        <f>IF(F1263="", "", IF(B1263&lt;&gt;"", MATCH(B1263, params!$B$2:$R$2, 0), G1262))</f>
        <v/>
      </c>
      <c r="H1263" s="5" t="str">
        <f t="shared" ca="1" si="41"/>
        <v/>
      </c>
      <c r="M1263" s="2"/>
    </row>
    <row r="1264" spans="2:13" ht="15.6" x14ac:dyDescent="0.3">
      <c r="B1264" s="5" t="str">
        <f>IF(COUNTIF(data_val!$E$3:$E$5, sample_log!$E1264), sample_log!$C1264 &amp; "_" &amp; sample_log!$D1264, "")</f>
        <v/>
      </c>
      <c r="C1264" s="5" t="str">
        <f>IF(B1264="", IF(F1264="", "", C1263), IF(sample_log!E1264="Triennial SASS", "tri_params", "params"))</f>
        <v/>
      </c>
      <c r="D1264" s="5" t="str">
        <f>IF(B1264="", "", C1264 &amp; "!" &amp; CHAR(65+MATCH(B1264, params!$B$2:$R$2, 0)))</f>
        <v/>
      </c>
      <c r="E1264" s="5" t="str">
        <f ca="1">IF(B1264="", "", COUNTA(INDIRECT(D1264 &amp; 3):INDIRECT(D1264 &amp; 24)))</f>
        <v/>
      </c>
      <c r="F1264" s="5" t="str">
        <f t="shared" si="40"/>
        <v/>
      </c>
      <c r="G1264" s="5" t="str">
        <f>IF(F1264="", "", IF(B1264&lt;&gt;"", MATCH(B1264, params!$B$2:$R$2, 0), G1263))</f>
        <v/>
      </c>
      <c r="H1264" s="5" t="str">
        <f t="shared" ca="1" si="41"/>
        <v/>
      </c>
      <c r="M1264" s="2"/>
    </row>
    <row r="1265" spans="2:13" ht="15.6" x14ac:dyDescent="0.3">
      <c r="B1265" s="5" t="str">
        <f>IF(COUNTIF(data_val!$E$3:$E$5, sample_log!$E1265), sample_log!$C1265 &amp; "_" &amp; sample_log!$D1265, "")</f>
        <v/>
      </c>
      <c r="C1265" s="5" t="str">
        <f>IF(B1265="", IF(F1265="", "", C1264), IF(sample_log!E1265="Triennial SASS", "tri_params", "params"))</f>
        <v/>
      </c>
      <c r="D1265" s="5" t="str">
        <f>IF(B1265="", "", C1265 &amp; "!" &amp; CHAR(65+MATCH(B1265, params!$B$2:$R$2, 0)))</f>
        <v/>
      </c>
      <c r="E1265" s="5" t="str">
        <f ca="1">IF(B1265="", "", COUNTA(INDIRECT(D1265 &amp; 3):INDIRECT(D1265 &amp; 24)))</f>
        <v/>
      </c>
      <c r="F1265" s="5" t="str">
        <f t="shared" si="40"/>
        <v/>
      </c>
      <c r="G1265" s="5" t="str">
        <f>IF(F1265="", "", IF(B1265&lt;&gt;"", MATCH(B1265, params!$B$2:$R$2, 0), G1264))</f>
        <v/>
      </c>
      <c r="H1265" s="5" t="str">
        <f t="shared" ca="1" si="41"/>
        <v/>
      </c>
      <c r="M1265" s="2"/>
    </row>
    <row r="1266" spans="2:13" ht="15.6" x14ac:dyDescent="0.3">
      <c r="B1266" s="5" t="str">
        <f>IF(COUNTIF(data_val!$E$3:$E$5, sample_log!$E1266), sample_log!$C1266 &amp; "_" &amp; sample_log!$D1266, "")</f>
        <v/>
      </c>
      <c r="C1266" s="5" t="str">
        <f>IF(B1266="", IF(F1266="", "", C1265), IF(sample_log!E1266="Triennial SASS", "tri_params", "params"))</f>
        <v/>
      </c>
      <c r="D1266" s="5" t="str">
        <f>IF(B1266="", "", C1266 &amp; "!" &amp; CHAR(65+MATCH(B1266, params!$B$2:$R$2, 0)))</f>
        <v/>
      </c>
      <c r="E1266" s="5" t="str">
        <f ca="1">IF(B1266="", "", COUNTA(INDIRECT(D1266 &amp; 3):INDIRECT(D1266 &amp; 24)))</f>
        <v/>
      </c>
      <c r="F1266" s="5" t="str">
        <f t="shared" si="40"/>
        <v/>
      </c>
      <c r="G1266" s="5" t="str">
        <f>IF(F1266="", "", IF(B1266&lt;&gt;"", MATCH(B1266, params!$B$2:$R$2, 0), G1265))</f>
        <v/>
      </c>
      <c r="H1266" s="5" t="str">
        <f t="shared" ca="1" si="41"/>
        <v/>
      </c>
      <c r="M1266" s="2"/>
    </row>
    <row r="1267" spans="2:13" ht="15.6" x14ac:dyDescent="0.3">
      <c r="B1267" s="5" t="str">
        <f>IF(COUNTIF(data_val!$E$3:$E$5, sample_log!$E1267), sample_log!$C1267 &amp; "_" &amp; sample_log!$D1267, "")</f>
        <v/>
      </c>
      <c r="C1267" s="5" t="str">
        <f>IF(B1267="", IF(F1267="", "", C1266), IF(sample_log!E1267="Triennial SASS", "tri_params", "params"))</f>
        <v/>
      </c>
      <c r="D1267" s="5" t="str">
        <f>IF(B1267="", "", C1267 &amp; "!" &amp; CHAR(65+MATCH(B1267, params!$B$2:$R$2, 0)))</f>
        <v/>
      </c>
      <c r="E1267" s="5" t="str">
        <f ca="1">IF(B1267="", "", COUNTA(INDIRECT(D1267 &amp; 3):INDIRECT(D1267 &amp; 24)))</f>
        <v/>
      </c>
      <c r="F1267" s="5" t="str">
        <f t="shared" si="40"/>
        <v/>
      </c>
      <c r="G1267" s="5" t="str">
        <f>IF(F1267="", "", IF(B1267&lt;&gt;"", MATCH(B1267, params!$B$2:$R$2, 0), G1266))</f>
        <v/>
      </c>
      <c r="H1267" s="5" t="str">
        <f t="shared" ca="1" si="41"/>
        <v/>
      </c>
      <c r="M1267" s="2"/>
    </row>
    <row r="1268" spans="2:13" ht="15.6" x14ac:dyDescent="0.3">
      <c r="B1268" s="5" t="str">
        <f>IF(COUNTIF(data_val!$E$3:$E$5, sample_log!$E1268), sample_log!$C1268 &amp; "_" &amp; sample_log!$D1268, "")</f>
        <v/>
      </c>
      <c r="C1268" s="5" t="str">
        <f>IF(B1268="", IF(F1268="", "", C1267), IF(sample_log!E1268="Triennial SASS", "tri_params", "params"))</f>
        <v/>
      </c>
      <c r="D1268" s="5" t="str">
        <f>IF(B1268="", "", C1268 &amp; "!" &amp; CHAR(65+MATCH(B1268, params!$B$2:$R$2, 0)))</f>
        <v/>
      </c>
      <c r="E1268" s="5" t="str">
        <f ca="1">IF(B1268="", "", COUNTA(INDIRECT(D1268 &amp; 3):INDIRECT(D1268 &amp; 24)))</f>
        <v/>
      </c>
      <c r="F1268" s="5" t="str">
        <f t="shared" si="40"/>
        <v/>
      </c>
      <c r="G1268" s="5" t="str">
        <f>IF(F1268="", "", IF(B1268&lt;&gt;"", MATCH(B1268, params!$B$2:$R$2, 0), G1267))</f>
        <v/>
      </c>
      <c r="H1268" s="5" t="str">
        <f t="shared" ca="1" si="41"/>
        <v/>
      </c>
      <c r="M1268" s="2"/>
    </row>
    <row r="1269" spans="2:13" ht="15.6" x14ac:dyDescent="0.3">
      <c r="B1269" s="5" t="str">
        <f>IF(COUNTIF(data_val!$E$3:$E$5, sample_log!$E1269), sample_log!$C1269 &amp; "_" &amp; sample_log!$D1269, "")</f>
        <v/>
      </c>
      <c r="C1269" s="5" t="str">
        <f>IF(B1269="", IF(F1269="", "", C1268), IF(sample_log!E1269="Triennial SASS", "tri_params", "params"))</f>
        <v/>
      </c>
      <c r="D1269" s="5" t="str">
        <f>IF(B1269="", "", C1269 &amp; "!" &amp; CHAR(65+MATCH(B1269, params!$B$2:$R$2, 0)))</f>
        <v/>
      </c>
      <c r="E1269" s="5" t="str">
        <f ca="1">IF(B1269="", "", COUNTA(INDIRECT(D1269 &amp; 3):INDIRECT(D1269 &amp; 24)))</f>
        <v/>
      </c>
      <c r="F1269" s="5" t="str">
        <f t="shared" si="40"/>
        <v/>
      </c>
      <c r="G1269" s="5" t="str">
        <f>IF(F1269="", "", IF(B1269&lt;&gt;"", MATCH(B1269, params!$B$2:$R$2, 0), G1268))</f>
        <v/>
      </c>
      <c r="H1269" s="5" t="str">
        <f t="shared" ca="1" si="41"/>
        <v/>
      </c>
      <c r="M1269" s="2"/>
    </row>
    <row r="1270" spans="2:13" ht="15.6" x14ac:dyDescent="0.3">
      <c r="B1270" s="5" t="str">
        <f>IF(COUNTIF(data_val!$E$3:$E$5, sample_log!$E1270), sample_log!$C1270 &amp; "_" &amp; sample_log!$D1270, "")</f>
        <v/>
      </c>
      <c r="C1270" s="5" t="str">
        <f>IF(B1270="", IF(F1270="", "", C1269), IF(sample_log!E1270="Triennial SASS", "tri_params", "params"))</f>
        <v/>
      </c>
      <c r="D1270" s="5" t="str">
        <f>IF(B1270="", "", C1270 &amp; "!" &amp; CHAR(65+MATCH(B1270, params!$B$2:$R$2, 0)))</f>
        <v/>
      </c>
      <c r="E1270" s="5" t="str">
        <f ca="1">IF(B1270="", "", COUNTA(INDIRECT(D1270 &amp; 3):INDIRECT(D1270 &amp; 24)))</f>
        <v/>
      </c>
      <c r="F1270" s="5" t="str">
        <f t="shared" si="40"/>
        <v/>
      </c>
      <c r="G1270" s="5" t="str">
        <f>IF(F1270="", "", IF(B1270&lt;&gt;"", MATCH(B1270, params!$B$2:$R$2, 0), G1269))</f>
        <v/>
      </c>
      <c r="H1270" s="5" t="str">
        <f t="shared" ca="1" si="41"/>
        <v/>
      </c>
      <c r="M1270" s="2"/>
    </row>
    <row r="1271" spans="2:13" ht="15.6" x14ac:dyDescent="0.3">
      <c r="B1271" s="5" t="str">
        <f>IF(COUNTIF(data_val!$E$3:$E$5, sample_log!$E1271), sample_log!$C1271 &amp; "_" &amp; sample_log!$D1271, "")</f>
        <v/>
      </c>
      <c r="C1271" s="5" t="str">
        <f>IF(B1271="", IF(F1271="", "", C1270), IF(sample_log!E1271="Triennial SASS", "tri_params", "params"))</f>
        <v/>
      </c>
      <c r="D1271" s="5" t="str">
        <f>IF(B1271="", "", C1271 &amp; "!" &amp; CHAR(65+MATCH(B1271, params!$B$2:$R$2, 0)))</f>
        <v/>
      </c>
      <c r="E1271" s="5" t="str">
        <f ca="1">IF(B1271="", "", COUNTA(INDIRECT(D1271 &amp; 3):INDIRECT(D1271 &amp; 24)))</f>
        <v/>
      </c>
      <c r="F1271" s="5" t="str">
        <f t="shared" si="40"/>
        <v/>
      </c>
      <c r="G1271" s="5" t="str">
        <f>IF(F1271="", "", IF(B1271&lt;&gt;"", MATCH(B1271, params!$B$2:$R$2, 0), G1270))</f>
        <v/>
      </c>
      <c r="H1271" s="5" t="str">
        <f t="shared" ca="1" si="41"/>
        <v/>
      </c>
      <c r="M1271" s="2"/>
    </row>
    <row r="1272" spans="2:13" ht="15.6" x14ac:dyDescent="0.3">
      <c r="B1272" s="5" t="str">
        <f>IF(COUNTIF(data_val!$E$3:$E$5, sample_log!$E1272), sample_log!$C1272 &amp; "_" &amp; sample_log!$D1272, "")</f>
        <v/>
      </c>
      <c r="C1272" s="5" t="str">
        <f>IF(B1272="", IF(F1272="", "", C1271), IF(sample_log!E1272="Triennial SASS", "tri_params", "params"))</f>
        <v/>
      </c>
      <c r="D1272" s="5" t="str">
        <f>IF(B1272="", "", C1272 &amp; "!" &amp; CHAR(65+MATCH(B1272, params!$B$2:$R$2, 0)))</f>
        <v/>
      </c>
      <c r="E1272" s="5" t="str">
        <f ca="1">IF(B1272="", "", COUNTA(INDIRECT(D1272 &amp; 3):INDIRECT(D1272 &amp; 24)))</f>
        <v/>
      </c>
      <c r="F1272" s="5" t="str">
        <f t="shared" si="40"/>
        <v/>
      </c>
      <c r="G1272" s="5" t="str">
        <f>IF(F1272="", "", IF(B1272&lt;&gt;"", MATCH(B1272, params!$B$2:$R$2, 0), G1271))</f>
        <v/>
      </c>
      <c r="H1272" s="5" t="str">
        <f t="shared" ca="1" si="41"/>
        <v/>
      </c>
      <c r="M1272" s="2"/>
    </row>
    <row r="1273" spans="2:13" ht="15.6" x14ac:dyDescent="0.3">
      <c r="B1273" s="5" t="str">
        <f>IF(COUNTIF(data_val!$E$3:$E$5, sample_log!$E1273), sample_log!$C1273 &amp; "_" &amp; sample_log!$D1273, "")</f>
        <v/>
      </c>
      <c r="C1273" s="5" t="str">
        <f>IF(B1273="", IF(F1273="", "", C1272), IF(sample_log!E1273="Triennial SASS", "tri_params", "params"))</f>
        <v/>
      </c>
      <c r="D1273" s="5" t="str">
        <f>IF(B1273="", "", C1273 &amp; "!" &amp; CHAR(65+MATCH(B1273, params!$B$2:$R$2, 0)))</f>
        <v/>
      </c>
      <c r="E1273" s="5" t="str">
        <f ca="1">IF(B1273="", "", COUNTA(INDIRECT(D1273 &amp; 3):INDIRECT(D1273 &amp; 24)))</f>
        <v/>
      </c>
      <c r="F1273" s="5" t="str">
        <f t="shared" si="40"/>
        <v/>
      </c>
      <c r="G1273" s="5" t="str">
        <f>IF(F1273="", "", IF(B1273&lt;&gt;"", MATCH(B1273, params!$B$2:$R$2, 0), G1272))</f>
        <v/>
      </c>
      <c r="H1273" s="5" t="str">
        <f t="shared" ca="1" si="41"/>
        <v/>
      </c>
      <c r="M1273" s="2"/>
    </row>
    <row r="1274" spans="2:13" ht="15.6" x14ac:dyDescent="0.3">
      <c r="B1274" s="5" t="str">
        <f>IF(COUNTIF(data_val!$E$3:$E$5, sample_log!$E1274), sample_log!$C1274 &amp; "_" &amp; sample_log!$D1274, "")</f>
        <v/>
      </c>
      <c r="C1274" s="5" t="str">
        <f>IF(B1274="", IF(F1274="", "", C1273), IF(sample_log!E1274="Triennial SASS", "tri_params", "params"))</f>
        <v/>
      </c>
      <c r="D1274" s="5" t="str">
        <f>IF(B1274="", "", C1274 &amp; "!" &amp; CHAR(65+MATCH(B1274, params!$B$2:$R$2, 0)))</f>
        <v/>
      </c>
      <c r="E1274" s="5" t="str">
        <f ca="1">IF(B1274="", "", COUNTA(INDIRECT(D1274 &amp; 3):INDIRECT(D1274 &amp; 24)))</f>
        <v/>
      </c>
      <c r="F1274" s="5" t="str">
        <f t="shared" si="40"/>
        <v/>
      </c>
      <c r="G1274" s="5" t="str">
        <f>IF(F1274="", "", IF(B1274&lt;&gt;"", MATCH(B1274, params!$B$2:$R$2, 0), G1273))</f>
        <v/>
      </c>
      <c r="H1274" s="5" t="str">
        <f t="shared" ca="1" si="41"/>
        <v/>
      </c>
      <c r="M1274" s="2"/>
    </row>
    <row r="1275" spans="2:13" ht="15.6" x14ac:dyDescent="0.3">
      <c r="B1275" s="5" t="str">
        <f>IF(COUNTIF(data_val!$E$3:$E$5, sample_log!$E1275), sample_log!$C1275 &amp; "_" &amp; sample_log!$D1275, "")</f>
        <v/>
      </c>
      <c r="C1275" s="5" t="str">
        <f>IF(B1275="", IF(F1275="", "", C1274), IF(sample_log!E1275="Triennial SASS", "tri_params", "params"))</f>
        <v/>
      </c>
      <c r="D1275" s="5" t="str">
        <f>IF(B1275="", "", C1275 &amp; "!" &amp; CHAR(65+MATCH(B1275, params!$B$2:$R$2, 0)))</f>
        <v/>
      </c>
      <c r="E1275" s="5" t="str">
        <f ca="1">IF(B1275="", "", COUNTA(INDIRECT(D1275 &amp; 3):INDIRECT(D1275 &amp; 24)))</f>
        <v/>
      </c>
      <c r="F1275" s="5" t="str">
        <f t="shared" si="40"/>
        <v/>
      </c>
      <c r="G1275" s="5" t="str">
        <f>IF(F1275="", "", IF(B1275&lt;&gt;"", MATCH(B1275, params!$B$2:$R$2, 0), G1274))</f>
        <v/>
      </c>
      <c r="H1275" s="5" t="str">
        <f t="shared" ca="1" si="41"/>
        <v/>
      </c>
      <c r="M1275" s="2"/>
    </row>
    <row r="1276" spans="2:13" ht="15.6" x14ac:dyDescent="0.3">
      <c r="B1276" s="5" t="str">
        <f>IF(COUNTIF(data_val!$E$3:$E$5, sample_log!$E1276), sample_log!$C1276 &amp; "_" &amp; sample_log!$D1276, "")</f>
        <v/>
      </c>
      <c r="C1276" s="5" t="str">
        <f>IF(B1276="", IF(F1276="", "", C1275), IF(sample_log!E1276="Triennial SASS", "tri_params", "params"))</f>
        <v/>
      </c>
      <c r="D1276" s="5" t="str">
        <f>IF(B1276="", "", C1276 &amp; "!" &amp; CHAR(65+MATCH(B1276, params!$B$2:$R$2, 0)))</f>
        <v/>
      </c>
      <c r="E1276" s="5" t="str">
        <f ca="1">IF(B1276="", "", COUNTA(INDIRECT(D1276 &amp; 3):INDIRECT(D1276 &amp; 24)))</f>
        <v/>
      </c>
      <c r="F1276" s="5" t="str">
        <f t="shared" si="40"/>
        <v/>
      </c>
      <c r="G1276" s="5" t="str">
        <f>IF(F1276="", "", IF(B1276&lt;&gt;"", MATCH(B1276, params!$B$2:$R$2, 0), G1275))</f>
        <v/>
      </c>
      <c r="H1276" s="5" t="str">
        <f t="shared" ca="1" si="41"/>
        <v/>
      </c>
      <c r="M1276" s="2"/>
    </row>
    <row r="1277" spans="2:13" ht="15.6" x14ac:dyDescent="0.3">
      <c r="B1277" s="5" t="str">
        <f>IF(COUNTIF(data_val!$E$3:$E$5, sample_log!$E1277), sample_log!$C1277 &amp; "_" &amp; sample_log!$D1277, "")</f>
        <v/>
      </c>
      <c r="C1277" s="5" t="str">
        <f>IF(B1277="", IF(F1277="", "", C1276), IF(sample_log!E1277="Triennial SASS", "tri_params", "params"))</f>
        <v/>
      </c>
      <c r="D1277" s="5" t="str">
        <f>IF(B1277="", "", C1277 &amp; "!" &amp; CHAR(65+MATCH(B1277, params!$B$2:$R$2, 0)))</f>
        <v/>
      </c>
      <c r="E1277" s="5" t="str">
        <f ca="1">IF(B1277="", "", COUNTA(INDIRECT(D1277 &amp; 3):INDIRECT(D1277 &amp; 24)))</f>
        <v/>
      </c>
      <c r="F1277" s="5" t="str">
        <f t="shared" si="40"/>
        <v/>
      </c>
      <c r="G1277" s="5" t="str">
        <f>IF(F1277="", "", IF(B1277&lt;&gt;"", MATCH(B1277, params!$B$2:$R$2, 0), G1276))</f>
        <v/>
      </c>
      <c r="H1277" s="5" t="str">
        <f t="shared" ca="1" si="41"/>
        <v/>
      </c>
      <c r="M1277" s="2"/>
    </row>
    <row r="1278" spans="2:13" ht="15.6" x14ac:dyDescent="0.3">
      <c r="B1278" s="5" t="str">
        <f>IF(COUNTIF(data_val!$E$3:$E$5, sample_log!$E1278), sample_log!$C1278 &amp; "_" &amp; sample_log!$D1278, "")</f>
        <v/>
      </c>
      <c r="C1278" s="5" t="str">
        <f>IF(B1278="", IF(F1278="", "", C1277), IF(sample_log!E1278="Triennial SASS", "tri_params", "params"))</f>
        <v/>
      </c>
      <c r="D1278" s="5" t="str">
        <f>IF(B1278="", "", C1278 &amp; "!" &amp; CHAR(65+MATCH(B1278, params!$B$2:$R$2, 0)))</f>
        <v/>
      </c>
      <c r="E1278" s="5" t="str">
        <f ca="1">IF(B1278="", "", COUNTA(INDIRECT(D1278 &amp; 3):INDIRECT(D1278 &amp; 24)))</f>
        <v/>
      </c>
      <c r="F1278" s="5" t="str">
        <f t="shared" si="40"/>
        <v/>
      </c>
      <c r="G1278" s="5" t="str">
        <f>IF(F1278="", "", IF(B1278&lt;&gt;"", MATCH(B1278, params!$B$2:$R$2, 0), G1277))</f>
        <v/>
      </c>
      <c r="H1278" s="5" t="str">
        <f t="shared" ca="1" si="41"/>
        <v/>
      </c>
      <c r="M1278" s="2"/>
    </row>
    <row r="1279" spans="2:13" ht="15.6" x14ac:dyDescent="0.3">
      <c r="B1279" s="5" t="str">
        <f>IF(COUNTIF(data_val!$E$3:$E$5, sample_log!$E1279), sample_log!$C1279 &amp; "_" &amp; sample_log!$D1279, "")</f>
        <v/>
      </c>
      <c r="C1279" s="5" t="str">
        <f>IF(B1279="", IF(F1279="", "", C1278), IF(sample_log!E1279="Triennial SASS", "tri_params", "params"))</f>
        <v/>
      </c>
      <c r="D1279" s="5" t="str">
        <f>IF(B1279="", "", C1279 &amp; "!" &amp; CHAR(65+MATCH(B1279, params!$B$2:$R$2, 0)))</f>
        <v/>
      </c>
      <c r="E1279" s="5" t="str">
        <f ca="1">IF(B1279="", "", COUNTA(INDIRECT(D1279 &amp; 3):INDIRECT(D1279 &amp; 24)))</f>
        <v/>
      </c>
      <c r="F1279" s="5" t="str">
        <f t="shared" si="40"/>
        <v/>
      </c>
      <c r="G1279" s="5" t="str">
        <f>IF(F1279="", "", IF(B1279&lt;&gt;"", MATCH(B1279, params!$B$2:$R$2, 0), G1278))</f>
        <v/>
      </c>
      <c r="H1279" s="5" t="str">
        <f t="shared" ca="1" si="41"/>
        <v/>
      </c>
      <c r="M1279" s="2"/>
    </row>
    <row r="1280" spans="2:13" ht="15.6" x14ac:dyDescent="0.3">
      <c r="B1280" s="5" t="str">
        <f>IF(COUNTIF(data_val!$E$3:$E$5, sample_log!$E1280), sample_log!$C1280 &amp; "_" &amp; sample_log!$D1280, "")</f>
        <v/>
      </c>
      <c r="C1280" s="5" t="str">
        <f>IF(B1280="", IF(F1280="", "", C1279), IF(sample_log!E1280="Triennial SASS", "tri_params", "params"))</f>
        <v/>
      </c>
      <c r="D1280" s="5" t="str">
        <f>IF(B1280="", "", C1280 &amp; "!" &amp; CHAR(65+MATCH(B1280, params!$B$2:$R$2, 0)))</f>
        <v/>
      </c>
      <c r="E1280" s="5" t="str">
        <f ca="1">IF(B1280="", "", COUNTA(INDIRECT(D1280 &amp; 3):INDIRECT(D1280 &amp; 24)))</f>
        <v/>
      </c>
      <c r="F1280" s="5" t="str">
        <f t="shared" si="40"/>
        <v/>
      </c>
      <c r="G1280" s="5" t="str">
        <f>IF(F1280="", "", IF(B1280&lt;&gt;"", MATCH(B1280, params!$B$2:$R$2, 0), G1279))</f>
        <v/>
      </c>
      <c r="H1280" s="5" t="str">
        <f t="shared" ca="1" si="41"/>
        <v/>
      </c>
      <c r="M1280" s="2"/>
    </row>
    <row r="1281" spans="2:13" ht="15.6" x14ac:dyDescent="0.3">
      <c r="B1281" s="5" t="str">
        <f>IF(COUNTIF(data_val!$E$3:$E$5, sample_log!$E1281), sample_log!$C1281 &amp; "_" &amp; sample_log!$D1281, "")</f>
        <v/>
      </c>
      <c r="C1281" s="5" t="str">
        <f>IF(B1281="", IF(F1281="", "", C1280), IF(sample_log!E1281="Triennial SASS", "tri_params", "params"))</f>
        <v/>
      </c>
      <c r="D1281" s="5" t="str">
        <f>IF(B1281="", "", C1281 &amp; "!" &amp; CHAR(65+MATCH(B1281, params!$B$2:$R$2, 0)))</f>
        <v/>
      </c>
      <c r="E1281" s="5" t="str">
        <f ca="1">IF(B1281="", "", COUNTA(INDIRECT(D1281 &amp; 3):INDIRECT(D1281 &amp; 24)))</f>
        <v/>
      </c>
      <c r="F1281" s="5" t="str">
        <f t="shared" si="40"/>
        <v/>
      </c>
      <c r="G1281" s="5" t="str">
        <f>IF(F1281="", "", IF(B1281&lt;&gt;"", MATCH(B1281, params!$B$2:$R$2, 0), G1280))</f>
        <v/>
      </c>
      <c r="H1281" s="5" t="str">
        <f t="shared" ca="1" si="41"/>
        <v/>
      </c>
      <c r="M1281" s="2"/>
    </row>
    <row r="1282" spans="2:13" ht="15.6" x14ac:dyDescent="0.3">
      <c r="B1282" s="5" t="str">
        <f>IF(COUNTIF(data_val!$E$3:$E$5, sample_log!$E1282), sample_log!$C1282 &amp; "_" &amp; sample_log!$D1282, "")</f>
        <v/>
      </c>
      <c r="C1282" s="5" t="str">
        <f>IF(B1282="", IF(F1282="", "", C1281), IF(sample_log!E1282="Triennial SASS", "tri_params", "params"))</f>
        <v/>
      </c>
      <c r="D1282" s="5" t="str">
        <f>IF(B1282="", "", C1282 &amp; "!" &amp; CHAR(65+MATCH(B1282, params!$B$2:$R$2, 0)))</f>
        <v/>
      </c>
      <c r="E1282" s="5" t="str">
        <f ca="1">IF(B1282="", "", COUNTA(INDIRECT(D1282 &amp; 3):INDIRECT(D1282 &amp; 24)))</f>
        <v/>
      </c>
      <c r="F1282" s="5" t="str">
        <f t="shared" si="40"/>
        <v/>
      </c>
      <c r="G1282" s="5" t="str">
        <f>IF(F1282="", "", IF(B1282&lt;&gt;"", MATCH(B1282, params!$B$2:$R$2, 0), G1281))</f>
        <v/>
      </c>
      <c r="H1282" s="5" t="str">
        <f t="shared" ca="1" si="41"/>
        <v/>
      </c>
      <c r="M1282" s="2"/>
    </row>
    <row r="1283" spans="2:13" ht="15.6" x14ac:dyDescent="0.3">
      <c r="B1283" s="5" t="str">
        <f>IF(COUNTIF(data_val!$E$3:$E$5, sample_log!$E1283), sample_log!$C1283 &amp; "_" &amp; sample_log!$D1283, "")</f>
        <v/>
      </c>
      <c r="C1283" s="5" t="str">
        <f>IF(B1283="", IF(F1283="", "", C1282), IF(sample_log!E1283="Triennial SASS", "tri_params", "params"))</f>
        <v/>
      </c>
      <c r="D1283" s="5" t="str">
        <f>IF(B1283="", "", C1283 &amp; "!" &amp; CHAR(65+MATCH(B1283, params!$B$2:$R$2, 0)))</f>
        <v/>
      </c>
      <c r="E1283" s="5" t="str">
        <f ca="1">IF(B1283="", "", COUNTA(INDIRECT(D1283 &amp; 3):INDIRECT(D1283 &amp; 24)))</f>
        <v/>
      </c>
      <c r="F1283" s="5" t="str">
        <f t="shared" ref="F1283:F1346" si="42">IF(B1283="", IF(NOT(ISNUMBER(F1282)), "", IF(F1282-1&gt;0, F1282-1, "")), E1283)</f>
        <v/>
      </c>
      <c r="G1283" s="5" t="str">
        <f>IF(F1283="", "", IF(B1283&lt;&gt;"", MATCH(B1283, params!$B$2:$R$2, 0), G1282))</f>
        <v/>
      </c>
      <c r="H1283" s="5" t="str">
        <f t="shared" ca="1" si="41"/>
        <v/>
      </c>
      <c r="M1283" s="2"/>
    </row>
    <row r="1284" spans="2:13" ht="15.6" x14ac:dyDescent="0.3">
      <c r="B1284" s="5" t="str">
        <f>IF(COUNTIF(data_val!$E$3:$E$5, sample_log!$E1284), sample_log!$C1284 &amp; "_" &amp; sample_log!$D1284, "")</f>
        <v/>
      </c>
      <c r="C1284" s="5" t="str">
        <f>IF(B1284="", IF(F1284="", "", C1283), IF(sample_log!E1284="Triennial SASS", "tri_params", "params"))</f>
        <v/>
      </c>
      <c r="D1284" s="5" t="str">
        <f>IF(B1284="", "", C1284 &amp; "!" &amp; CHAR(65+MATCH(B1284, params!$B$2:$R$2, 0)))</f>
        <v/>
      </c>
      <c r="E1284" s="5" t="str">
        <f ca="1">IF(B1284="", "", COUNTA(INDIRECT(D1284 &amp; 3):INDIRECT(D1284 &amp; 24)))</f>
        <v/>
      </c>
      <c r="F1284" s="5" t="str">
        <f t="shared" si="42"/>
        <v/>
      </c>
      <c r="G1284" s="5" t="str">
        <f>IF(F1284="", "", IF(B1284&lt;&gt;"", MATCH(B1284, params!$B$2:$R$2, 0), G1283))</f>
        <v/>
      </c>
      <c r="H1284" s="5" t="str">
        <f t="shared" ca="1" si="41"/>
        <v/>
      </c>
      <c r="M1284" s="2"/>
    </row>
    <row r="1285" spans="2:13" ht="15.6" x14ac:dyDescent="0.3">
      <c r="B1285" s="5" t="str">
        <f>IF(COUNTIF(data_val!$E$3:$E$5, sample_log!$E1285), sample_log!$C1285 &amp; "_" &amp; sample_log!$D1285, "")</f>
        <v/>
      </c>
      <c r="C1285" s="5" t="str">
        <f>IF(B1285="", IF(F1285="", "", C1284), IF(sample_log!E1285="Triennial SASS", "tri_params", "params"))</f>
        <v/>
      </c>
      <c r="D1285" s="5" t="str">
        <f>IF(B1285="", "", C1285 &amp; "!" &amp; CHAR(65+MATCH(B1285, params!$B$2:$R$2, 0)))</f>
        <v/>
      </c>
      <c r="E1285" s="5" t="str">
        <f ca="1">IF(B1285="", "", COUNTA(INDIRECT(D1285 &amp; 3):INDIRECT(D1285 &amp; 24)))</f>
        <v/>
      </c>
      <c r="F1285" s="5" t="str">
        <f t="shared" si="42"/>
        <v/>
      </c>
      <c r="G1285" s="5" t="str">
        <f>IF(F1285="", "", IF(B1285&lt;&gt;"", MATCH(B1285, params!$B$2:$R$2, 0), G1284))</f>
        <v/>
      </c>
      <c r="H1285" s="5" t="str">
        <f t="shared" ca="1" si="41"/>
        <v/>
      </c>
      <c r="M1285" s="2"/>
    </row>
    <row r="1286" spans="2:13" ht="15.6" x14ac:dyDescent="0.3">
      <c r="B1286" s="5" t="str">
        <f>IF(COUNTIF(data_val!$E$3:$E$5, sample_log!$E1286), sample_log!$C1286 &amp; "_" &amp; sample_log!$D1286, "")</f>
        <v/>
      </c>
      <c r="C1286" s="5" t="str">
        <f>IF(B1286="", IF(F1286="", "", C1285), IF(sample_log!E1286="Triennial SASS", "tri_params", "params"))</f>
        <v/>
      </c>
      <c r="D1286" s="5" t="str">
        <f>IF(B1286="", "", C1286 &amp; "!" &amp; CHAR(65+MATCH(B1286, params!$B$2:$R$2, 0)))</f>
        <v/>
      </c>
      <c r="E1286" s="5" t="str">
        <f ca="1">IF(B1286="", "", COUNTA(INDIRECT(D1286 &amp; 3):INDIRECT(D1286 &amp; 24)))</f>
        <v/>
      </c>
      <c r="F1286" s="5" t="str">
        <f t="shared" si="42"/>
        <v/>
      </c>
      <c r="G1286" s="5" t="str">
        <f>IF(F1286="", "", IF(B1286&lt;&gt;"", MATCH(B1286, params!$B$2:$R$2, 0), G1285))</f>
        <v/>
      </c>
      <c r="H1286" s="5" t="str">
        <f t="shared" ca="1" si="41"/>
        <v/>
      </c>
      <c r="M1286" s="2"/>
    </row>
    <row r="1287" spans="2:13" ht="15.6" x14ac:dyDescent="0.3">
      <c r="B1287" s="5" t="str">
        <f>IF(COUNTIF(data_val!$E$3:$E$5, sample_log!$E1287), sample_log!$C1287 &amp; "_" &amp; sample_log!$D1287, "")</f>
        <v/>
      </c>
      <c r="C1287" s="5" t="str">
        <f>IF(B1287="", IF(F1287="", "", C1286), IF(sample_log!E1287="Triennial SASS", "tri_params", "params"))</f>
        <v/>
      </c>
      <c r="D1287" s="5" t="str">
        <f>IF(B1287="", "", C1287 &amp; "!" &amp; CHAR(65+MATCH(B1287, params!$B$2:$R$2, 0)))</f>
        <v/>
      </c>
      <c r="E1287" s="5" t="str">
        <f ca="1">IF(B1287="", "", COUNTA(INDIRECT(D1287 &amp; 3):INDIRECT(D1287 &amp; 24)))</f>
        <v/>
      </c>
      <c r="F1287" s="5" t="str">
        <f t="shared" si="42"/>
        <v/>
      </c>
      <c r="G1287" s="5" t="str">
        <f>IF(F1287="", "", IF(B1287&lt;&gt;"", MATCH(B1287, params!$B$2:$R$2, 0), G1286))</f>
        <v/>
      </c>
      <c r="H1287" s="5" t="str">
        <f t="shared" ca="1" si="41"/>
        <v/>
      </c>
      <c r="M1287" s="2"/>
    </row>
    <row r="1288" spans="2:13" ht="15.6" x14ac:dyDescent="0.3">
      <c r="B1288" s="5" t="str">
        <f>IF(COUNTIF(data_val!$E$3:$E$5, sample_log!$E1288), sample_log!$C1288 &amp; "_" &amp; sample_log!$D1288, "")</f>
        <v/>
      </c>
      <c r="C1288" s="5" t="str">
        <f>IF(B1288="", IF(F1288="", "", C1287), IF(sample_log!E1288="Triennial SASS", "tri_params", "params"))</f>
        <v/>
      </c>
      <c r="D1288" s="5" t="str">
        <f>IF(B1288="", "", C1288 &amp; "!" &amp; CHAR(65+MATCH(B1288, params!$B$2:$R$2, 0)))</f>
        <v/>
      </c>
      <c r="E1288" s="5" t="str">
        <f ca="1">IF(B1288="", "", COUNTA(INDIRECT(D1288 &amp; 3):INDIRECT(D1288 &amp; 24)))</f>
        <v/>
      </c>
      <c r="F1288" s="5" t="str">
        <f t="shared" si="42"/>
        <v/>
      </c>
      <c r="G1288" s="5" t="str">
        <f>IF(F1288="", "", IF(B1288&lt;&gt;"", MATCH(B1288, params!$B$2:$R$2, 0), G1287))</f>
        <v/>
      </c>
      <c r="H1288" s="5" t="str">
        <f t="shared" ca="1" si="41"/>
        <v/>
      </c>
      <c r="M1288" s="2"/>
    </row>
    <row r="1289" spans="2:13" ht="15.6" x14ac:dyDescent="0.3">
      <c r="B1289" s="5" t="str">
        <f>IF(COUNTIF(data_val!$E$3:$E$5, sample_log!$E1289), sample_log!$C1289 &amp; "_" &amp; sample_log!$D1289, "")</f>
        <v/>
      </c>
      <c r="C1289" s="5" t="str">
        <f>IF(B1289="", IF(F1289="", "", C1288), IF(sample_log!E1289="Triennial SASS", "tri_params", "params"))</f>
        <v/>
      </c>
      <c r="D1289" s="5" t="str">
        <f>IF(B1289="", "", C1289 &amp; "!" &amp; CHAR(65+MATCH(B1289, params!$B$2:$R$2, 0)))</f>
        <v/>
      </c>
      <c r="E1289" s="5" t="str">
        <f ca="1">IF(B1289="", "", COUNTA(INDIRECT(D1289 &amp; 3):INDIRECT(D1289 &amp; 24)))</f>
        <v/>
      </c>
      <c r="F1289" s="5" t="str">
        <f t="shared" si="42"/>
        <v/>
      </c>
      <c r="G1289" s="5" t="str">
        <f>IF(F1289="", "", IF(B1289&lt;&gt;"", MATCH(B1289, params!$B$2:$R$2, 0), G1288))</f>
        <v/>
      </c>
      <c r="H1289" s="5" t="str">
        <f t="shared" ca="1" si="41"/>
        <v/>
      </c>
      <c r="M1289" s="2"/>
    </row>
    <row r="1290" spans="2:13" ht="15.6" x14ac:dyDescent="0.3">
      <c r="B1290" s="5" t="str">
        <f>IF(COUNTIF(data_val!$E$3:$E$5, sample_log!$E1290), sample_log!$C1290 &amp; "_" &amp; sample_log!$D1290, "")</f>
        <v/>
      </c>
      <c r="C1290" s="5" t="str">
        <f>IF(B1290="", IF(F1290="", "", C1289), IF(sample_log!E1290="Triennial SASS", "tri_params", "params"))</f>
        <v/>
      </c>
      <c r="D1290" s="5" t="str">
        <f>IF(B1290="", "", C1290 &amp; "!" &amp; CHAR(65+MATCH(B1290, params!$B$2:$R$2, 0)))</f>
        <v/>
      </c>
      <c r="E1290" s="5" t="str">
        <f ca="1">IF(B1290="", "", COUNTA(INDIRECT(D1290 &amp; 3):INDIRECT(D1290 &amp; 24)))</f>
        <v/>
      </c>
      <c r="F1290" s="5" t="str">
        <f t="shared" si="42"/>
        <v/>
      </c>
      <c r="G1290" s="5" t="str">
        <f>IF(F1290="", "", IF(B1290&lt;&gt;"", MATCH(B1290, params!$B$2:$R$2, 0), G1289))</f>
        <v/>
      </c>
      <c r="H1290" s="5" t="str">
        <f t="shared" ca="1" si="41"/>
        <v/>
      </c>
      <c r="M1290" s="2"/>
    </row>
    <row r="1291" spans="2:13" ht="15.6" x14ac:dyDescent="0.3">
      <c r="B1291" s="5" t="str">
        <f>IF(COUNTIF(data_val!$E$3:$E$5, sample_log!$E1291), sample_log!$C1291 &amp; "_" &amp; sample_log!$D1291, "")</f>
        <v/>
      </c>
      <c r="C1291" s="5" t="str">
        <f>IF(B1291="", IF(F1291="", "", C1290), IF(sample_log!E1291="Triennial SASS", "tri_params", "params"))</f>
        <v/>
      </c>
      <c r="D1291" s="5" t="str">
        <f>IF(B1291="", "", C1291 &amp; "!" &amp; CHAR(65+MATCH(B1291, params!$B$2:$R$2, 0)))</f>
        <v/>
      </c>
      <c r="E1291" s="5" t="str">
        <f ca="1">IF(B1291="", "", COUNTA(INDIRECT(D1291 &amp; 3):INDIRECT(D1291 &amp; 24)))</f>
        <v/>
      </c>
      <c r="F1291" s="5" t="str">
        <f t="shared" si="42"/>
        <v/>
      </c>
      <c r="G1291" s="5" t="str">
        <f>IF(F1291="", "", IF(B1291&lt;&gt;"", MATCH(B1291, params!$B$2:$R$2, 0), G1290))</f>
        <v/>
      </c>
      <c r="H1291" s="5" t="str">
        <f t="shared" ca="1" si="41"/>
        <v/>
      </c>
      <c r="M1291" s="2"/>
    </row>
    <row r="1292" spans="2:13" ht="15.6" x14ac:dyDescent="0.3">
      <c r="B1292" s="5" t="str">
        <f>IF(COUNTIF(data_val!$E$3:$E$5, sample_log!$E1292), sample_log!$C1292 &amp; "_" &amp; sample_log!$D1292, "")</f>
        <v/>
      </c>
      <c r="C1292" s="5" t="str">
        <f>IF(B1292="", IF(F1292="", "", C1291), IF(sample_log!E1292="Triennial SASS", "tri_params", "params"))</f>
        <v/>
      </c>
      <c r="D1292" s="5" t="str">
        <f>IF(B1292="", "", C1292 &amp; "!" &amp; CHAR(65+MATCH(B1292, params!$B$2:$R$2, 0)))</f>
        <v/>
      </c>
      <c r="E1292" s="5" t="str">
        <f ca="1">IF(B1292="", "", COUNTA(INDIRECT(D1292 &amp; 3):INDIRECT(D1292 &amp; 24)))</f>
        <v/>
      </c>
      <c r="F1292" s="5" t="str">
        <f t="shared" si="42"/>
        <v/>
      </c>
      <c r="G1292" s="5" t="str">
        <f>IF(F1292="", "", IF(B1292&lt;&gt;"", MATCH(B1292, params!$B$2:$R$2, 0), G1291))</f>
        <v/>
      </c>
      <c r="H1292" s="5" t="str">
        <f t="shared" ca="1" si="41"/>
        <v/>
      </c>
      <c r="M1292" s="2"/>
    </row>
    <row r="1293" spans="2:13" ht="15.6" x14ac:dyDescent="0.3">
      <c r="B1293" s="5" t="str">
        <f>IF(COUNTIF(data_val!$E$3:$E$5, sample_log!$E1293), sample_log!$C1293 &amp; "_" &amp; sample_log!$D1293, "")</f>
        <v/>
      </c>
      <c r="C1293" s="5" t="str">
        <f>IF(B1293="", IF(F1293="", "", C1292), IF(sample_log!E1293="Triennial SASS", "tri_params", "params"))</f>
        <v/>
      </c>
      <c r="D1293" s="5" t="str">
        <f>IF(B1293="", "", C1293 &amp; "!" &amp; CHAR(65+MATCH(B1293, params!$B$2:$R$2, 0)))</f>
        <v/>
      </c>
      <c r="E1293" s="5" t="str">
        <f ca="1">IF(B1293="", "", COUNTA(INDIRECT(D1293 &amp; 3):INDIRECT(D1293 &amp; 24)))</f>
        <v/>
      </c>
      <c r="F1293" s="5" t="str">
        <f t="shared" si="42"/>
        <v/>
      </c>
      <c r="G1293" s="5" t="str">
        <f>IF(F1293="", "", IF(B1293&lt;&gt;"", MATCH(B1293, params!$B$2:$R$2, 0), G1292))</f>
        <v/>
      </c>
      <c r="H1293" s="5" t="str">
        <f t="shared" ca="1" si="41"/>
        <v/>
      </c>
      <c r="M1293" s="2"/>
    </row>
    <row r="1294" spans="2:13" ht="15.6" x14ac:dyDescent="0.3">
      <c r="B1294" s="5" t="str">
        <f>IF(COUNTIF(data_val!$E$3:$E$5, sample_log!$E1294), sample_log!$C1294 &amp; "_" &amp; sample_log!$D1294, "")</f>
        <v/>
      </c>
      <c r="C1294" s="5" t="str">
        <f>IF(B1294="", IF(F1294="", "", C1293), IF(sample_log!E1294="Triennial SASS", "tri_params", "params"))</f>
        <v/>
      </c>
      <c r="D1294" s="5" t="str">
        <f>IF(B1294="", "", C1294 &amp; "!" &amp; CHAR(65+MATCH(B1294, params!$B$2:$R$2, 0)))</f>
        <v/>
      </c>
      <c r="E1294" s="5" t="str">
        <f ca="1">IF(B1294="", "", COUNTA(INDIRECT(D1294 &amp; 3):INDIRECT(D1294 &amp; 24)))</f>
        <v/>
      </c>
      <c r="F1294" s="5" t="str">
        <f t="shared" si="42"/>
        <v/>
      </c>
      <c r="G1294" s="5" t="str">
        <f>IF(F1294="", "", IF(B1294&lt;&gt;"", MATCH(B1294, params!$B$2:$R$2, 0), G1293))</f>
        <v/>
      </c>
      <c r="H1294" s="5" t="str">
        <f t="shared" ca="1" si="41"/>
        <v/>
      </c>
      <c r="M1294" s="2"/>
    </row>
    <row r="1295" spans="2:13" ht="15.6" x14ac:dyDescent="0.3">
      <c r="B1295" s="5" t="str">
        <f>IF(COUNTIF(data_val!$E$3:$E$5, sample_log!$E1295), sample_log!$C1295 &amp; "_" &amp; sample_log!$D1295, "")</f>
        <v/>
      </c>
      <c r="C1295" s="5" t="str">
        <f>IF(B1295="", IF(F1295="", "", C1294), IF(sample_log!E1295="Triennial SASS", "tri_params", "params"))</f>
        <v/>
      </c>
      <c r="D1295" s="5" t="str">
        <f>IF(B1295="", "", C1295 &amp; "!" &amp; CHAR(65+MATCH(B1295, params!$B$2:$R$2, 0)))</f>
        <v/>
      </c>
      <c r="E1295" s="5" t="str">
        <f ca="1">IF(B1295="", "", COUNTA(INDIRECT(D1295 &amp; 3):INDIRECT(D1295 &amp; 24)))</f>
        <v/>
      </c>
      <c r="F1295" s="5" t="str">
        <f t="shared" si="42"/>
        <v/>
      </c>
      <c r="G1295" s="5" t="str">
        <f>IF(F1295="", "", IF(B1295&lt;&gt;"", MATCH(B1295, params!$B$2:$R$2, 0), G1294))</f>
        <v/>
      </c>
      <c r="H1295" s="5" t="str">
        <f t="shared" ca="1" si="41"/>
        <v/>
      </c>
      <c r="M1295" s="2"/>
    </row>
    <row r="1296" spans="2:13" ht="15.6" x14ac:dyDescent="0.3">
      <c r="B1296" s="5" t="str">
        <f>IF(COUNTIF(data_val!$E$3:$E$5, sample_log!$E1296), sample_log!$C1296 &amp; "_" &amp; sample_log!$D1296, "")</f>
        <v/>
      </c>
      <c r="C1296" s="5" t="str">
        <f>IF(B1296="", IF(F1296="", "", C1295), IF(sample_log!E1296="Triennial SASS", "tri_params", "params"))</f>
        <v/>
      </c>
      <c r="D1296" s="5" t="str">
        <f>IF(B1296="", "", C1296 &amp; "!" &amp; CHAR(65+MATCH(B1296, params!$B$2:$R$2, 0)))</f>
        <v/>
      </c>
      <c r="E1296" s="5" t="str">
        <f ca="1">IF(B1296="", "", COUNTA(INDIRECT(D1296 &amp; 3):INDIRECT(D1296 &amp; 24)))</f>
        <v/>
      </c>
      <c r="F1296" s="5" t="str">
        <f t="shared" si="42"/>
        <v/>
      </c>
      <c r="G1296" s="5" t="str">
        <f>IF(F1296="", "", IF(B1296&lt;&gt;"", MATCH(B1296, params!$B$2:$R$2, 0), G1295))</f>
        <v/>
      </c>
      <c r="H1296" s="5" t="str">
        <f t="shared" ca="1" si="41"/>
        <v/>
      </c>
      <c r="M1296" s="2"/>
    </row>
    <row r="1297" spans="2:13" ht="15.6" x14ac:dyDescent="0.3">
      <c r="B1297" s="5" t="str">
        <f>IF(COUNTIF(data_val!$E$3:$E$5, sample_log!$E1297), sample_log!$C1297 &amp; "_" &amp; sample_log!$D1297, "")</f>
        <v/>
      </c>
      <c r="C1297" s="5" t="str">
        <f>IF(B1297="", IF(F1297="", "", C1296), IF(sample_log!E1297="Triennial SASS", "tri_params", "params"))</f>
        <v/>
      </c>
      <c r="D1297" s="5" t="str">
        <f>IF(B1297="", "", C1297 &amp; "!" &amp; CHAR(65+MATCH(B1297, params!$B$2:$R$2, 0)))</f>
        <v/>
      </c>
      <c r="E1297" s="5" t="str">
        <f ca="1">IF(B1297="", "", COUNTA(INDIRECT(D1297 &amp; 3):INDIRECT(D1297 &amp; 24)))</f>
        <v/>
      </c>
      <c r="F1297" s="5" t="str">
        <f t="shared" si="42"/>
        <v/>
      </c>
      <c r="G1297" s="5" t="str">
        <f>IF(F1297="", "", IF(B1297&lt;&gt;"", MATCH(B1297, params!$B$2:$R$2, 0), G1296))</f>
        <v/>
      </c>
      <c r="H1297" s="5" t="str">
        <f t="shared" ca="1" si="41"/>
        <v/>
      </c>
      <c r="M1297" s="2"/>
    </row>
    <row r="1298" spans="2:13" ht="15.6" x14ac:dyDescent="0.3">
      <c r="B1298" s="5" t="str">
        <f>IF(COUNTIF(data_val!$E$3:$E$5, sample_log!$E1298), sample_log!$C1298 &amp; "_" &amp; sample_log!$D1298, "")</f>
        <v/>
      </c>
      <c r="C1298" s="5" t="str">
        <f>IF(B1298="", IF(F1298="", "", C1297), IF(sample_log!E1298="Triennial SASS", "tri_params", "params"))</f>
        <v/>
      </c>
      <c r="D1298" s="5" t="str">
        <f>IF(B1298="", "", C1298 &amp; "!" &amp; CHAR(65+MATCH(B1298, params!$B$2:$R$2, 0)))</f>
        <v/>
      </c>
      <c r="E1298" s="5" t="str">
        <f ca="1">IF(B1298="", "", COUNTA(INDIRECT(D1298 &amp; 3):INDIRECT(D1298 &amp; 24)))</f>
        <v/>
      </c>
      <c r="F1298" s="5" t="str">
        <f t="shared" si="42"/>
        <v/>
      </c>
      <c r="G1298" s="5" t="str">
        <f>IF(F1298="", "", IF(B1298&lt;&gt;"", MATCH(B1298, params!$B$2:$R$2, 0), G1297))</f>
        <v/>
      </c>
      <c r="H1298" s="5" t="str">
        <f t="shared" ca="1" si="41"/>
        <v/>
      </c>
      <c r="M1298" s="2"/>
    </row>
    <row r="1299" spans="2:13" ht="15.6" x14ac:dyDescent="0.3">
      <c r="B1299" s="5" t="str">
        <f>IF(COUNTIF(data_val!$E$3:$E$5, sample_log!$E1299), sample_log!$C1299 &amp; "_" &amp; sample_log!$D1299, "")</f>
        <v/>
      </c>
      <c r="C1299" s="5" t="str">
        <f>IF(B1299="", IF(F1299="", "", C1298), IF(sample_log!E1299="Triennial SASS", "tri_params", "params"))</f>
        <v/>
      </c>
      <c r="D1299" s="5" t="str">
        <f>IF(B1299="", "", C1299 &amp; "!" &amp; CHAR(65+MATCH(B1299, params!$B$2:$R$2, 0)))</f>
        <v/>
      </c>
      <c r="E1299" s="5" t="str">
        <f ca="1">IF(B1299="", "", COUNTA(INDIRECT(D1299 &amp; 3):INDIRECT(D1299 &amp; 24)))</f>
        <v/>
      </c>
      <c r="F1299" s="5" t="str">
        <f t="shared" si="42"/>
        <v/>
      </c>
      <c r="G1299" s="5" t="str">
        <f>IF(F1299="", "", IF(B1299&lt;&gt;"", MATCH(B1299, params!$B$2:$R$2, 0), G1298))</f>
        <v/>
      </c>
      <c r="H1299" s="5" t="str">
        <f t="shared" ca="1" si="41"/>
        <v/>
      </c>
      <c r="M1299" s="2"/>
    </row>
    <row r="1300" spans="2:13" ht="15.6" x14ac:dyDescent="0.3">
      <c r="B1300" s="5" t="str">
        <f>IF(COUNTIF(data_val!$E$3:$E$5, sample_log!$E1300), sample_log!$C1300 &amp; "_" &amp; sample_log!$D1300, "")</f>
        <v/>
      </c>
      <c r="C1300" s="5" t="str">
        <f>IF(B1300="", IF(F1300="", "", C1299), IF(sample_log!E1300="Triennial SASS", "tri_params", "params"))</f>
        <v/>
      </c>
      <c r="D1300" s="5" t="str">
        <f>IF(B1300="", "", C1300 &amp; "!" &amp; CHAR(65+MATCH(B1300, params!$B$2:$R$2, 0)))</f>
        <v/>
      </c>
      <c r="E1300" s="5" t="str">
        <f ca="1">IF(B1300="", "", COUNTA(INDIRECT(D1300 &amp; 3):INDIRECT(D1300 &amp; 24)))</f>
        <v/>
      </c>
      <c r="F1300" s="5" t="str">
        <f t="shared" si="42"/>
        <v/>
      </c>
      <c r="G1300" s="5" t="str">
        <f>IF(F1300="", "", IF(B1300&lt;&gt;"", MATCH(B1300, params!$B$2:$R$2, 0), G1299))</f>
        <v/>
      </c>
      <c r="H1300" s="5" t="str">
        <f t="shared" ca="1" si="41"/>
        <v/>
      </c>
      <c r="M1300" s="2"/>
    </row>
    <row r="1301" spans="2:13" ht="15.6" x14ac:dyDescent="0.3">
      <c r="B1301" s="5" t="str">
        <f>IF(COUNTIF(data_val!$E$3:$E$5, sample_log!$E1301), sample_log!$C1301 &amp; "_" &amp; sample_log!$D1301, "")</f>
        <v/>
      </c>
      <c r="C1301" s="5" t="str">
        <f>IF(B1301="", IF(F1301="", "", C1300), IF(sample_log!E1301="Triennial SASS", "tri_params", "params"))</f>
        <v/>
      </c>
      <c r="D1301" s="5" t="str">
        <f>IF(B1301="", "", C1301 &amp; "!" &amp; CHAR(65+MATCH(B1301, params!$B$2:$R$2, 0)))</f>
        <v/>
      </c>
      <c r="E1301" s="5" t="str">
        <f ca="1">IF(B1301="", "", COUNTA(INDIRECT(D1301 &amp; 3):INDIRECT(D1301 &amp; 24)))</f>
        <v/>
      </c>
      <c r="F1301" s="5" t="str">
        <f t="shared" si="42"/>
        <v/>
      </c>
      <c r="G1301" s="5" t="str">
        <f>IF(F1301="", "", IF(B1301&lt;&gt;"", MATCH(B1301, params!$B$2:$R$2, 0), G1300))</f>
        <v/>
      </c>
      <c r="H1301" s="5" t="str">
        <f t="shared" ca="1" si="41"/>
        <v/>
      </c>
      <c r="M1301" s="2"/>
    </row>
    <row r="1302" spans="2:13" ht="15.6" x14ac:dyDescent="0.3">
      <c r="B1302" s="5" t="str">
        <f>IF(COUNTIF(data_val!$E$3:$E$5, sample_log!$E1302), sample_log!$C1302 &amp; "_" &amp; sample_log!$D1302, "")</f>
        <v/>
      </c>
      <c r="C1302" s="5" t="str">
        <f>IF(B1302="", IF(F1302="", "", C1301), IF(sample_log!E1302="Triennial SASS", "tri_params", "params"))</f>
        <v/>
      </c>
      <c r="D1302" s="5" t="str">
        <f>IF(B1302="", "", C1302 &amp; "!" &amp; CHAR(65+MATCH(B1302, params!$B$2:$R$2, 0)))</f>
        <v/>
      </c>
      <c r="E1302" s="5" t="str">
        <f ca="1">IF(B1302="", "", COUNTA(INDIRECT(D1302 &amp; 3):INDIRECT(D1302 &amp; 24)))</f>
        <v/>
      </c>
      <c r="F1302" s="5" t="str">
        <f t="shared" si="42"/>
        <v/>
      </c>
      <c r="G1302" s="5" t="str">
        <f>IF(F1302="", "", IF(B1302&lt;&gt;"", MATCH(B1302, params!$B$2:$R$2, 0), G1301))</f>
        <v/>
      </c>
      <c r="H1302" s="5" t="str">
        <f t="shared" ca="1" si="41"/>
        <v/>
      </c>
      <c r="M1302" s="2"/>
    </row>
    <row r="1303" spans="2:13" ht="15.6" x14ac:dyDescent="0.3">
      <c r="B1303" s="5" t="str">
        <f>IF(COUNTIF(data_val!$E$3:$E$5, sample_log!$E1303), sample_log!$C1303 &amp; "_" &amp; sample_log!$D1303, "")</f>
        <v/>
      </c>
      <c r="C1303" s="5" t="str">
        <f>IF(B1303="", IF(F1303="", "", C1302), IF(sample_log!E1303="Triennial SASS", "tri_params", "params"))</f>
        <v/>
      </c>
      <c r="D1303" s="5" t="str">
        <f>IF(B1303="", "", C1303 &amp; "!" &amp; CHAR(65+MATCH(B1303, params!$B$2:$R$2, 0)))</f>
        <v/>
      </c>
      <c r="E1303" s="5" t="str">
        <f ca="1">IF(B1303="", "", COUNTA(INDIRECT(D1303 &amp; 3):INDIRECT(D1303 &amp; 24)))</f>
        <v/>
      </c>
      <c r="F1303" s="5" t="str">
        <f t="shared" si="42"/>
        <v/>
      </c>
      <c r="G1303" s="5" t="str">
        <f>IF(F1303="", "", IF(B1303&lt;&gt;"", MATCH(B1303, params!$B$2:$R$2, 0), G1302))</f>
        <v/>
      </c>
      <c r="H1303" s="5" t="str">
        <f t="shared" ca="1" si="41"/>
        <v/>
      </c>
      <c r="M1303" s="2"/>
    </row>
    <row r="1304" spans="2:13" ht="15.6" x14ac:dyDescent="0.3">
      <c r="B1304" s="5" t="str">
        <f>IF(COUNTIF(data_val!$E$3:$E$5, sample_log!$E1304), sample_log!$C1304 &amp; "_" &amp; sample_log!$D1304, "")</f>
        <v/>
      </c>
      <c r="C1304" s="5" t="str">
        <f>IF(B1304="", IF(F1304="", "", C1303), IF(sample_log!E1304="Triennial SASS", "tri_params", "params"))</f>
        <v/>
      </c>
      <c r="D1304" s="5" t="str">
        <f>IF(B1304="", "", C1304 &amp; "!" &amp; CHAR(65+MATCH(B1304, params!$B$2:$R$2, 0)))</f>
        <v/>
      </c>
      <c r="E1304" s="5" t="str">
        <f ca="1">IF(B1304="", "", COUNTA(INDIRECT(D1304 &amp; 3):INDIRECT(D1304 &amp; 24)))</f>
        <v/>
      </c>
      <c r="F1304" s="5" t="str">
        <f t="shared" si="42"/>
        <v/>
      </c>
      <c r="G1304" s="5" t="str">
        <f>IF(F1304="", "", IF(B1304&lt;&gt;"", MATCH(B1304, params!$B$2:$R$2, 0), G1303))</f>
        <v/>
      </c>
      <c r="H1304" s="5" t="str">
        <f t="shared" ca="1" si="41"/>
        <v/>
      </c>
      <c r="M1304" s="2"/>
    </row>
    <row r="1305" spans="2:13" ht="15.6" x14ac:dyDescent="0.3">
      <c r="B1305" s="5" t="str">
        <f>IF(COUNTIF(data_val!$E$3:$E$5, sample_log!$E1305), sample_log!$C1305 &amp; "_" &amp; sample_log!$D1305, "")</f>
        <v/>
      </c>
      <c r="C1305" s="5" t="str">
        <f>IF(B1305="", IF(F1305="", "", C1304), IF(sample_log!E1305="Triennial SASS", "tri_params", "params"))</f>
        <v/>
      </c>
      <c r="D1305" s="5" t="str">
        <f>IF(B1305="", "", C1305 &amp; "!" &amp; CHAR(65+MATCH(B1305, params!$B$2:$R$2, 0)))</f>
        <v/>
      </c>
      <c r="E1305" s="5" t="str">
        <f ca="1">IF(B1305="", "", COUNTA(INDIRECT(D1305 &amp; 3):INDIRECT(D1305 &amp; 24)))</f>
        <v/>
      </c>
      <c r="F1305" s="5" t="str">
        <f t="shared" si="42"/>
        <v/>
      </c>
      <c r="G1305" s="5" t="str">
        <f>IF(F1305="", "", IF(B1305&lt;&gt;"", MATCH(B1305, params!$B$2:$R$2, 0), G1304))</f>
        <v/>
      </c>
      <c r="H1305" s="5" t="str">
        <f t="shared" ref="H1305:H1368" ca="1" si="43">IF($F1305="", "", INDEX(INDIRECT("'" &amp; C1305 &amp; "'!$B$3:$R$24"), $F1305, $G1305))</f>
        <v/>
      </c>
      <c r="M1305" s="2"/>
    </row>
    <row r="1306" spans="2:13" ht="15.6" x14ac:dyDescent="0.3">
      <c r="B1306" s="5" t="str">
        <f>IF(COUNTIF(data_val!$E$3:$E$5, sample_log!$E1306), sample_log!$C1306 &amp; "_" &amp; sample_log!$D1306, "")</f>
        <v/>
      </c>
      <c r="C1306" s="5" t="str">
        <f>IF(B1306="", IF(F1306="", "", C1305), IF(sample_log!E1306="Triennial SASS", "tri_params", "params"))</f>
        <v/>
      </c>
      <c r="D1306" s="5" t="str">
        <f>IF(B1306="", "", C1306 &amp; "!" &amp; CHAR(65+MATCH(B1306, params!$B$2:$R$2, 0)))</f>
        <v/>
      </c>
      <c r="E1306" s="5" t="str">
        <f ca="1">IF(B1306="", "", COUNTA(INDIRECT(D1306 &amp; 3):INDIRECT(D1306 &amp; 24)))</f>
        <v/>
      </c>
      <c r="F1306" s="5" t="str">
        <f t="shared" si="42"/>
        <v/>
      </c>
      <c r="G1306" s="5" t="str">
        <f>IF(F1306="", "", IF(B1306&lt;&gt;"", MATCH(B1306, params!$B$2:$R$2, 0), G1305))</f>
        <v/>
      </c>
      <c r="H1306" s="5" t="str">
        <f t="shared" ca="1" si="43"/>
        <v/>
      </c>
      <c r="M1306" s="2"/>
    </row>
    <row r="1307" spans="2:13" ht="15.6" x14ac:dyDescent="0.3">
      <c r="B1307" s="5" t="str">
        <f>IF(COUNTIF(data_val!$E$3:$E$5, sample_log!$E1307), sample_log!$C1307 &amp; "_" &amp; sample_log!$D1307, "")</f>
        <v/>
      </c>
      <c r="C1307" s="5" t="str">
        <f>IF(B1307="", IF(F1307="", "", C1306), IF(sample_log!E1307="Triennial SASS", "tri_params", "params"))</f>
        <v/>
      </c>
      <c r="D1307" s="5" t="str">
        <f>IF(B1307="", "", C1307 &amp; "!" &amp; CHAR(65+MATCH(B1307, params!$B$2:$R$2, 0)))</f>
        <v/>
      </c>
      <c r="E1307" s="5" t="str">
        <f ca="1">IF(B1307="", "", COUNTA(INDIRECT(D1307 &amp; 3):INDIRECT(D1307 &amp; 24)))</f>
        <v/>
      </c>
      <c r="F1307" s="5" t="str">
        <f t="shared" si="42"/>
        <v/>
      </c>
      <c r="G1307" s="5" t="str">
        <f>IF(F1307="", "", IF(B1307&lt;&gt;"", MATCH(B1307, params!$B$2:$R$2, 0), G1306))</f>
        <v/>
      </c>
      <c r="H1307" s="5" t="str">
        <f t="shared" ca="1" si="43"/>
        <v/>
      </c>
      <c r="M1307" s="2"/>
    </row>
    <row r="1308" spans="2:13" ht="15.6" x14ac:dyDescent="0.3">
      <c r="B1308" s="5" t="str">
        <f>IF(COUNTIF(data_val!$E$3:$E$5, sample_log!$E1308), sample_log!$C1308 &amp; "_" &amp; sample_log!$D1308, "")</f>
        <v/>
      </c>
      <c r="C1308" s="5" t="str">
        <f>IF(B1308="", IF(F1308="", "", C1307), IF(sample_log!E1308="Triennial SASS", "tri_params", "params"))</f>
        <v/>
      </c>
      <c r="D1308" s="5" t="str">
        <f>IF(B1308="", "", C1308 &amp; "!" &amp; CHAR(65+MATCH(B1308, params!$B$2:$R$2, 0)))</f>
        <v/>
      </c>
      <c r="E1308" s="5" t="str">
        <f ca="1">IF(B1308="", "", COUNTA(INDIRECT(D1308 &amp; 3):INDIRECT(D1308 &amp; 24)))</f>
        <v/>
      </c>
      <c r="F1308" s="5" t="str">
        <f t="shared" si="42"/>
        <v/>
      </c>
      <c r="G1308" s="5" t="str">
        <f>IF(F1308="", "", IF(B1308&lt;&gt;"", MATCH(B1308, params!$B$2:$R$2, 0), G1307))</f>
        <v/>
      </c>
      <c r="H1308" s="5" t="str">
        <f t="shared" ca="1" si="43"/>
        <v/>
      </c>
      <c r="M1308" s="2"/>
    </row>
    <row r="1309" spans="2:13" ht="15.6" x14ac:dyDescent="0.3">
      <c r="B1309" s="5" t="str">
        <f>IF(COUNTIF(data_val!$E$3:$E$5, sample_log!$E1309), sample_log!$C1309 &amp; "_" &amp; sample_log!$D1309, "")</f>
        <v/>
      </c>
      <c r="C1309" s="5" t="str">
        <f>IF(B1309="", IF(F1309="", "", C1308), IF(sample_log!E1309="Triennial SASS", "tri_params", "params"))</f>
        <v/>
      </c>
      <c r="D1309" s="5" t="str">
        <f>IF(B1309="", "", C1309 &amp; "!" &amp; CHAR(65+MATCH(B1309, params!$B$2:$R$2, 0)))</f>
        <v/>
      </c>
      <c r="E1309" s="5" t="str">
        <f ca="1">IF(B1309="", "", COUNTA(INDIRECT(D1309 &amp; 3):INDIRECT(D1309 &amp; 24)))</f>
        <v/>
      </c>
      <c r="F1309" s="5" t="str">
        <f t="shared" si="42"/>
        <v/>
      </c>
      <c r="G1309" s="5" t="str">
        <f>IF(F1309="", "", IF(B1309&lt;&gt;"", MATCH(B1309, params!$B$2:$R$2, 0), G1308))</f>
        <v/>
      </c>
      <c r="H1309" s="5" t="str">
        <f t="shared" ca="1" si="43"/>
        <v/>
      </c>
      <c r="M1309" s="2"/>
    </row>
    <row r="1310" spans="2:13" ht="15.6" x14ac:dyDescent="0.3">
      <c r="B1310" s="5" t="str">
        <f>IF(COUNTIF(data_val!$E$3:$E$5, sample_log!$E1310), sample_log!$C1310 &amp; "_" &amp; sample_log!$D1310, "")</f>
        <v/>
      </c>
      <c r="C1310" s="5" t="str">
        <f>IF(B1310="", IF(F1310="", "", C1309), IF(sample_log!E1310="Triennial SASS", "tri_params", "params"))</f>
        <v/>
      </c>
      <c r="D1310" s="5" t="str">
        <f>IF(B1310="", "", C1310 &amp; "!" &amp; CHAR(65+MATCH(B1310, params!$B$2:$R$2, 0)))</f>
        <v/>
      </c>
      <c r="E1310" s="5" t="str">
        <f ca="1">IF(B1310="", "", COUNTA(INDIRECT(D1310 &amp; 3):INDIRECT(D1310 &amp; 24)))</f>
        <v/>
      </c>
      <c r="F1310" s="5" t="str">
        <f t="shared" si="42"/>
        <v/>
      </c>
      <c r="G1310" s="5" t="str">
        <f>IF(F1310="", "", IF(B1310&lt;&gt;"", MATCH(B1310, params!$B$2:$R$2, 0), G1309))</f>
        <v/>
      </c>
      <c r="H1310" s="5" t="str">
        <f t="shared" ca="1" si="43"/>
        <v/>
      </c>
      <c r="M1310" s="2"/>
    </row>
    <row r="1311" spans="2:13" ht="15.6" x14ac:dyDescent="0.3">
      <c r="B1311" s="5" t="str">
        <f>IF(COUNTIF(data_val!$E$3:$E$5, sample_log!$E1311), sample_log!$C1311 &amp; "_" &amp; sample_log!$D1311, "")</f>
        <v/>
      </c>
      <c r="C1311" s="5" t="str">
        <f>IF(B1311="", IF(F1311="", "", C1310), IF(sample_log!E1311="Triennial SASS", "tri_params", "params"))</f>
        <v/>
      </c>
      <c r="D1311" s="5" t="str">
        <f>IF(B1311="", "", C1311 &amp; "!" &amp; CHAR(65+MATCH(B1311, params!$B$2:$R$2, 0)))</f>
        <v/>
      </c>
      <c r="E1311" s="5" t="str">
        <f ca="1">IF(B1311="", "", COUNTA(INDIRECT(D1311 &amp; 3):INDIRECT(D1311 &amp; 24)))</f>
        <v/>
      </c>
      <c r="F1311" s="5" t="str">
        <f t="shared" si="42"/>
        <v/>
      </c>
      <c r="G1311" s="5" t="str">
        <f>IF(F1311="", "", IF(B1311&lt;&gt;"", MATCH(B1311, params!$B$2:$R$2, 0), G1310))</f>
        <v/>
      </c>
      <c r="H1311" s="5" t="str">
        <f t="shared" ca="1" si="43"/>
        <v/>
      </c>
      <c r="M1311" s="2"/>
    </row>
    <row r="1312" spans="2:13" ht="15.6" x14ac:dyDescent="0.3">
      <c r="B1312" s="5" t="str">
        <f>IF(COUNTIF(data_val!$E$3:$E$5, sample_log!$E1312), sample_log!$C1312 &amp; "_" &amp; sample_log!$D1312, "")</f>
        <v/>
      </c>
      <c r="C1312" s="5" t="str">
        <f>IF(B1312="", IF(F1312="", "", C1311), IF(sample_log!E1312="Triennial SASS", "tri_params", "params"))</f>
        <v/>
      </c>
      <c r="D1312" s="5" t="str">
        <f>IF(B1312="", "", C1312 &amp; "!" &amp; CHAR(65+MATCH(B1312, params!$B$2:$R$2, 0)))</f>
        <v/>
      </c>
      <c r="E1312" s="5" t="str">
        <f ca="1">IF(B1312="", "", COUNTA(INDIRECT(D1312 &amp; 3):INDIRECT(D1312 &amp; 24)))</f>
        <v/>
      </c>
      <c r="F1312" s="5" t="str">
        <f t="shared" si="42"/>
        <v/>
      </c>
      <c r="G1312" s="5" t="str">
        <f>IF(F1312="", "", IF(B1312&lt;&gt;"", MATCH(B1312, params!$B$2:$R$2, 0), G1311))</f>
        <v/>
      </c>
      <c r="H1312" s="5" t="str">
        <f t="shared" ca="1" si="43"/>
        <v/>
      </c>
      <c r="M1312" s="2"/>
    </row>
    <row r="1313" spans="2:13" ht="15.6" x14ac:dyDescent="0.3">
      <c r="B1313" s="5" t="str">
        <f>IF(COUNTIF(data_val!$E$3:$E$5, sample_log!$E1313), sample_log!$C1313 &amp; "_" &amp; sample_log!$D1313, "")</f>
        <v/>
      </c>
      <c r="C1313" s="5" t="str">
        <f>IF(B1313="", IF(F1313="", "", C1312), IF(sample_log!E1313="Triennial SASS", "tri_params", "params"))</f>
        <v/>
      </c>
      <c r="D1313" s="5" t="str">
        <f>IF(B1313="", "", C1313 &amp; "!" &amp; CHAR(65+MATCH(B1313, params!$B$2:$R$2, 0)))</f>
        <v/>
      </c>
      <c r="E1313" s="5" t="str">
        <f ca="1">IF(B1313="", "", COUNTA(INDIRECT(D1313 &amp; 3):INDIRECT(D1313 &amp; 24)))</f>
        <v/>
      </c>
      <c r="F1313" s="5" t="str">
        <f t="shared" si="42"/>
        <v/>
      </c>
      <c r="G1313" s="5" t="str">
        <f>IF(F1313="", "", IF(B1313&lt;&gt;"", MATCH(B1313, params!$B$2:$R$2, 0), G1312))</f>
        <v/>
      </c>
      <c r="H1313" s="5" t="str">
        <f t="shared" ca="1" si="43"/>
        <v/>
      </c>
      <c r="M1313" s="2"/>
    </row>
    <row r="1314" spans="2:13" ht="15.6" x14ac:dyDescent="0.3">
      <c r="B1314" s="5" t="str">
        <f>IF(COUNTIF(data_val!$E$3:$E$5, sample_log!$E1314), sample_log!$C1314 &amp; "_" &amp; sample_log!$D1314, "")</f>
        <v/>
      </c>
      <c r="C1314" s="5" t="str">
        <f>IF(B1314="", IF(F1314="", "", C1313), IF(sample_log!E1314="Triennial SASS", "tri_params", "params"))</f>
        <v/>
      </c>
      <c r="D1314" s="5" t="str">
        <f>IF(B1314="", "", C1314 &amp; "!" &amp; CHAR(65+MATCH(B1314, params!$B$2:$R$2, 0)))</f>
        <v/>
      </c>
      <c r="E1314" s="5" t="str">
        <f ca="1">IF(B1314="", "", COUNTA(INDIRECT(D1314 &amp; 3):INDIRECT(D1314 &amp; 24)))</f>
        <v/>
      </c>
      <c r="F1314" s="5" t="str">
        <f t="shared" si="42"/>
        <v/>
      </c>
      <c r="G1314" s="5" t="str">
        <f>IF(F1314="", "", IF(B1314&lt;&gt;"", MATCH(B1314, params!$B$2:$R$2, 0), G1313))</f>
        <v/>
      </c>
      <c r="H1314" s="5" t="str">
        <f t="shared" ca="1" si="43"/>
        <v/>
      </c>
      <c r="M1314" s="2"/>
    </row>
    <row r="1315" spans="2:13" ht="15.6" x14ac:dyDescent="0.3">
      <c r="B1315" s="5" t="str">
        <f>IF(COUNTIF(data_val!$E$3:$E$5, sample_log!$E1315), sample_log!$C1315 &amp; "_" &amp; sample_log!$D1315, "")</f>
        <v/>
      </c>
      <c r="C1315" s="5" t="str">
        <f>IF(B1315="", IF(F1315="", "", C1314), IF(sample_log!E1315="Triennial SASS", "tri_params", "params"))</f>
        <v/>
      </c>
      <c r="D1315" s="5" t="str">
        <f>IF(B1315="", "", C1315 &amp; "!" &amp; CHAR(65+MATCH(B1315, params!$B$2:$R$2, 0)))</f>
        <v/>
      </c>
      <c r="E1315" s="5" t="str">
        <f ca="1">IF(B1315="", "", COUNTA(INDIRECT(D1315 &amp; 3):INDIRECT(D1315 &amp; 24)))</f>
        <v/>
      </c>
      <c r="F1315" s="5" t="str">
        <f t="shared" si="42"/>
        <v/>
      </c>
      <c r="G1315" s="5" t="str">
        <f>IF(F1315="", "", IF(B1315&lt;&gt;"", MATCH(B1315, params!$B$2:$R$2, 0), G1314))</f>
        <v/>
      </c>
      <c r="H1315" s="5" t="str">
        <f t="shared" ca="1" si="43"/>
        <v/>
      </c>
      <c r="M1315" s="2"/>
    </row>
    <row r="1316" spans="2:13" ht="15.6" x14ac:dyDescent="0.3">
      <c r="B1316" s="5" t="str">
        <f>IF(COUNTIF(data_val!$E$3:$E$5, sample_log!$E1316), sample_log!$C1316 &amp; "_" &amp; sample_log!$D1316, "")</f>
        <v/>
      </c>
      <c r="C1316" s="5" t="str">
        <f>IF(B1316="", IF(F1316="", "", C1315), IF(sample_log!E1316="Triennial SASS", "tri_params", "params"))</f>
        <v/>
      </c>
      <c r="D1316" s="5" t="str">
        <f>IF(B1316="", "", C1316 &amp; "!" &amp; CHAR(65+MATCH(B1316, params!$B$2:$R$2, 0)))</f>
        <v/>
      </c>
      <c r="E1316" s="5" t="str">
        <f ca="1">IF(B1316="", "", COUNTA(INDIRECT(D1316 &amp; 3):INDIRECT(D1316 &amp; 24)))</f>
        <v/>
      </c>
      <c r="F1316" s="5" t="str">
        <f t="shared" si="42"/>
        <v/>
      </c>
      <c r="G1316" s="5" t="str">
        <f>IF(F1316="", "", IF(B1316&lt;&gt;"", MATCH(B1316, params!$B$2:$R$2, 0), G1315))</f>
        <v/>
      </c>
      <c r="H1316" s="5" t="str">
        <f t="shared" ca="1" si="43"/>
        <v/>
      </c>
      <c r="M1316" s="2"/>
    </row>
    <row r="1317" spans="2:13" ht="15.6" x14ac:dyDescent="0.3">
      <c r="B1317" s="5" t="str">
        <f>IF(COUNTIF(data_val!$E$3:$E$5, sample_log!$E1317), sample_log!$C1317 &amp; "_" &amp; sample_log!$D1317, "")</f>
        <v/>
      </c>
      <c r="C1317" s="5" t="str">
        <f>IF(B1317="", IF(F1317="", "", C1316), IF(sample_log!E1317="Triennial SASS", "tri_params", "params"))</f>
        <v/>
      </c>
      <c r="D1317" s="5" t="str">
        <f>IF(B1317="", "", C1317 &amp; "!" &amp; CHAR(65+MATCH(B1317, params!$B$2:$R$2, 0)))</f>
        <v/>
      </c>
      <c r="E1317" s="5" t="str">
        <f ca="1">IF(B1317="", "", COUNTA(INDIRECT(D1317 &amp; 3):INDIRECT(D1317 &amp; 24)))</f>
        <v/>
      </c>
      <c r="F1317" s="5" t="str">
        <f t="shared" si="42"/>
        <v/>
      </c>
      <c r="G1317" s="5" t="str">
        <f>IF(F1317="", "", IF(B1317&lt;&gt;"", MATCH(B1317, params!$B$2:$R$2, 0), G1316))</f>
        <v/>
      </c>
      <c r="H1317" s="5" t="str">
        <f t="shared" ca="1" si="43"/>
        <v/>
      </c>
      <c r="M1317" s="2"/>
    </row>
    <row r="1318" spans="2:13" ht="15.6" x14ac:dyDescent="0.3">
      <c r="B1318" s="5" t="str">
        <f>IF(COUNTIF(data_val!$E$3:$E$5, sample_log!$E1318), sample_log!$C1318 &amp; "_" &amp; sample_log!$D1318, "")</f>
        <v/>
      </c>
      <c r="C1318" s="5" t="str">
        <f>IF(B1318="", IF(F1318="", "", C1317), IF(sample_log!E1318="Triennial SASS", "tri_params", "params"))</f>
        <v/>
      </c>
      <c r="D1318" s="5" t="str">
        <f>IF(B1318="", "", C1318 &amp; "!" &amp; CHAR(65+MATCH(B1318, params!$B$2:$R$2, 0)))</f>
        <v/>
      </c>
      <c r="E1318" s="5" t="str">
        <f ca="1">IF(B1318="", "", COUNTA(INDIRECT(D1318 &amp; 3):INDIRECT(D1318 &amp; 24)))</f>
        <v/>
      </c>
      <c r="F1318" s="5" t="str">
        <f t="shared" si="42"/>
        <v/>
      </c>
      <c r="G1318" s="5" t="str">
        <f>IF(F1318="", "", IF(B1318&lt;&gt;"", MATCH(B1318, params!$B$2:$R$2, 0), G1317))</f>
        <v/>
      </c>
      <c r="H1318" s="5" t="str">
        <f t="shared" ca="1" si="43"/>
        <v/>
      </c>
      <c r="M1318" s="2"/>
    </row>
    <row r="1319" spans="2:13" ht="15.6" x14ac:dyDescent="0.3">
      <c r="B1319" s="5" t="str">
        <f>IF(COUNTIF(data_val!$E$3:$E$5, sample_log!$E1319), sample_log!$C1319 &amp; "_" &amp; sample_log!$D1319, "")</f>
        <v/>
      </c>
      <c r="C1319" s="5" t="str">
        <f>IF(B1319="", IF(F1319="", "", C1318), IF(sample_log!E1319="Triennial SASS", "tri_params", "params"))</f>
        <v/>
      </c>
      <c r="D1319" s="5" t="str">
        <f>IF(B1319="", "", C1319 &amp; "!" &amp; CHAR(65+MATCH(B1319, params!$B$2:$R$2, 0)))</f>
        <v/>
      </c>
      <c r="E1319" s="5" t="str">
        <f ca="1">IF(B1319="", "", COUNTA(INDIRECT(D1319 &amp; 3):INDIRECT(D1319 &amp; 24)))</f>
        <v/>
      </c>
      <c r="F1319" s="5" t="str">
        <f t="shared" si="42"/>
        <v/>
      </c>
      <c r="G1319" s="5" t="str">
        <f>IF(F1319="", "", IF(B1319&lt;&gt;"", MATCH(B1319, params!$B$2:$R$2, 0), G1318))</f>
        <v/>
      </c>
      <c r="H1319" s="5" t="str">
        <f t="shared" ca="1" si="43"/>
        <v/>
      </c>
      <c r="M1319" s="2"/>
    </row>
    <row r="1320" spans="2:13" ht="15.6" x14ac:dyDescent="0.3">
      <c r="B1320" s="5" t="str">
        <f>IF(COUNTIF(data_val!$E$3:$E$5, sample_log!$E1320), sample_log!$C1320 &amp; "_" &amp; sample_log!$D1320, "")</f>
        <v/>
      </c>
      <c r="C1320" s="5" t="str">
        <f>IF(B1320="", IF(F1320="", "", C1319), IF(sample_log!E1320="Triennial SASS", "tri_params", "params"))</f>
        <v/>
      </c>
      <c r="D1320" s="5" t="str">
        <f>IF(B1320="", "", C1320 &amp; "!" &amp; CHAR(65+MATCH(B1320, params!$B$2:$R$2, 0)))</f>
        <v/>
      </c>
      <c r="E1320" s="5" t="str">
        <f ca="1">IF(B1320="", "", COUNTA(INDIRECT(D1320 &amp; 3):INDIRECT(D1320 &amp; 24)))</f>
        <v/>
      </c>
      <c r="F1320" s="5" t="str">
        <f t="shared" si="42"/>
        <v/>
      </c>
      <c r="G1320" s="5" t="str">
        <f>IF(F1320="", "", IF(B1320&lt;&gt;"", MATCH(B1320, params!$B$2:$R$2, 0), G1319))</f>
        <v/>
      </c>
      <c r="H1320" s="5" t="str">
        <f t="shared" ca="1" si="43"/>
        <v/>
      </c>
      <c r="M1320" s="2"/>
    </row>
    <row r="1321" spans="2:13" ht="15.6" x14ac:dyDescent="0.3">
      <c r="B1321" s="5" t="str">
        <f>IF(COUNTIF(data_val!$E$3:$E$5, sample_log!$E1321), sample_log!$C1321 &amp; "_" &amp; sample_log!$D1321, "")</f>
        <v/>
      </c>
      <c r="C1321" s="5" t="str">
        <f>IF(B1321="", IF(F1321="", "", C1320), IF(sample_log!E1321="Triennial SASS", "tri_params", "params"))</f>
        <v/>
      </c>
      <c r="D1321" s="5" t="str">
        <f>IF(B1321="", "", C1321 &amp; "!" &amp; CHAR(65+MATCH(B1321, params!$B$2:$R$2, 0)))</f>
        <v/>
      </c>
      <c r="E1321" s="5" t="str">
        <f ca="1">IF(B1321="", "", COUNTA(INDIRECT(D1321 &amp; 3):INDIRECT(D1321 &amp; 24)))</f>
        <v/>
      </c>
      <c r="F1321" s="5" t="str">
        <f t="shared" si="42"/>
        <v/>
      </c>
      <c r="G1321" s="5" t="str">
        <f>IF(F1321="", "", IF(B1321&lt;&gt;"", MATCH(B1321, params!$B$2:$R$2, 0), G1320))</f>
        <v/>
      </c>
      <c r="H1321" s="5" t="str">
        <f t="shared" ca="1" si="43"/>
        <v/>
      </c>
      <c r="M1321" s="2"/>
    </row>
    <row r="1322" spans="2:13" ht="15.6" x14ac:dyDescent="0.3">
      <c r="B1322" s="5" t="str">
        <f>IF(COUNTIF(data_val!$E$3:$E$5, sample_log!$E1322), sample_log!$C1322 &amp; "_" &amp; sample_log!$D1322, "")</f>
        <v/>
      </c>
      <c r="C1322" s="5" t="str">
        <f>IF(B1322="", IF(F1322="", "", C1321), IF(sample_log!E1322="Triennial SASS", "tri_params", "params"))</f>
        <v/>
      </c>
      <c r="D1322" s="5" t="str">
        <f>IF(B1322="", "", C1322 &amp; "!" &amp; CHAR(65+MATCH(B1322, params!$B$2:$R$2, 0)))</f>
        <v/>
      </c>
      <c r="E1322" s="5" t="str">
        <f ca="1">IF(B1322="", "", COUNTA(INDIRECT(D1322 &amp; 3):INDIRECT(D1322 &amp; 24)))</f>
        <v/>
      </c>
      <c r="F1322" s="5" t="str">
        <f t="shared" si="42"/>
        <v/>
      </c>
      <c r="G1322" s="5" t="str">
        <f>IF(F1322="", "", IF(B1322&lt;&gt;"", MATCH(B1322, params!$B$2:$R$2, 0), G1321))</f>
        <v/>
      </c>
      <c r="H1322" s="5" t="str">
        <f t="shared" ca="1" si="43"/>
        <v/>
      </c>
      <c r="M1322" s="2"/>
    </row>
    <row r="1323" spans="2:13" ht="15.6" x14ac:dyDescent="0.3">
      <c r="B1323" s="5" t="str">
        <f>IF(COUNTIF(data_val!$E$3:$E$5, sample_log!$E1323), sample_log!$C1323 &amp; "_" &amp; sample_log!$D1323, "")</f>
        <v/>
      </c>
      <c r="C1323" s="5" t="str">
        <f>IF(B1323="", IF(F1323="", "", C1322), IF(sample_log!E1323="Triennial SASS", "tri_params", "params"))</f>
        <v/>
      </c>
      <c r="D1323" s="5" t="str">
        <f>IF(B1323="", "", C1323 &amp; "!" &amp; CHAR(65+MATCH(B1323, params!$B$2:$R$2, 0)))</f>
        <v/>
      </c>
      <c r="E1323" s="5" t="str">
        <f ca="1">IF(B1323="", "", COUNTA(INDIRECT(D1323 &amp; 3):INDIRECT(D1323 &amp; 24)))</f>
        <v/>
      </c>
      <c r="F1323" s="5" t="str">
        <f t="shared" si="42"/>
        <v/>
      </c>
      <c r="G1323" s="5" t="str">
        <f>IF(F1323="", "", IF(B1323&lt;&gt;"", MATCH(B1323, params!$B$2:$R$2, 0), G1322))</f>
        <v/>
      </c>
      <c r="H1323" s="5" t="str">
        <f t="shared" ca="1" si="43"/>
        <v/>
      </c>
      <c r="M1323" s="2"/>
    </row>
    <row r="1324" spans="2:13" ht="15.6" x14ac:dyDescent="0.3">
      <c r="B1324" s="5" t="str">
        <f>IF(COUNTIF(data_val!$E$3:$E$5, sample_log!$E1324), sample_log!$C1324 &amp; "_" &amp; sample_log!$D1324, "")</f>
        <v/>
      </c>
      <c r="C1324" s="5" t="str">
        <f>IF(B1324="", IF(F1324="", "", C1323), IF(sample_log!E1324="Triennial SASS", "tri_params", "params"))</f>
        <v/>
      </c>
      <c r="D1324" s="5" t="str">
        <f>IF(B1324="", "", C1324 &amp; "!" &amp; CHAR(65+MATCH(B1324, params!$B$2:$R$2, 0)))</f>
        <v/>
      </c>
      <c r="E1324" s="5" t="str">
        <f ca="1">IF(B1324="", "", COUNTA(INDIRECT(D1324 &amp; 3):INDIRECT(D1324 &amp; 24)))</f>
        <v/>
      </c>
      <c r="F1324" s="5" t="str">
        <f t="shared" si="42"/>
        <v/>
      </c>
      <c r="G1324" s="5" t="str">
        <f>IF(F1324="", "", IF(B1324&lt;&gt;"", MATCH(B1324, params!$B$2:$R$2, 0), G1323))</f>
        <v/>
      </c>
      <c r="H1324" s="5" t="str">
        <f t="shared" ca="1" si="43"/>
        <v/>
      </c>
      <c r="M1324" s="2"/>
    </row>
    <row r="1325" spans="2:13" ht="15.6" x14ac:dyDescent="0.3">
      <c r="B1325" s="5" t="str">
        <f>IF(COUNTIF(data_val!$E$3:$E$5, sample_log!$E1325), sample_log!$C1325 &amp; "_" &amp; sample_log!$D1325, "")</f>
        <v/>
      </c>
      <c r="C1325" s="5" t="str">
        <f>IF(B1325="", IF(F1325="", "", C1324), IF(sample_log!E1325="Triennial SASS", "tri_params", "params"))</f>
        <v/>
      </c>
      <c r="D1325" s="5" t="str">
        <f>IF(B1325="", "", C1325 &amp; "!" &amp; CHAR(65+MATCH(B1325, params!$B$2:$R$2, 0)))</f>
        <v/>
      </c>
      <c r="E1325" s="5" t="str">
        <f ca="1">IF(B1325="", "", COUNTA(INDIRECT(D1325 &amp; 3):INDIRECT(D1325 &amp; 24)))</f>
        <v/>
      </c>
      <c r="F1325" s="5" t="str">
        <f t="shared" si="42"/>
        <v/>
      </c>
      <c r="G1325" s="5" t="str">
        <f>IF(F1325="", "", IF(B1325&lt;&gt;"", MATCH(B1325, params!$B$2:$R$2, 0), G1324))</f>
        <v/>
      </c>
      <c r="H1325" s="5" t="str">
        <f t="shared" ca="1" si="43"/>
        <v/>
      </c>
      <c r="M1325" s="2"/>
    </row>
    <row r="1326" spans="2:13" ht="15.6" x14ac:dyDescent="0.3">
      <c r="B1326" s="5" t="str">
        <f>IF(COUNTIF(data_val!$E$3:$E$5, sample_log!$E1326), sample_log!$C1326 &amp; "_" &amp; sample_log!$D1326, "")</f>
        <v/>
      </c>
      <c r="C1326" s="5" t="str">
        <f>IF(B1326="", IF(F1326="", "", C1325), IF(sample_log!E1326="Triennial SASS", "tri_params", "params"))</f>
        <v/>
      </c>
      <c r="D1326" s="5" t="str">
        <f>IF(B1326="", "", C1326 &amp; "!" &amp; CHAR(65+MATCH(B1326, params!$B$2:$R$2, 0)))</f>
        <v/>
      </c>
      <c r="E1326" s="5" t="str">
        <f ca="1">IF(B1326="", "", COUNTA(INDIRECT(D1326 &amp; 3):INDIRECT(D1326 &amp; 24)))</f>
        <v/>
      </c>
      <c r="F1326" s="5" t="str">
        <f t="shared" si="42"/>
        <v/>
      </c>
      <c r="G1326" s="5" t="str">
        <f>IF(F1326="", "", IF(B1326&lt;&gt;"", MATCH(B1326, params!$B$2:$R$2, 0), G1325))</f>
        <v/>
      </c>
      <c r="H1326" s="5" t="str">
        <f t="shared" ca="1" si="43"/>
        <v/>
      </c>
      <c r="M1326" s="2"/>
    </row>
    <row r="1327" spans="2:13" ht="15.6" x14ac:dyDescent="0.3">
      <c r="B1327" s="5" t="str">
        <f>IF(COUNTIF(data_val!$E$3:$E$5, sample_log!$E1327), sample_log!$C1327 &amp; "_" &amp; sample_log!$D1327, "")</f>
        <v/>
      </c>
      <c r="C1327" s="5" t="str">
        <f>IF(B1327="", IF(F1327="", "", C1326), IF(sample_log!E1327="Triennial SASS", "tri_params", "params"))</f>
        <v/>
      </c>
      <c r="D1327" s="5" t="str">
        <f>IF(B1327="", "", C1327 &amp; "!" &amp; CHAR(65+MATCH(B1327, params!$B$2:$R$2, 0)))</f>
        <v/>
      </c>
      <c r="E1327" s="5" t="str">
        <f ca="1">IF(B1327="", "", COUNTA(INDIRECT(D1327 &amp; 3):INDIRECT(D1327 &amp; 24)))</f>
        <v/>
      </c>
      <c r="F1327" s="5" t="str">
        <f t="shared" si="42"/>
        <v/>
      </c>
      <c r="G1327" s="5" t="str">
        <f>IF(F1327="", "", IF(B1327&lt;&gt;"", MATCH(B1327, params!$B$2:$R$2, 0), G1326))</f>
        <v/>
      </c>
      <c r="H1327" s="5" t="str">
        <f t="shared" ca="1" si="43"/>
        <v/>
      </c>
      <c r="M1327" s="2"/>
    </row>
    <row r="1328" spans="2:13" ht="15.6" x14ac:dyDescent="0.3">
      <c r="B1328" s="5" t="str">
        <f>IF(COUNTIF(data_val!$E$3:$E$5, sample_log!$E1328), sample_log!$C1328 &amp; "_" &amp; sample_log!$D1328, "")</f>
        <v/>
      </c>
      <c r="C1328" s="5" t="str">
        <f>IF(B1328="", IF(F1328="", "", C1327), IF(sample_log!E1328="Triennial SASS", "tri_params", "params"))</f>
        <v/>
      </c>
      <c r="D1328" s="5" t="str">
        <f>IF(B1328="", "", C1328 &amp; "!" &amp; CHAR(65+MATCH(B1328, params!$B$2:$R$2, 0)))</f>
        <v/>
      </c>
      <c r="E1328" s="5" t="str">
        <f ca="1">IF(B1328="", "", COUNTA(INDIRECT(D1328 &amp; 3):INDIRECT(D1328 &amp; 24)))</f>
        <v/>
      </c>
      <c r="F1328" s="5" t="str">
        <f t="shared" si="42"/>
        <v/>
      </c>
      <c r="G1328" s="5" t="str">
        <f>IF(F1328="", "", IF(B1328&lt;&gt;"", MATCH(B1328, params!$B$2:$R$2, 0), G1327))</f>
        <v/>
      </c>
      <c r="H1328" s="5" t="str">
        <f t="shared" ca="1" si="43"/>
        <v/>
      </c>
      <c r="M1328" s="2"/>
    </row>
    <row r="1329" spans="2:13" ht="15.6" x14ac:dyDescent="0.3">
      <c r="B1329" s="5" t="str">
        <f>IF(COUNTIF(data_val!$E$3:$E$5, sample_log!$E1329), sample_log!$C1329 &amp; "_" &amp; sample_log!$D1329, "")</f>
        <v/>
      </c>
      <c r="C1329" s="5" t="str">
        <f>IF(B1329="", IF(F1329="", "", C1328), IF(sample_log!E1329="Triennial SASS", "tri_params", "params"))</f>
        <v/>
      </c>
      <c r="D1329" s="5" t="str">
        <f>IF(B1329="", "", C1329 &amp; "!" &amp; CHAR(65+MATCH(B1329, params!$B$2:$R$2, 0)))</f>
        <v/>
      </c>
      <c r="E1329" s="5" t="str">
        <f ca="1">IF(B1329="", "", COUNTA(INDIRECT(D1329 &amp; 3):INDIRECT(D1329 &amp; 24)))</f>
        <v/>
      </c>
      <c r="F1329" s="5" t="str">
        <f t="shared" si="42"/>
        <v/>
      </c>
      <c r="G1329" s="5" t="str">
        <f>IF(F1329="", "", IF(B1329&lt;&gt;"", MATCH(B1329, params!$B$2:$R$2, 0), G1328))</f>
        <v/>
      </c>
      <c r="H1329" s="5" t="str">
        <f t="shared" ca="1" si="43"/>
        <v/>
      </c>
      <c r="M1329" s="2"/>
    </row>
    <row r="1330" spans="2:13" ht="15.6" x14ac:dyDescent="0.3">
      <c r="B1330" s="5" t="str">
        <f>IF(COUNTIF(data_val!$E$3:$E$5, sample_log!$E1330), sample_log!$C1330 &amp; "_" &amp; sample_log!$D1330, "")</f>
        <v/>
      </c>
      <c r="C1330" s="5" t="str">
        <f>IF(B1330="", IF(F1330="", "", C1329), IF(sample_log!E1330="Triennial SASS", "tri_params", "params"))</f>
        <v/>
      </c>
      <c r="D1330" s="5" t="str">
        <f>IF(B1330="", "", C1330 &amp; "!" &amp; CHAR(65+MATCH(B1330, params!$B$2:$R$2, 0)))</f>
        <v/>
      </c>
      <c r="E1330" s="5" t="str">
        <f ca="1">IF(B1330="", "", COUNTA(INDIRECT(D1330 &amp; 3):INDIRECT(D1330 &amp; 24)))</f>
        <v/>
      </c>
      <c r="F1330" s="5" t="str">
        <f t="shared" si="42"/>
        <v/>
      </c>
      <c r="G1330" s="5" t="str">
        <f>IF(F1330="", "", IF(B1330&lt;&gt;"", MATCH(B1330, params!$B$2:$R$2, 0), G1329))</f>
        <v/>
      </c>
      <c r="H1330" s="5" t="str">
        <f t="shared" ca="1" si="43"/>
        <v/>
      </c>
      <c r="M1330" s="2"/>
    </row>
    <row r="1331" spans="2:13" ht="15.6" x14ac:dyDescent="0.3">
      <c r="B1331" s="5" t="str">
        <f>IF(COUNTIF(data_val!$E$3:$E$5, sample_log!$E1331), sample_log!$C1331 &amp; "_" &amp; sample_log!$D1331, "")</f>
        <v/>
      </c>
      <c r="C1331" s="5" t="str">
        <f>IF(B1331="", IF(F1331="", "", C1330), IF(sample_log!E1331="Triennial SASS", "tri_params", "params"))</f>
        <v/>
      </c>
      <c r="D1331" s="5" t="str">
        <f>IF(B1331="", "", C1331 &amp; "!" &amp; CHAR(65+MATCH(B1331, params!$B$2:$R$2, 0)))</f>
        <v/>
      </c>
      <c r="E1331" s="5" t="str">
        <f ca="1">IF(B1331="", "", COUNTA(INDIRECT(D1331 &amp; 3):INDIRECT(D1331 &amp; 24)))</f>
        <v/>
      </c>
      <c r="F1331" s="5" t="str">
        <f t="shared" si="42"/>
        <v/>
      </c>
      <c r="G1331" s="5" t="str">
        <f>IF(F1331="", "", IF(B1331&lt;&gt;"", MATCH(B1331, params!$B$2:$R$2, 0), G1330))</f>
        <v/>
      </c>
      <c r="H1331" s="5" t="str">
        <f t="shared" ca="1" si="43"/>
        <v/>
      </c>
      <c r="M1331" s="2"/>
    </row>
    <row r="1332" spans="2:13" ht="15.6" x14ac:dyDescent="0.3">
      <c r="B1332" s="5" t="str">
        <f>IF(COUNTIF(data_val!$E$3:$E$5, sample_log!$E1332), sample_log!$C1332 &amp; "_" &amp; sample_log!$D1332, "")</f>
        <v/>
      </c>
      <c r="C1332" s="5" t="str">
        <f>IF(B1332="", IF(F1332="", "", C1331), IF(sample_log!E1332="Triennial SASS", "tri_params", "params"))</f>
        <v/>
      </c>
      <c r="D1332" s="5" t="str">
        <f>IF(B1332="", "", C1332 &amp; "!" &amp; CHAR(65+MATCH(B1332, params!$B$2:$R$2, 0)))</f>
        <v/>
      </c>
      <c r="E1332" s="5" t="str">
        <f ca="1">IF(B1332="", "", COUNTA(INDIRECT(D1332 &amp; 3):INDIRECT(D1332 &amp; 24)))</f>
        <v/>
      </c>
      <c r="F1332" s="5" t="str">
        <f t="shared" si="42"/>
        <v/>
      </c>
      <c r="G1332" s="5" t="str">
        <f>IF(F1332="", "", IF(B1332&lt;&gt;"", MATCH(B1332, params!$B$2:$R$2, 0), G1331))</f>
        <v/>
      </c>
      <c r="H1332" s="5" t="str">
        <f t="shared" ca="1" si="43"/>
        <v/>
      </c>
      <c r="M1332" s="2"/>
    </row>
    <row r="1333" spans="2:13" ht="15.6" x14ac:dyDescent="0.3">
      <c r="B1333" s="5" t="str">
        <f>IF(COUNTIF(data_val!$E$3:$E$5, sample_log!$E1333), sample_log!$C1333 &amp; "_" &amp; sample_log!$D1333, "")</f>
        <v/>
      </c>
      <c r="C1333" s="5" t="str">
        <f>IF(B1333="", IF(F1333="", "", C1332), IF(sample_log!E1333="Triennial SASS", "tri_params", "params"))</f>
        <v/>
      </c>
      <c r="D1333" s="5" t="str">
        <f>IF(B1333="", "", C1333 &amp; "!" &amp; CHAR(65+MATCH(B1333, params!$B$2:$R$2, 0)))</f>
        <v/>
      </c>
      <c r="E1333" s="5" t="str">
        <f ca="1">IF(B1333="", "", COUNTA(INDIRECT(D1333 &amp; 3):INDIRECT(D1333 &amp; 24)))</f>
        <v/>
      </c>
      <c r="F1333" s="5" t="str">
        <f t="shared" si="42"/>
        <v/>
      </c>
      <c r="G1333" s="5" t="str">
        <f>IF(F1333="", "", IF(B1333&lt;&gt;"", MATCH(B1333, params!$B$2:$R$2, 0), G1332))</f>
        <v/>
      </c>
      <c r="H1333" s="5" t="str">
        <f t="shared" ca="1" si="43"/>
        <v/>
      </c>
      <c r="M1333" s="2"/>
    </row>
    <row r="1334" spans="2:13" ht="15.6" x14ac:dyDescent="0.3">
      <c r="B1334" s="5" t="str">
        <f>IF(COUNTIF(data_val!$E$3:$E$5, sample_log!$E1334), sample_log!$C1334 &amp; "_" &amp; sample_log!$D1334, "")</f>
        <v/>
      </c>
      <c r="C1334" s="5" t="str">
        <f>IF(B1334="", IF(F1334="", "", C1333), IF(sample_log!E1334="Triennial SASS", "tri_params", "params"))</f>
        <v/>
      </c>
      <c r="D1334" s="5" t="str">
        <f>IF(B1334="", "", C1334 &amp; "!" &amp; CHAR(65+MATCH(B1334, params!$B$2:$R$2, 0)))</f>
        <v/>
      </c>
      <c r="E1334" s="5" t="str">
        <f ca="1">IF(B1334="", "", COUNTA(INDIRECT(D1334 &amp; 3):INDIRECT(D1334 &amp; 24)))</f>
        <v/>
      </c>
      <c r="F1334" s="5" t="str">
        <f t="shared" si="42"/>
        <v/>
      </c>
      <c r="G1334" s="5" t="str">
        <f>IF(F1334="", "", IF(B1334&lt;&gt;"", MATCH(B1334, params!$B$2:$R$2, 0), G1333))</f>
        <v/>
      </c>
      <c r="H1334" s="5" t="str">
        <f t="shared" ca="1" si="43"/>
        <v/>
      </c>
      <c r="M1334" s="2"/>
    </row>
    <row r="1335" spans="2:13" ht="15.6" x14ac:dyDescent="0.3">
      <c r="B1335" s="5" t="str">
        <f>IF(COUNTIF(data_val!$E$3:$E$5, sample_log!$E1335), sample_log!$C1335 &amp; "_" &amp; sample_log!$D1335, "")</f>
        <v/>
      </c>
      <c r="C1335" s="5" t="str">
        <f>IF(B1335="", IF(F1335="", "", C1334), IF(sample_log!E1335="Triennial SASS", "tri_params", "params"))</f>
        <v/>
      </c>
      <c r="D1335" s="5" t="str">
        <f>IF(B1335="", "", C1335 &amp; "!" &amp; CHAR(65+MATCH(B1335, params!$B$2:$R$2, 0)))</f>
        <v/>
      </c>
      <c r="E1335" s="5" t="str">
        <f ca="1">IF(B1335="", "", COUNTA(INDIRECT(D1335 &amp; 3):INDIRECT(D1335 &amp; 24)))</f>
        <v/>
      </c>
      <c r="F1335" s="5" t="str">
        <f t="shared" si="42"/>
        <v/>
      </c>
      <c r="G1335" s="5" t="str">
        <f>IF(F1335="", "", IF(B1335&lt;&gt;"", MATCH(B1335, params!$B$2:$R$2, 0), G1334))</f>
        <v/>
      </c>
      <c r="H1335" s="5" t="str">
        <f t="shared" ca="1" si="43"/>
        <v/>
      </c>
      <c r="M1335" s="2"/>
    </row>
    <row r="1336" spans="2:13" ht="15.6" x14ac:dyDescent="0.3">
      <c r="B1336" s="5" t="str">
        <f>IF(COUNTIF(data_val!$E$3:$E$5, sample_log!$E1336), sample_log!$C1336 &amp; "_" &amp; sample_log!$D1336, "")</f>
        <v/>
      </c>
      <c r="C1336" s="5" t="str">
        <f>IF(B1336="", IF(F1336="", "", C1335), IF(sample_log!E1336="Triennial SASS", "tri_params", "params"))</f>
        <v/>
      </c>
      <c r="D1336" s="5" t="str">
        <f>IF(B1336="", "", C1336 &amp; "!" &amp; CHAR(65+MATCH(B1336, params!$B$2:$R$2, 0)))</f>
        <v/>
      </c>
      <c r="E1336" s="5" t="str">
        <f ca="1">IF(B1336="", "", COUNTA(INDIRECT(D1336 &amp; 3):INDIRECT(D1336 &amp; 24)))</f>
        <v/>
      </c>
      <c r="F1336" s="5" t="str">
        <f t="shared" si="42"/>
        <v/>
      </c>
      <c r="G1336" s="5" t="str">
        <f>IF(F1336="", "", IF(B1336&lt;&gt;"", MATCH(B1336, params!$B$2:$R$2, 0), G1335))</f>
        <v/>
      </c>
      <c r="H1336" s="5" t="str">
        <f t="shared" ca="1" si="43"/>
        <v/>
      </c>
      <c r="M1336" s="2"/>
    </row>
    <row r="1337" spans="2:13" ht="15.6" x14ac:dyDescent="0.3">
      <c r="B1337" s="5" t="str">
        <f>IF(COUNTIF(data_val!$E$3:$E$5, sample_log!$E1337), sample_log!$C1337 &amp; "_" &amp; sample_log!$D1337, "")</f>
        <v/>
      </c>
      <c r="C1337" s="5" t="str">
        <f>IF(B1337="", IF(F1337="", "", C1336), IF(sample_log!E1337="Triennial SASS", "tri_params", "params"))</f>
        <v/>
      </c>
      <c r="D1337" s="5" t="str">
        <f>IF(B1337="", "", C1337 &amp; "!" &amp; CHAR(65+MATCH(B1337, params!$B$2:$R$2, 0)))</f>
        <v/>
      </c>
      <c r="E1337" s="5" t="str">
        <f ca="1">IF(B1337="", "", COUNTA(INDIRECT(D1337 &amp; 3):INDIRECT(D1337 &amp; 24)))</f>
        <v/>
      </c>
      <c r="F1337" s="5" t="str">
        <f t="shared" si="42"/>
        <v/>
      </c>
      <c r="G1337" s="5" t="str">
        <f>IF(F1337="", "", IF(B1337&lt;&gt;"", MATCH(B1337, params!$B$2:$R$2, 0), G1336))</f>
        <v/>
      </c>
      <c r="H1337" s="5" t="str">
        <f t="shared" ca="1" si="43"/>
        <v/>
      </c>
      <c r="M1337" s="2"/>
    </row>
    <row r="1338" spans="2:13" ht="15.6" x14ac:dyDescent="0.3">
      <c r="B1338" s="5" t="str">
        <f>IF(COUNTIF(data_val!$E$3:$E$5, sample_log!$E1338), sample_log!$C1338 &amp; "_" &amp; sample_log!$D1338, "")</f>
        <v/>
      </c>
      <c r="C1338" s="5" t="str">
        <f>IF(B1338="", IF(F1338="", "", C1337), IF(sample_log!E1338="Triennial SASS", "tri_params", "params"))</f>
        <v/>
      </c>
      <c r="D1338" s="5" t="str">
        <f>IF(B1338="", "", C1338 &amp; "!" &amp; CHAR(65+MATCH(B1338, params!$B$2:$R$2, 0)))</f>
        <v/>
      </c>
      <c r="E1338" s="5" t="str">
        <f ca="1">IF(B1338="", "", COUNTA(INDIRECT(D1338 &amp; 3):INDIRECT(D1338 &amp; 24)))</f>
        <v/>
      </c>
      <c r="F1338" s="5" t="str">
        <f t="shared" si="42"/>
        <v/>
      </c>
      <c r="G1338" s="5" t="str">
        <f>IF(F1338="", "", IF(B1338&lt;&gt;"", MATCH(B1338, params!$B$2:$R$2, 0), G1337))</f>
        <v/>
      </c>
      <c r="H1338" s="5" t="str">
        <f t="shared" ca="1" si="43"/>
        <v/>
      </c>
      <c r="M1338" s="2"/>
    </row>
    <row r="1339" spans="2:13" ht="15.6" x14ac:dyDescent="0.3">
      <c r="B1339" s="5" t="str">
        <f>IF(COUNTIF(data_val!$E$3:$E$5, sample_log!$E1339), sample_log!$C1339 &amp; "_" &amp; sample_log!$D1339, "")</f>
        <v/>
      </c>
      <c r="C1339" s="5" t="str">
        <f>IF(B1339="", IF(F1339="", "", C1338), IF(sample_log!E1339="Triennial SASS", "tri_params", "params"))</f>
        <v/>
      </c>
      <c r="D1339" s="5" t="str">
        <f>IF(B1339="", "", C1339 &amp; "!" &amp; CHAR(65+MATCH(B1339, params!$B$2:$R$2, 0)))</f>
        <v/>
      </c>
      <c r="E1339" s="5" t="str">
        <f ca="1">IF(B1339="", "", COUNTA(INDIRECT(D1339 &amp; 3):INDIRECT(D1339 &amp; 24)))</f>
        <v/>
      </c>
      <c r="F1339" s="5" t="str">
        <f t="shared" si="42"/>
        <v/>
      </c>
      <c r="G1339" s="5" t="str">
        <f>IF(F1339="", "", IF(B1339&lt;&gt;"", MATCH(B1339, params!$B$2:$R$2, 0), G1338))</f>
        <v/>
      </c>
      <c r="H1339" s="5" t="str">
        <f t="shared" ca="1" si="43"/>
        <v/>
      </c>
      <c r="M1339" s="2"/>
    </row>
    <row r="1340" spans="2:13" ht="15.6" x14ac:dyDescent="0.3">
      <c r="B1340" s="5" t="str">
        <f>IF(COUNTIF(data_val!$E$3:$E$5, sample_log!$E1340), sample_log!$C1340 &amp; "_" &amp; sample_log!$D1340, "")</f>
        <v/>
      </c>
      <c r="C1340" s="5" t="str">
        <f>IF(B1340="", IF(F1340="", "", C1339), IF(sample_log!E1340="Triennial SASS", "tri_params", "params"))</f>
        <v/>
      </c>
      <c r="D1340" s="5" t="str">
        <f>IF(B1340="", "", C1340 &amp; "!" &amp; CHAR(65+MATCH(B1340, params!$B$2:$R$2, 0)))</f>
        <v/>
      </c>
      <c r="E1340" s="5" t="str">
        <f ca="1">IF(B1340="", "", COUNTA(INDIRECT(D1340 &amp; 3):INDIRECT(D1340 &amp; 24)))</f>
        <v/>
      </c>
      <c r="F1340" s="5" t="str">
        <f t="shared" si="42"/>
        <v/>
      </c>
      <c r="G1340" s="5" t="str">
        <f>IF(F1340="", "", IF(B1340&lt;&gt;"", MATCH(B1340, params!$B$2:$R$2, 0), G1339))</f>
        <v/>
      </c>
      <c r="H1340" s="5" t="str">
        <f t="shared" ca="1" si="43"/>
        <v/>
      </c>
      <c r="M1340" s="2"/>
    </row>
    <row r="1341" spans="2:13" ht="15.6" x14ac:dyDescent="0.3">
      <c r="B1341" s="5" t="str">
        <f>IF(COUNTIF(data_val!$E$3:$E$5, sample_log!$E1341), sample_log!$C1341 &amp; "_" &amp; sample_log!$D1341, "")</f>
        <v/>
      </c>
      <c r="C1341" s="5" t="str">
        <f>IF(B1341="", IF(F1341="", "", C1340), IF(sample_log!E1341="Triennial SASS", "tri_params", "params"))</f>
        <v/>
      </c>
      <c r="D1341" s="5" t="str">
        <f>IF(B1341="", "", C1341 &amp; "!" &amp; CHAR(65+MATCH(B1341, params!$B$2:$R$2, 0)))</f>
        <v/>
      </c>
      <c r="E1341" s="5" t="str">
        <f ca="1">IF(B1341="", "", COUNTA(INDIRECT(D1341 &amp; 3):INDIRECT(D1341 &amp; 24)))</f>
        <v/>
      </c>
      <c r="F1341" s="5" t="str">
        <f t="shared" si="42"/>
        <v/>
      </c>
      <c r="G1341" s="5" t="str">
        <f>IF(F1341="", "", IF(B1341&lt;&gt;"", MATCH(B1341, params!$B$2:$R$2, 0), G1340))</f>
        <v/>
      </c>
      <c r="H1341" s="5" t="str">
        <f t="shared" ca="1" si="43"/>
        <v/>
      </c>
      <c r="M1341" s="2"/>
    </row>
    <row r="1342" spans="2:13" ht="15.6" x14ac:dyDescent="0.3">
      <c r="B1342" s="5" t="str">
        <f>IF(COUNTIF(data_val!$E$3:$E$5, sample_log!$E1342), sample_log!$C1342 &amp; "_" &amp; sample_log!$D1342, "")</f>
        <v/>
      </c>
      <c r="C1342" s="5" t="str">
        <f>IF(B1342="", IF(F1342="", "", C1341), IF(sample_log!E1342="Triennial SASS", "tri_params", "params"))</f>
        <v/>
      </c>
      <c r="D1342" s="5" t="str">
        <f>IF(B1342="", "", C1342 &amp; "!" &amp; CHAR(65+MATCH(B1342, params!$B$2:$R$2, 0)))</f>
        <v/>
      </c>
      <c r="E1342" s="5" t="str">
        <f ca="1">IF(B1342="", "", COUNTA(INDIRECT(D1342 &amp; 3):INDIRECT(D1342 &amp; 24)))</f>
        <v/>
      </c>
      <c r="F1342" s="5" t="str">
        <f t="shared" si="42"/>
        <v/>
      </c>
      <c r="G1342" s="5" t="str">
        <f>IF(F1342="", "", IF(B1342&lt;&gt;"", MATCH(B1342, params!$B$2:$R$2, 0), G1341))</f>
        <v/>
      </c>
      <c r="H1342" s="5" t="str">
        <f t="shared" ca="1" si="43"/>
        <v/>
      </c>
      <c r="M1342" s="2"/>
    </row>
    <row r="1343" spans="2:13" ht="15.6" x14ac:dyDescent="0.3">
      <c r="B1343" s="5" t="str">
        <f>IF(COUNTIF(data_val!$E$3:$E$5, sample_log!$E1343), sample_log!$C1343 &amp; "_" &amp; sample_log!$D1343, "")</f>
        <v/>
      </c>
      <c r="C1343" s="5" t="str">
        <f>IF(B1343="", IF(F1343="", "", C1342), IF(sample_log!E1343="Triennial SASS", "tri_params", "params"))</f>
        <v/>
      </c>
      <c r="D1343" s="5" t="str">
        <f>IF(B1343="", "", C1343 &amp; "!" &amp; CHAR(65+MATCH(B1343, params!$B$2:$R$2, 0)))</f>
        <v/>
      </c>
      <c r="E1343" s="5" t="str">
        <f ca="1">IF(B1343="", "", COUNTA(INDIRECT(D1343 &amp; 3):INDIRECT(D1343 &amp; 24)))</f>
        <v/>
      </c>
      <c r="F1343" s="5" t="str">
        <f t="shared" si="42"/>
        <v/>
      </c>
      <c r="G1343" s="5" t="str">
        <f>IF(F1343="", "", IF(B1343&lt;&gt;"", MATCH(B1343, params!$B$2:$R$2, 0), G1342))</f>
        <v/>
      </c>
      <c r="H1343" s="5" t="str">
        <f t="shared" ca="1" si="43"/>
        <v/>
      </c>
      <c r="M1343" s="2"/>
    </row>
    <row r="1344" spans="2:13" ht="15.6" x14ac:dyDescent="0.3">
      <c r="B1344" s="5" t="str">
        <f>IF(COUNTIF(data_val!$E$3:$E$5, sample_log!$E1344), sample_log!$C1344 &amp; "_" &amp; sample_log!$D1344, "")</f>
        <v/>
      </c>
      <c r="C1344" s="5" t="str">
        <f>IF(B1344="", IF(F1344="", "", C1343), IF(sample_log!E1344="Triennial SASS", "tri_params", "params"))</f>
        <v/>
      </c>
      <c r="D1344" s="5" t="str">
        <f>IF(B1344="", "", C1344 &amp; "!" &amp; CHAR(65+MATCH(B1344, params!$B$2:$R$2, 0)))</f>
        <v/>
      </c>
      <c r="E1344" s="5" t="str">
        <f ca="1">IF(B1344="", "", COUNTA(INDIRECT(D1344 &amp; 3):INDIRECT(D1344 &amp; 24)))</f>
        <v/>
      </c>
      <c r="F1344" s="5" t="str">
        <f t="shared" si="42"/>
        <v/>
      </c>
      <c r="G1344" s="5" t="str">
        <f>IF(F1344="", "", IF(B1344&lt;&gt;"", MATCH(B1344, params!$B$2:$R$2, 0), G1343))</f>
        <v/>
      </c>
      <c r="H1344" s="5" t="str">
        <f t="shared" ca="1" si="43"/>
        <v/>
      </c>
      <c r="M1344" s="2"/>
    </row>
    <row r="1345" spans="2:13" ht="15.6" x14ac:dyDescent="0.3">
      <c r="B1345" s="5" t="str">
        <f>IF(COUNTIF(data_val!$E$3:$E$5, sample_log!$E1345), sample_log!$C1345 &amp; "_" &amp; sample_log!$D1345, "")</f>
        <v/>
      </c>
      <c r="C1345" s="5" t="str">
        <f>IF(B1345="", IF(F1345="", "", C1344), IF(sample_log!E1345="Triennial SASS", "tri_params", "params"))</f>
        <v/>
      </c>
      <c r="D1345" s="5" t="str">
        <f>IF(B1345="", "", C1345 &amp; "!" &amp; CHAR(65+MATCH(B1345, params!$B$2:$R$2, 0)))</f>
        <v/>
      </c>
      <c r="E1345" s="5" t="str">
        <f ca="1">IF(B1345="", "", COUNTA(INDIRECT(D1345 &amp; 3):INDIRECT(D1345 &amp; 24)))</f>
        <v/>
      </c>
      <c r="F1345" s="5" t="str">
        <f t="shared" si="42"/>
        <v/>
      </c>
      <c r="G1345" s="5" t="str">
        <f>IF(F1345="", "", IF(B1345&lt;&gt;"", MATCH(B1345, params!$B$2:$R$2, 0), G1344))</f>
        <v/>
      </c>
      <c r="H1345" s="5" t="str">
        <f t="shared" ca="1" si="43"/>
        <v/>
      </c>
      <c r="M1345" s="2"/>
    </row>
    <row r="1346" spans="2:13" ht="15.6" x14ac:dyDescent="0.3">
      <c r="B1346" s="5" t="str">
        <f>IF(COUNTIF(data_val!$E$3:$E$5, sample_log!$E1346), sample_log!$C1346 &amp; "_" &amp; sample_log!$D1346, "")</f>
        <v/>
      </c>
      <c r="C1346" s="5" t="str">
        <f>IF(B1346="", IF(F1346="", "", C1345), IF(sample_log!E1346="Triennial SASS", "tri_params", "params"))</f>
        <v/>
      </c>
      <c r="D1346" s="5" t="str">
        <f>IF(B1346="", "", C1346 &amp; "!" &amp; CHAR(65+MATCH(B1346, params!$B$2:$R$2, 0)))</f>
        <v/>
      </c>
      <c r="E1346" s="5" t="str">
        <f ca="1">IF(B1346="", "", COUNTA(INDIRECT(D1346 &amp; 3):INDIRECT(D1346 &amp; 24)))</f>
        <v/>
      </c>
      <c r="F1346" s="5" t="str">
        <f t="shared" si="42"/>
        <v/>
      </c>
      <c r="G1346" s="5" t="str">
        <f>IF(F1346="", "", IF(B1346&lt;&gt;"", MATCH(B1346, params!$B$2:$R$2, 0), G1345))</f>
        <v/>
      </c>
      <c r="H1346" s="5" t="str">
        <f t="shared" ca="1" si="43"/>
        <v/>
      </c>
      <c r="M1346" s="2"/>
    </row>
    <row r="1347" spans="2:13" ht="15.6" x14ac:dyDescent="0.3">
      <c r="B1347" s="5" t="str">
        <f>IF(COUNTIF(data_val!$E$3:$E$5, sample_log!$E1347), sample_log!$C1347 &amp; "_" &amp; sample_log!$D1347, "")</f>
        <v/>
      </c>
      <c r="C1347" s="5" t="str">
        <f>IF(B1347="", IF(F1347="", "", C1346), IF(sample_log!E1347="Triennial SASS", "tri_params", "params"))</f>
        <v/>
      </c>
      <c r="D1347" s="5" t="str">
        <f>IF(B1347="", "", C1347 &amp; "!" &amp; CHAR(65+MATCH(B1347, params!$B$2:$R$2, 0)))</f>
        <v/>
      </c>
      <c r="E1347" s="5" t="str">
        <f ca="1">IF(B1347="", "", COUNTA(INDIRECT(D1347 &amp; 3):INDIRECT(D1347 &amp; 24)))</f>
        <v/>
      </c>
      <c r="F1347" s="5" t="str">
        <f t="shared" ref="F1347:F1410" si="44">IF(B1347="", IF(NOT(ISNUMBER(F1346)), "", IF(F1346-1&gt;0, F1346-1, "")), E1347)</f>
        <v/>
      </c>
      <c r="G1347" s="5" t="str">
        <f>IF(F1347="", "", IF(B1347&lt;&gt;"", MATCH(B1347, params!$B$2:$R$2, 0), G1346))</f>
        <v/>
      </c>
      <c r="H1347" s="5" t="str">
        <f t="shared" ca="1" si="43"/>
        <v/>
      </c>
      <c r="M1347" s="2"/>
    </row>
    <row r="1348" spans="2:13" ht="15.6" x14ac:dyDescent="0.3">
      <c r="B1348" s="5" t="str">
        <f>IF(COUNTIF(data_val!$E$3:$E$5, sample_log!$E1348), sample_log!$C1348 &amp; "_" &amp; sample_log!$D1348, "")</f>
        <v/>
      </c>
      <c r="C1348" s="5" t="str">
        <f>IF(B1348="", IF(F1348="", "", C1347), IF(sample_log!E1348="Triennial SASS", "tri_params", "params"))</f>
        <v/>
      </c>
      <c r="D1348" s="5" t="str">
        <f>IF(B1348="", "", C1348 &amp; "!" &amp; CHAR(65+MATCH(B1348, params!$B$2:$R$2, 0)))</f>
        <v/>
      </c>
      <c r="E1348" s="5" t="str">
        <f ca="1">IF(B1348="", "", COUNTA(INDIRECT(D1348 &amp; 3):INDIRECT(D1348 &amp; 24)))</f>
        <v/>
      </c>
      <c r="F1348" s="5" t="str">
        <f t="shared" si="44"/>
        <v/>
      </c>
      <c r="G1348" s="5" t="str">
        <f>IF(F1348="", "", IF(B1348&lt;&gt;"", MATCH(B1348, params!$B$2:$R$2, 0), G1347))</f>
        <v/>
      </c>
      <c r="H1348" s="5" t="str">
        <f t="shared" ca="1" si="43"/>
        <v/>
      </c>
      <c r="M1348" s="2"/>
    </row>
    <row r="1349" spans="2:13" ht="15.6" x14ac:dyDescent="0.3">
      <c r="B1349" s="5" t="str">
        <f>IF(COUNTIF(data_val!$E$3:$E$5, sample_log!$E1349), sample_log!$C1349 &amp; "_" &amp; sample_log!$D1349, "")</f>
        <v/>
      </c>
      <c r="C1349" s="5" t="str">
        <f>IF(B1349="", IF(F1349="", "", C1348), IF(sample_log!E1349="Triennial SASS", "tri_params", "params"))</f>
        <v/>
      </c>
      <c r="D1349" s="5" t="str">
        <f>IF(B1349="", "", C1349 &amp; "!" &amp; CHAR(65+MATCH(B1349, params!$B$2:$R$2, 0)))</f>
        <v/>
      </c>
      <c r="E1349" s="5" t="str">
        <f ca="1">IF(B1349="", "", COUNTA(INDIRECT(D1349 &amp; 3):INDIRECT(D1349 &amp; 24)))</f>
        <v/>
      </c>
      <c r="F1349" s="5" t="str">
        <f t="shared" si="44"/>
        <v/>
      </c>
      <c r="G1349" s="5" t="str">
        <f>IF(F1349="", "", IF(B1349&lt;&gt;"", MATCH(B1349, params!$B$2:$R$2, 0), G1348))</f>
        <v/>
      </c>
      <c r="H1349" s="5" t="str">
        <f t="shared" ca="1" si="43"/>
        <v/>
      </c>
      <c r="M1349" s="2"/>
    </row>
    <row r="1350" spans="2:13" ht="15.6" x14ac:dyDescent="0.3">
      <c r="B1350" s="5" t="str">
        <f>IF(COUNTIF(data_val!$E$3:$E$5, sample_log!$E1350), sample_log!$C1350 &amp; "_" &amp; sample_log!$D1350, "")</f>
        <v/>
      </c>
      <c r="C1350" s="5" t="str">
        <f>IF(B1350="", IF(F1350="", "", C1349), IF(sample_log!E1350="Triennial SASS", "tri_params", "params"))</f>
        <v/>
      </c>
      <c r="D1350" s="5" t="str">
        <f>IF(B1350="", "", C1350 &amp; "!" &amp; CHAR(65+MATCH(B1350, params!$B$2:$R$2, 0)))</f>
        <v/>
      </c>
      <c r="E1350" s="5" t="str">
        <f ca="1">IF(B1350="", "", COUNTA(INDIRECT(D1350 &amp; 3):INDIRECT(D1350 &amp; 24)))</f>
        <v/>
      </c>
      <c r="F1350" s="5" t="str">
        <f t="shared" si="44"/>
        <v/>
      </c>
      <c r="G1350" s="5" t="str">
        <f>IF(F1350="", "", IF(B1350&lt;&gt;"", MATCH(B1350, params!$B$2:$R$2, 0), G1349))</f>
        <v/>
      </c>
      <c r="H1350" s="5" t="str">
        <f t="shared" ca="1" si="43"/>
        <v/>
      </c>
      <c r="M1350" s="2"/>
    </row>
    <row r="1351" spans="2:13" ht="15.6" x14ac:dyDescent="0.3">
      <c r="B1351" s="5" t="str">
        <f>IF(COUNTIF(data_val!$E$3:$E$5, sample_log!$E1351), sample_log!$C1351 &amp; "_" &amp; sample_log!$D1351, "")</f>
        <v/>
      </c>
      <c r="C1351" s="5" t="str">
        <f>IF(B1351="", IF(F1351="", "", C1350), IF(sample_log!E1351="Triennial SASS", "tri_params", "params"))</f>
        <v/>
      </c>
      <c r="D1351" s="5" t="str">
        <f>IF(B1351="", "", C1351 &amp; "!" &amp; CHAR(65+MATCH(B1351, params!$B$2:$R$2, 0)))</f>
        <v/>
      </c>
      <c r="E1351" s="5" t="str">
        <f ca="1">IF(B1351="", "", COUNTA(INDIRECT(D1351 &amp; 3):INDIRECT(D1351 &amp; 24)))</f>
        <v/>
      </c>
      <c r="F1351" s="5" t="str">
        <f t="shared" si="44"/>
        <v/>
      </c>
      <c r="G1351" s="5" t="str">
        <f>IF(F1351="", "", IF(B1351&lt;&gt;"", MATCH(B1351, params!$B$2:$R$2, 0), G1350))</f>
        <v/>
      </c>
      <c r="H1351" s="5" t="str">
        <f t="shared" ca="1" si="43"/>
        <v/>
      </c>
      <c r="M1351" s="2"/>
    </row>
    <row r="1352" spans="2:13" ht="15.6" x14ac:dyDescent="0.3">
      <c r="B1352" s="5" t="str">
        <f>IF(COUNTIF(data_val!$E$3:$E$5, sample_log!$E1352), sample_log!$C1352 &amp; "_" &amp; sample_log!$D1352, "")</f>
        <v/>
      </c>
      <c r="C1352" s="5" t="str">
        <f>IF(B1352="", IF(F1352="", "", C1351), IF(sample_log!E1352="Triennial SASS", "tri_params", "params"))</f>
        <v/>
      </c>
      <c r="D1352" s="5" t="str">
        <f>IF(B1352="", "", C1352 &amp; "!" &amp; CHAR(65+MATCH(B1352, params!$B$2:$R$2, 0)))</f>
        <v/>
      </c>
      <c r="E1352" s="5" t="str">
        <f ca="1">IF(B1352="", "", COUNTA(INDIRECT(D1352 &amp; 3):INDIRECT(D1352 &amp; 24)))</f>
        <v/>
      </c>
      <c r="F1352" s="5" t="str">
        <f t="shared" si="44"/>
        <v/>
      </c>
      <c r="G1352" s="5" t="str">
        <f>IF(F1352="", "", IF(B1352&lt;&gt;"", MATCH(B1352, params!$B$2:$R$2, 0), G1351))</f>
        <v/>
      </c>
      <c r="H1352" s="5" t="str">
        <f t="shared" ca="1" si="43"/>
        <v/>
      </c>
      <c r="M1352" s="2"/>
    </row>
    <row r="1353" spans="2:13" ht="15.6" x14ac:dyDescent="0.3">
      <c r="B1353" s="5" t="str">
        <f>IF(COUNTIF(data_val!$E$3:$E$5, sample_log!$E1353), sample_log!$C1353 &amp; "_" &amp; sample_log!$D1353, "")</f>
        <v/>
      </c>
      <c r="C1353" s="5" t="str">
        <f>IF(B1353="", IF(F1353="", "", C1352), IF(sample_log!E1353="Triennial SASS", "tri_params", "params"))</f>
        <v/>
      </c>
      <c r="D1353" s="5" t="str">
        <f>IF(B1353="", "", C1353 &amp; "!" &amp; CHAR(65+MATCH(B1353, params!$B$2:$R$2, 0)))</f>
        <v/>
      </c>
      <c r="E1353" s="5" t="str">
        <f ca="1">IF(B1353="", "", COUNTA(INDIRECT(D1353 &amp; 3):INDIRECT(D1353 &amp; 24)))</f>
        <v/>
      </c>
      <c r="F1353" s="5" t="str">
        <f t="shared" si="44"/>
        <v/>
      </c>
      <c r="G1353" s="5" t="str">
        <f>IF(F1353="", "", IF(B1353&lt;&gt;"", MATCH(B1353, params!$B$2:$R$2, 0), G1352))</f>
        <v/>
      </c>
      <c r="H1353" s="5" t="str">
        <f t="shared" ca="1" si="43"/>
        <v/>
      </c>
      <c r="M1353" s="2"/>
    </row>
    <row r="1354" spans="2:13" ht="15.6" x14ac:dyDescent="0.3">
      <c r="B1354" s="5" t="str">
        <f>IF(COUNTIF(data_val!$E$3:$E$5, sample_log!$E1354), sample_log!$C1354 &amp; "_" &amp; sample_log!$D1354, "")</f>
        <v/>
      </c>
      <c r="C1354" s="5" t="str">
        <f>IF(B1354="", IF(F1354="", "", C1353), IF(sample_log!E1354="Triennial SASS", "tri_params", "params"))</f>
        <v/>
      </c>
      <c r="D1354" s="5" t="str">
        <f>IF(B1354="", "", C1354 &amp; "!" &amp; CHAR(65+MATCH(B1354, params!$B$2:$R$2, 0)))</f>
        <v/>
      </c>
      <c r="E1354" s="5" t="str">
        <f ca="1">IF(B1354="", "", COUNTA(INDIRECT(D1354 &amp; 3):INDIRECT(D1354 &amp; 24)))</f>
        <v/>
      </c>
      <c r="F1354" s="5" t="str">
        <f t="shared" si="44"/>
        <v/>
      </c>
      <c r="G1354" s="5" t="str">
        <f>IF(F1354="", "", IF(B1354&lt;&gt;"", MATCH(B1354, params!$B$2:$R$2, 0), G1353))</f>
        <v/>
      </c>
      <c r="H1354" s="5" t="str">
        <f t="shared" ca="1" si="43"/>
        <v/>
      </c>
      <c r="M1354" s="2"/>
    </row>
    <row r="1355" spans="2:13" ht="15.6" x14ac:dyDescent="0.3">
      <c r="B1355" s="5" t="str">
        <f>IF(COUNTIF(data_val!$E$3:$E$5, sample_log!$E1355), sample_log!$C1355 &amp; "_" &amp; sample_log!$D1355, "")</f>
        <v/>
      </c>
      <c r="C1355" s="5" t="str">
        <f>IF(B1355="", IF(F1355="", "", C1354), IF(sample_log!E1355="Triennial SASS", "tri_params", "params"))</f>
        <v/>
      </c>
      <c r="D1355" s="5" t="str">
        <f>IF(B1355="", "", C1355 &amp; "!" &amp; CHAR(65+MATCH(B1355, params!$B$2:$R$2, 0)))</f>
        <v/>
      </c>
      <c r="E1355" s="5" t="str">
        <f ca="1">IF(B1355="", "", COUNTA(INDIRECT(D1355 &amp; 3):INDIRECT(D1355 &amp; 24)))</f>
        <v/>
      </c>
      <c r="F1355" s="5" t="str">
        <f t="shared" si="44"/>
        <v/>
      </c>
      <c r="G1355" s="5" t="str">
        <f>IF(F1355="", "", IF(B1355&lt;&gt;"", MATCH(B1355, params!$B$2:$R$2, 0), G1354))</f>
        <v/>
      </c>
      <c r="H1355" s="5" t="str">
        <f t="shared" ca="1" si="43"/>
        <v/>
      </c>
      <c r="M1355" s="2"/>
    </row>
    <row r="1356" spans="2:13" ht="15.6" x14ac:dyDescent="0.3">
      <c r="B1356" s="5" t="str">
        <f>IF(COUNTIF(data_val!$E$3:$E$5, sample_log!$E1356), sample_log!$C1356 &amp; "_" &amp; sample_log!$D1356, "")</f>
        <v/>
      </c>
      <c r="C1356" s="5" t="str">
        <f>IF(B1356="", IF(F1356="", "", C1355), IF(sample_log!E1356="Triennial SASS", "tri_params", "params"))</f>
        <v/>
      </c>
      <c r="D1356" s="5" t="str">
        <f>IF(B1356="", "", C1356 &amp; "!" &amp; CHAR(65+MATCH(B1356, params!$B$2:$R$2, 0)))</f>
        <v/>
      </c>
      <c r="E1356" s="5" t="str">
        <f ca="1">IF(B1356="", "", COUNTA(INDIRECT(D1356 &amp; 3):INDIRECT(D1356 &amp; 24)))</f>
        <v/>
      </c>
      <c r="F1356" s="5" t="str">
        <f t="shared" si="44"/>
        <v/>
      </c>
      <c r="G1356" s="5" t="str">
        <f>IF(F1356="", "", IF(B1356&lt;&gt;"", MATCH(B1356, params!$B$2:$R$2, 0), G1355))</f>
        <v/>
      </c>
      <c r="H1356" s="5" t="str">
        <f t="shared" ca="1" si="43"/>
        <v/>
      </c>
      <c r="M1356" s="2"/>
    </row>
    <row r="1357" spans="2:13" ht="15.6" x14ac:dyDescent="0.3">
      <c r="B1357" s="5" t="str">
        <f>IF(COUNTIF(data_val!$E$3:$E$5, sample_log!$E1357), sample_log!$C1357 &amp; "_" &amp; sample_log!$D1357, "")</f>
        <v/>
      </c>
      <c r="C1357" s="5" t="str">
        <f>IF(B1357="", IF(F1357="", "", C1356), IF(sample_log!E1357="Triennial SASS", "tri_params", "params"))</f>
        <v/>
      </c>
      <c r="D1357" s="5" t="str">
        <f>IF(B1357="", "", C1357 &amp; "!" &amp; CHAR(65+MATCH(B1357, params!$B$2:$R$2, 0)))</f>
        <v/>
      </c>
      <c r="E1357" s="5" t="str">
        <f ca="1">IF(B1357="", "", COUNTA(INDIRECT(D1357 &amp; 3):INDIRECT(D1357 &amp; 24)))</f>
        <v/>
      </c>
      <c r="F1357" s="5" t="str">
        <f t="shared" si="44"/>
        <v/>
      </c>
      <c r="G1357" s="5" t="str">
        <f>IF(F1357="", "", IF(B1357&lt;&gt;"", MATCH(B1357, params!$B$2:$R$2, 0), G1356))</f>
        <v/>
      </c>
      <c r="H1357" s="5" t="str">
        <f t="shared" ca="1" si="43"/>
        <v/>
      </c>
      <c r="M1357" s="2"/>
    </row>
    <row r="1358" spans="2:13" ht="15.6" x14ac:dyDescent="0.3">
      <c r="B1358" s="5" t="str">
        <f>IF(COUNTIF(data_val!$E$3:$E$5, sample_log!$E1358), sample_log!$C1358 &amp; "_" &amp; sample_log!$D1358, "")</f>
        <v/>
      </c>
      <c r="C1358" s="5" t="str">
        <f>IF(B1358="", IF(F1358="", "", C1357), IF(sample_log!E1358="Triennial SASS", "tri_params", "params"))</f>
        <v/>
      </c>
      <c r="D1358" s="5" t="str">
        <f>IF(B1358="", "", C1358 &amp; "!" &amp; CHAR(65+MATCH(B1358, params!$B$2:$R$2, 0)))</f>
        <v/>
      </c>
      <c r="E1358" s="5" t="str">
        <f ca="1">IF(B1358="", "", COUNTA(INDIRECT(D1358 &amp; 3):INDIRECT(D1358 &amp; 24)))</f>
        <v/>
      </c>
      <c r="F1358" s="5" t="str">
        <f t="shared" si="44"/>
        <v/>
      </c>
      <c r="G1358" s="5" t="str">
        <f>IF(F1358="", "", IF(B1358&lt;&gt;"", MATCH(B1358, params!$B$2:$R$2, 0), G1357))</f>
        <v/>
      </c>
      <c r="H1358" s="5" t="str">
        <f t="shared" ca="1" si="43"/>
        <v/>
      </c>
      <c r="M1358" s="2"/>
    </row>
    <row r="1359" spans="2:13" ht="15.6" x14ac:dyDescent="0.3">
      <c r="B1359" s="5" t="str">
        <f>IF(COUNTIF(data_val!$E$3:$E$5, sample_log!$E1359), sample_log!$C1359 &amp; "_" &amp; sample_log!$D1359, "")</f>
        <v/>
      </c>
      <c r="C1359" s="5" t="str">
        <f>IF(B1359="", IF(F1359="", "", C1358), IF(sample_log!E1359="Triennial SASS", "tri_params", "params"))</f>
        <v/>
      </c>
      <c r="D1359" s="5" t="str">
        <f>IF(B1359="", "", C1359 &amp; "!" &amp; CHAR(65+MATCH(B1359, params!$B$2:$R$2, 0)))</f>
        <v/>
      </c>
      <c r="E1359" s="5" t="str">
        <f ca="1">IF(B1359="", "", COUNTA(INDIRECT(D1359 &amp; 3):INDIRECT(D1359 &amp; 24)))</f>
        <v/>
      </c>
      <c r="F1359" s="5" t="str">
        <f t="shared" si="44"/>
        <v/>
      </c>
      <c r="G1359" s="5" t="str">
        <f>IF(F1359="", "", IF(B1359&lt;&gt;"", MATCH(B1359, params!$B$2:$R$2, 0), G1358))</f>
        <v/>
      </c>
      <c r="H1359" s="5" t="str">
        <f t="shared" ca="1" si="43"/>
        <v/>
      </c>
      <c r="M1359" s="2"/>
    </row>
    <row r="1360" spans="2:13" ht="15.6" x14ac:dyDescent="0.3">
      <c r="B1360" s="5" t="str">
        <f>IF(COUNTIF(data_val!$E$3:$E$5, sample_log!$E1360), sample_log!$C1360 &amp; "_" &amp; sample_log!$D1360, "")</f>
        <v/>
      </c>
      <c r="C1360" s="5" t="str">
        <f>IF(B1360="", IF(F1360="", "", C1359), IF(sample_log!E1360="Triennial SASS", "tri_params", "params"))</f>
        <v/>
      </c>
      <c r="D1360" s="5" t="str">
        <f>IF(B1360="", "", C1360 &amp; "!" &amp; CHAR(65+MATCH(B1360, params!$B$2:$R$2, 0)))</f>
        <v/>
      </c>
      <c r="E1360" s="5" t="str">
        <f ca="1">IF(B1360="", "", COUNTA(INDIRECT(D1360 &amp; 3):INDIRECT(D1360 &amp; 24)))</f>
        <v/>
      </c>
      <c r="F1360" s="5" t="str">
        <f t="shared" si="44"/>
        <v/>
      </c>
      <c r="G1360" s="5" t="str">
        <f>IF(F1360="", "", IF(B1360&lt;&gt;"", MATCH(B1360, params!$B$2:$R$2, 0), G1359))</f>
        <v/>
      </c>
      <c r="H1360" s="5" t="str">
        <f t="shared" ca="1" si="43"/>
        <v/>
      </c>
      <c r="M1360" s="2"/>
    </row>
    <row r="1361" spans="2:13" ht="15.6" x14ac:dyDescent="0.3">
      <c r="B1361" s="5" t="str">
        <f>IF(COUNTIF(data_val!$E$3:$E$5, sample_log!$E1361), sample_log!$C1361 &amp; "_" &amp; sample_log!$D1361, "")</f>
        <v/>
      </c>
      <c r="C1361" s="5" t="str">
        <f>IF(B1361="", IF(F1361="", "", C1360), IF(sample_log!E1361="Triennial SASS", "tri_params", "params"))</f>
        <v/>
      </c>
      <c r="D1361" s="5" t="str">
        <f>IF(B1361="", "", C1361 &amp; "!" &amp; CHAR(65+MATCH(B1361, params!$B$2:$R$2, 0)))</f>
        <v/>
      </c>
      <c r="E1361" s="5" t="str">
        <f ca="1">IF(B1361="", "", COUNTA(INDIRECT(D1361 &amp; 3):INDIRECT(D1361 &amp; 24)))</f>
        <v/>
      </c>
      <c r="F1361" s="5" t="str">
        <f t="shared" si="44"/>
        <v/>
      </c>
      <c r="G1361" s="5" t="str">
        <f>IF(F1361="", "", IF(B1361&lt;&gt;"", MATCH(B1361, params!$B$2:$R$2, 0), G1360))</f>
        <v/>
      </c>
      <c r="H1361" s="5" t="str">
        <f t="shared" ca="1" si="43"/>
        <v/>
      </c>
      <c r="M1361" s="2"/>
    </row>
    <row r="1362" spans="2:13" ht="15.6" x14ac:dyDescent="0.3">
      <c r="B1362" s="5" t="str">
        <f>IF(COUNTIF(data_val!$E$3:$E$5, sample_log!$E1362), sample_log!$C1362 &amp; "_" &amp; sample_log!$D1362, "")</f>
        <v/>
      </c>
      <c r="C1362" s="5" t="str">
        <f>IF(B1362="", IF(F1362="", "", C1361), IF(sample_log!E1362="Triennial SASS", "tri_params", "params"))</f>
        <v/>
      </c>
      <c r="D1362" s="5" t="str">
        <f>IF(B1362="", "", C1362 &amp; "!" &amp; CHAR(65+MATCH(B1362, params!$B$2:$R$2, 0)))</f>
        <v/>
      </c>
      <c r="E1362" s="5" t="str">
        <f ca="1">IF(B1362="", "", COUNTA(INDIRECT(D1362 &amp; 3):INDIRECT(D1362 &amp; 24)))</f>
        <v/>
      </c>
      <c r="F1362" s="5" t="str">
        <f t="shared" si="44"/>
        <v/>
      </c>
      <c r="G1362" s="5" t="str">
        <f>IF(F1362="", "", IF(B1362&lt;&gt;"", MATCH(B1362, params!$B$2:$R$2, 0), G1361))</f>
        <v/>
      </c>
      <c r="H1362" s="5" t="str">
        <f t="shared" ca="1" si="43"/>
        <v/>
      </c>
      <c r="M1362" s="2"/>
    </row>
    <row r="1363" spans="2:13" ht="15.6" x14ac:dyDescent="0.3">
      <c r="B1363" s="5" t="str">
        <f>IF(COUNTIF(data_val!$E$3:$E$5, sample_log!$E1363), sample_log!$C1363 &amp; "_" &amp; sample_log!$D1363, "")</f>
        <v/>
      </c>
      <c r="C1363" s="5" t="str">
        <f>IF(B1363="", IF(F1363="", "", C1362), IF(sample_log!E1363="Triennial SASS", "tri_params", "params"))</f>
        <v/>
      </c>
      <c r="D1363" s="5" t="str">
        <f>IF(B1363="", "", C1363 &amp; "!" &amp; CHAR(65+MATCH(B1363, params!$B$2:$R$2, 0)))</f>
        <v/>
      </c>
      <c r="E1363" s="5" t="str">
        <f ca="1">IF(B1363="", "", COUNTA(INDIRECT(D1363 &amp; 3):INDIRECT(D1363 &amp; 24)))</f>
        <v/>
      </c>
      <c r="F1363" s="5" t="str">
        <f t="shared" si="44"/>
        <v/>
      </c>
      <c r="G1363" s="5" t="str">
        <f>IF(F1363="", "", IF(B1363&lt;&gt;"", MATCH(B1363, params!$B$2:$R$2, 0), G1362))</f>
        <v/>
      </c>
      <c r="H1363" s="5" t="str">
        <f t="shared" ca="1" si="43"/>
        <v/>
      </c>
      <c r="M1363" s="2"/>
    </row>
    <row r="1364" spans="2:13" ht="15.6" x14ac:dyDescent="0.3">
      <c r="B1364" s="5" t="str">
        <f>IF(COUNTIF(data_val!$E$3:$E$5, sample_log!$E1364), sample_log!$C1364 &amp; "_" &amp; sample_log!$D1364, "")</f>
        <v/>
      </c>
      <c r="C1364" s="5" t="str">
        <f>IF(B1364="", IF(F1364="", "", C1363), IF(sample_log!E1364="Triennial SASS", "tri_params", "params"))</f>
        <v/>
      </c>
      <c r="D1364" s="5" t="str">
        <f>IF(B1364="", "", C1364 &amp; "!" &amp; CHAR(65+MATCH(B1364, params!$B$2:$R$2, 0)))</f>
        <v/>
      </c>
      <c r="E1364" s="5" t="str">
        <f ca="1">IF(B1364="", "", COUNTA(INDIRECT(D1364 &amp; 3):INDIRECT(D1364 &amp; 24)))</f>
        <v/>
      </c>
      <c r="F1364" s="5" t="str">
        <f t="shared" si="44"/>
        <v/>
      </c>
      <c r="G1364" s="5" t="str">
        <f>IF(F1364="", "", IF(B1364&lt;&gt;"", MATCH(B1364, params!$B$2:$R$2, 0), G1363))</f>
        <v/>
      </c>
      <c r="H1364" s="5" t="str">
        <f t="shared" ca="1" si="43"/>
        <v/>
      </c>
      <c r="M1364" s="2"/>
    </row>
    <row r="1365" spans="2:13" ht="15.6" x14ac:dyDescent="0.3">
      <c r="B1365" s="5" t="str">
        <f>IF(COUNTIF(data_val!$E$3:$E$5, sample_log!$E1365), sample_log!$C1365 &amp; "_" &amp; sample_log!$D1365, "")</f>
        <v/>
      </c>
      <c r="C1365" s="5" t="str">
        <f>IF(B1365="", IF(F1365="", "", C1364), IF(sample_log!E1365="Triennial SASS", "tri_params", "params"))</f>
        <v/>
      </c>
      <c r="D1365" s="5" t="str">
        <f>IF(B1365="", "", C1365 &amp; "!" &amp; CHAR(65+MATCH(B1365, params!$B$2:$R$2, 0)))</f>
        <v/>
      </c>
      <c r="E1365" s="5" t="str">
        <f ca="1">IF(B1365="", "", COUNTA(INDIRECT(D1365 &amp; 3):INDIRECT(D1365 &amp; 24)))</f>
        <v/>
      </c>
      <c r="F1365" s="5" t="str">
        <f t="shared" si="44"/>
        <v/>
      </c>
      <c r="G1365" s="5" t="str">
        <f>IF(F1365="", "", IF(B1365&lt;&gt;"", MATCH(B1365, params!$B$2:$R$2, 0), G1364))</f>
        <v/>
      </c>
      <c r="H1365" s="5" t="str">
        <f t="shared" ca="1" si="43"/>
        <v/>
      </c>
      <c r="M1365" s="2"/>
    </row>
    <row r="1366" spans="2:13" ht="15.6" x14ac:dyDescent="0.3">
      <c r="B1366" s="5" t="str">
        <f>IF(COUNTIF(data_val!$E$3:$E$5, sample_log!$E1366), sample_log!$C1366 &amp; "_" &amp; sample_log!$D1366, "")</f>
        <v/>
      </c>
      <c r="C1366" s="5" t="str">
        <f>IF(B1366="", IF(F1366="", "", C1365), IF(sample_log!E1366="Triennial SASS", "tri_params", "params"))</f>
        <v/>
      </c>
      <c r="D1366" s="5" t="str">
        <f>IF(B1366="", "", C1366 &amp; "!" &amp; CHAR(65+MATCH(B1366, params!$B$2:$R$2, 0)))</f>
        <v/>
      </c>
      <c r="E1366" s="5" t="str">
        <f ca="1">IF(B1366="", "", COUNTA(INDIRECT(D1366 &amp; 3):INDIRECT(D1366 &amp; 24)))</f>
        <v/>
      </c>
      <c r="F1366" s="5" t="str">
        <f t="shared" si="44"/>
        <v/>
      </c>
      <c r="G1366" s="5" t="str">
        <f>IF(F1366="", "", IF(B1366&lt;&gt;"", MATCH(B1366, params!$B$2:$R$2, 0), G1365))</f>
        <v/>
      </c>
      <c r="H1366" s="5" t="str">
        <f t="shared" ca="1" si="43"/>
        <v/>
      </c>
      <c r="M1366" s="2"/>
    </row>
    <row r="1367" spans="2:13" ht="15.6" x14ac:dyDescent="0.3">
      <c r="B1367" s="5" t="str">
        <f>IF(COUNTIF(data_val!$E$3:$E$5, sample_log!$E1367), sample_log!$C1367 &amp; "_" &amp; sample_log!$D1367, "")</f>
        <v/>
      </c>
      <c r="C1367" s="5" t="str">
        <f>IF(B1367="", IF(F1367="", "", C1366), IF(sample_log!E1367="Triennial SASS", "tri_params", "params"))</f>
        <v/>
      </c>
      <c r="D1367" s="5" t="str">
        <f>IF(B1367="", "", C1367 &amp; "!" &amp; CHAR(65+MATCH(B1367, params!$B$2:$R$2, 0)))</f>
        <v/>
      </c>
      <c r="E1367" s="5" t="str">
        <f ca="1">IF(B1367="", "", COUNTA(INDIRECT(D1367 &amp; 3):INDIRECT(D1367 &amp; 24)))</f>
        <v/>
      </c>
      <c r="F1367" s="5" t="str">
        <f t="shared" si="44"/>
        <v/>
      </c>
      <c r="G1367" s="5" t="str">
        <f>IF(F1367="", "", IF(B1367&lt;&gt;"", MATCH(B1367, params!$B$2:$R$2, 0), G1366))</f>
        <v/>
      </c>
      <c r="H1367" s="5" t="str">
        <f t="shared" ca="1" si="43"/>
        <v/>
      </c>
      <c r="M1367" s="2"/>
    </row>
    <row r="1368" spans="2:13" ht="15.6" x14ac:dyDescent="0.3">
      <c r="B1368" s="5" t="str">
        <f>IF(COUNTIF(data_val!$E$3:$E$5, sample_log!$E1368), sample_log!$C1368 &amp; "_" &amp; sample_log!$D1368, "")</f>
        <v/>
      </c>
      <c r="C1368" s="5" t="str">
        <f>IF(B1368="", IF(F1368="", "", C1367), IF(sample_log!E1368="Triennial SASS", "tri_params", "params"))</f>
        <v/>
      </c>
      <c r="D1368" s="5" t="str">
        <f>IF(B1368="", "", C1368 &amp; "!" &amp; CHAR(65+MATCH(B1368, params!$B$2:$R$2, 0)))</f>
        <v/>
      </c>
      <c r="E1368" s="5" t="str">
        <f ca="1">IF(B1368="", "", COUNTA(INDIRECT(D1368 &amp; 3):INDIRECT(D1368 &amp; 24)))</f>
        <v/>
      </c>
      <c r="F1368" s="5" t="str">
        <f t="shared" si="44"/>
        <v/>
      </c>
      <c r="G1368" s="5" t="str">
        <f>IF(F1368="", "", IF(B1368&lt;&gt;"", MATCH(B1368, params!$B$2:$R$2, 0), G1367))</f>
        <v/>
      </c>
      <c r="H1368" s="5" t="str">
        <f t="shared" ca="1" si="43"/>
        <v/>
      </c>
      <c r="M1368" s="2"/>
    </row>
    <row r="1369" spans="2:13" ht="15.6" x14ac:dyDescent="0.3">
      <c r="B1369" s="5" t="str">
        <f>IF(COUNTIF(data_val!$E$3:$E$5, sample_log!$E1369), sample_log!$C1369 &amp; "_" &amp; sample_log!$D1369, "")</f>
        <v/>
      </c>
      <c r="C1369" s="5" t="str">
        <f>IF(B1369="", IF(F1369="", "", C1368), IF(sample_log!E1369="Triennial SASS", "tri_params", "params"))</f>
        <v/>
      </c>
      <c r="D1369" s="5" t="str">
        <f>IF(B1369="", "", C1369 &amp; "!" &amp; CHAR(65+MATCH(B1369, params!$B$2:$R$2, 0)))</f>
        <v/>
      </c>
      <c r="E1369" s="5" t="str">
        <f ca="1">IF(B1369="", "", COUNTA(INDIRECT(D1369 &amp; 3):INDIRECT(D1369 &amp; 24)))</f>
        <v/>
      </c>
      <c r="F1369" s="5" t="str">
        <f t="shared" si="44"/>
        <v/>
      </c>
      <c r="G1369" s="5" t="str">
        <f>IF(F1369="", "", IF(B1369&lt;&gt;"", MATCH(B1369, params!$B$2:$R$2, 0), G1368))</f>
        <v/>
      </c>
      <c r="H1369" s="5" t="str">
        <f t="shared" ref="H1369:H1432" ca="1" si="45">IF($F1369="", "", INDEX(INDIRECT("'" &amp; C1369 &amp; "'!$B$3:$R$24"), $F1369, $G1369))</f>
        <v/>
      </c>
      <c r="M1369" s="2"/>
    </row>
    <row r="1370" spans="2:13" ht="15.6" x14ac:dyDescent="0.3">
      <c r="B1370" s="5" t="str">
        <f>IF(COUNTIF(data_val!$E$3:$E$5, sample_log!$E1370), sample_log!$C1370 &amp; "_" &amp; sample_log!$D1370, "")</f>
        <v/>
      </c>
      <c r="C1370" s="5" t="str">
        <f>IF(B1370="", IF(F1370="", "", C1369), IF(sample_log!E1370="Triennial SASS", "tri_params", "params"))</f>
        <v/>
      </c>
      <c r="D1370" s="5" t="str">
        <f>IF(B1370="", "", C1370 &amp; "!" &amp; CHAR(65+MATCH(B1370, params!$B$2:$R$2, 0)))</f>
        <v/>
      </c>
      <c r="E1370" s="5" t="str">
        <f ca="1">IF(B1370="", "", COUNTA(INDIRECT(D1370 &amp; 3):INDIRECT(D1370 &amp; 24)))</f>
        <v/>
      </c>
      <c r="F1370" s="5" t="str">
        <f t="shared" si="44"/>
        <v/>
      </c>
      <c r="G1370" s="5" t="str">
        <f>IF(F1370="", "", IF(B1370&lt;&gt;"", MATCH(B1370, params!$B$2:$R$2, 0), G1369))</f>
        <v/>
      </c>
      <c r="H1370" s="5" t="str">
        <f t="shared" ca="1" si="45"/>
        <v/>
      </c>
      <c r="M1370" s="2"/>
    </row>
    <row r="1371" spans="2:13" ht="15.6" x14ac:dyDescent="0.3">
      <c r="B1371" s="5" t="str">
        <f>IF(COUNTIF(data_val!$E$3:$E$5, sample_log!$E1371), sample_log!$C1371 &amp; "_" &amp; sample_log!$D1371, "")</f>
        <v/>
      </c>
      <c r="C1371" s="5" t="str">
        <f>IF(B1371="", IF(F1371="", "", C1370), IF(sample_log!E1371="Triennial SASS", "tri_params", "params"))</f>
        <v/>
      </c>
      <c r="D1371" s="5" t="str">
        <f>IF(B1371="", "", C1371 &amp; "!" &amp; CHAR(65+MATCH(B1371, params!$B$2:$R$2, 0)))</f>
        <v/>
      </c>
      <c r="E1371" s="5" t="str">
        <f ca="1">IF(B1371="", "", COUNTA(INDIRECT(D1371 &amp; 3):INDIRECT(D1371 &amp; 24)))</f>
        <v/>
      </c>
      <c r="F1371" s="5" t="str">
        <f t="shared" si="44"/>
        <v/>
      </c>
      <c r="G1371" s="5" t="str">
        <f>IF(F1371="", "", IF(B1371&lt;&gt;"", MATCH(B1371, params!$B$2:$R$2, 0), G1370))</f>
        <v/>
      </c>
      <c r="H1371" s="5" t="str">
        <f t="shared" ca="1" si="45"/>
        <v/>
      </c>
      <c r="M1371" s="2"/>
    </row>
    <row r="1372" spans="2:13" ht="15.6" x14ac:dyDescent="0.3">
      <c r="B1372" s="5" t="str">
        <f>IF(COUNTIF(data_val!$E$3:$E$5, sample_log!$E1372), sample_log!$C1372 &amp; "_" &amp; sample_log!$D1372, "")</f>
        <v/>
      </c>
      <c r="C1372" s="5" t="str">
        <f>IF(B1372="", IF(F1372="", "", C1371), IF(sample_log!E1372="Triennial SASS", "tri_params", "params"))</f>
        <v/>
      </c>
      <c r="D1372" s="5" t="str">
        <f>IF(B1372="", "", C1372 &amp; "!" &amp; CHAR(65+MATCH(B1372, params!$B$2:$R$2, 0)))</f>
        <v/>
      </c>
      <c r="E1372" s="5" t="str">
        <f ca="1">IF(B1372="", "", COUNTA(INDIRECT(D1372 &amp; 3):INDIRECT(D1372 &amp; 24)))</f>
        <v/>
      </c>
      <c r="F1372" s="5" t="str">
        <f t="shared" si="44"/>
        <v/>
      </c>
      <c r="G1372" s="5" t="str">
        <f>IF(F1372="", "", IF(B1372&lt;&gt;"", MATCH(B1372, params!$B$2:$R$2, 0), G1371))</f>
        <v/>
      </c>
      <c r="H1372" s="5" t="str">
        <f t="shared" ca="1" si="45"/>
        <v/>
      </c>
      <c r="M1372" s="2"/>
    </row>
    <row r="1373" spans="2:13" ht="15.6" x14ac:dyDescent="0.3">
      <c r="B1373" s="5" t="str">
        <f>IF(COUNTIF(data_val!$E$3:$E$5, sample_log!$E1373), sample_log!$C1373 &amp; "_" &amp; sample_log!$D1373, "")</f>
        <v/>
      </c>
      <c r="C1373" s="5" t="str">
        <f>IF(B1373="", IF(F1373="", "", C1372), IF(sample_log!E1373="Triennial SASS", "tri_params", "params"))</f>
        <v/>
      </c>
      <c r="D1373" s="5" t="str">
        <f>IF(B1373="", "", C1373 &amp; "!" &amp; CHAR(65+MATCH(B1373, params!$B$2:$R$2, 0)))</f>
        <v/>
      </c>
      <c r="E1373" s="5" t="str">
        <f ca="1">IF(B1373="", "", COUNTA(INDIRECT(D1373 &amp; 3):INDIRECT(D1373 &amp; 24)))</f>
        <v/>
      </c>
      <c r="F1373" s="5" t="str">
        <f t="shared" si="44"/>
        <v/>
      </c>
      <c r="G1373" s="5" t="str">
        <f>IF(F1373="", "", IF(B1373&lt;&gt;"", MATCH(B1373, params!$B$2:$R$2, 0), G1372))</f>
        <v/>
      </c>
      <c r="H1373" s="5" t="str">
        <f t="shared" ca="1" si="45"/>
        <v/>
      </c>
      <c r="M1373" s="2"/>
    </row>
    <row r="1374" spans="2:13" ht="15.6" x14ac:dyDescent="0.3">
      <c r="B1374" s="5" t="str">
        <f>IF(COUNTIF(data_val!$E$3:$E$5, sample_log!$E1374), sample_log!$C1374 &amp; "_" &amp; sample_log!$D1374, "")</f>
        <v/>
      </c>
      <c r="C1374" s="5" t="str">
        <f>IF(B1374="", IF(F1374="", "", C1373), IF(sample_log!E1374="Triennial SASS", "tri_params", "params"))</f>
        <v/>
      </c>
      <c r="D1374" s="5" t="str">
        <f>IF(B1374="", "", C1374 &amp; "!" &amp; CHAR(65+MATCH(B1374, params!$B$2:$R$2, 0)))</f>
        <v/>
      </c>
      <c r="E1374" s="5" t="str">
        <f ca="1">IF(B1374="", "", COUNTA(INDIRECT(D1374 &amp; 3):INDIRECT(D1374 &amp; 24)))</f>
        <v/>
      </c>
      <c r="F1374" s="5" t="str">
        <f t="shared" si="44"/>
        <v/>
      </c>
      <c r="G1374" s="5" t="str">
        <f>IF(F1374="", "", IF(B1374&lt;&gt;"", MATCH(B1374, params!$B$2:$R$2, 0), G1373))</f>
        <v/>
      </c>
      <c r="H1374" s="5" t="str">
        <f t="shared" ca="1" si="45"/>
        <v/>
      </c>
      <c r="M1374" s="2"/>
    </row>
    <row r="1375" spans="2:13" ht="15.6" x14ac:dyDescent="0.3">
      <c r="B1375" s="5" t="str">
        <f>IF(COUNTIF(data_val!$E$3:$E$5, sample_log!$E1375), sample_log!$C1375 &amp; "_" &amp; sample_log!$D1375, "")</f>
        <v/>
      </c>
      <c r="C1375" s="5" t="str">
        <f>IF(B1375="", IF(F1375="", "", C1374), IF(sample_log!E1375="Triennial SASS", "tri_params", "params"))</f>
        <v/>
      </c>
      <c r="D1375" s="5" t="str">
        <f>IF(B1375="", "", C1375 &amp; "!" &amp; CHAR(65+MATCH(B1375, params!$B$2:$R$2, 0)))</f>
        <v/>
      </c>
      <c r="E1375" s="5" t="str">
        <f ca="1">IF(B1375="", "", COUNTA(INDIRECT(D1375 &amp; 3):INDIRECT(D1375 &amp; 24)))</f>
        <v/>
      </c>
      <c r="F1375" s="5" t="str">
        <f t="shared" si="44"/>
        <v/>
      </c>
      <c r="G1375" s="5" t="str">
        <f>IF(F1375="", "", IF(B1375&lt;&gt;"", MATCH(B1375, params!$B$2:$R$2, 0), G1374))</f>
        <v/>
      </c>
      <c r="H1375" s="5" t="str">
        <f t="shared" ca="1" si="45"/>
        <v/>
      </c>
      <c r="M1375" s="2"/>
    </row>
    <row r="1376" spans="2:13" ht="15.6" x14ac:dyDescent="0.3">
      <c r="B1376" s="5" t="str">
        <f>IF(COUNTIF(data_val!$E$3:$E$5, sample_log!$E1376), sample_log!$C1376 &amp; "_" &amp; sample_log!$D1376, "")</f>
        <v/>
      </c>
      <c r="C1376" s="5" t="str">
        <f>IF(B1376="", IF(F1376="", "", C1375), IF(sample_log!E1376="Triennial SASS", "tri_params", "params"))</f>
        <v/>
      </c>
      <c r="D1376" s="5" t="str">
        <f>IF(B1376="", "", C1376 &amp; "!" &amp; CHAR(65+MATCH(B1376, params!$B$2:$R$2, 0)))</f>
        <v/>
      </c>
      <c r="E1376" s="5" t="str">
        <f ca="1">IF(B1376="", "", COUNTA(INDIRECT(D1376 &amp; 3):INDIRECT(D1376 &amp; 24)))</f>
        <v/>
      </c>
      <c r="F1376" s="5" t="str">
        <f t="shared" si="44"/>
        <v/>
      </c>
      <c r="G1376" s="5" t="str">
        <f>IF(F1376="", "", IF(B1376&lt;&gt;"", MATCH(B1376, params!$B$2:$R$2, 0), G1375))</f>
        <v/>
      </c>
      <c r="H1376" s="5" t="str">
        <f t="shared" ca="1" si="45"/>
        <v/>
      </c>
      <c r="M1376" s="2"/>
    </row>
    <row r="1377" spans="2:13" ht="15.6" x14ac:dyDescent="0.3">
      <c r="B1377" s="5" t="str">
        <f>IF(COUNTIF(data_val!$E$3:$E$5, sample_log!$E1377), sample_log!$C1377 &amp; "_" &amp; sample_log!$D1377, "")</f>
        <v/>
      </c>
      <c r="C1377" s="5" t="str">
        <f>IF(B1377="", IF(F1377="", "", C1376), IF(sample_log!E1377="Triennial SASS", "tri_params", "params"))</f>
        <v/>
      </c>
      <c r="D1377" s="5" t="str">
        <f>IF(B1377="", "", C1377 &amp; "!" &amp; CHAR(65+MATCH(B1377, params!$B$2:$R$2, 0)))</f>
        <v/>
      </c>
      <c r="E1377" s="5" t="str">
        <f ca="1">IF(B1377="", "", COUNTA(INDIRECT(D1377 &amp; 3):INDIRECT(D1377 &amp; 24)))</f>
        <v/>
      </c>
      <c r="F1377" s="5" t="str">
        <f t="shared" si="44"/>
        <v/>
      </c>
      <c r="G1377" s="5" t="str">
        <f>IF(F1377="", "", IF(B1377&lt;&gt;"", MATCH(B1377, params!$B$2:$R$2, 0), G1376))</f>
        <v/>
      </c>
      <c r="H1377" s="5" t="str">
        <f t="shared" ca="1" si="45"/>
        <v/>
      </c>
      <c r="M1377" s="2"/>
    </row>
    <row r="1378" spans="2:13" ht="15.6" x14ac:dyDescent="0.3">
      <c r="B1378" s="5" t="str">
        <f>IF(COUNTIF(data_val!$E$3:$E$5, sample_log!$E1378), sample_log!$C1378 &amp; "_" &amp; sample_log!$D1378, "")</f>
        <v/>
      </c>
      <c r="C1378" s="5" t="str">
        <f>IF(B1378="", IF(F1378="", "", C1377), IF(sample_log!E1378="Triennial SASS", "tri_params", "params"))</f>
        <v/>
      </c>
      <c r="D1378" s="5" t="str">
        <f>IF(B1378="", "", C1378 &amp; "!" &amp; CHAR(65+MATCH(B1378, params!$B$2:$R$2, 0)))</f>
        <v/>
      </c>
      <c r="E1378" s="5" t="str">
        <f ca="1">IF(B1378="", "", COUNTA(INDIRECT(D1378 &amp; 3):INDIRECT(D1378 &amp; 24)))</f>
        <v/>
      </c>
      <c r="F1378" s="5" t="str">
        <f t="shared" si="44"/>
        <v/>
      </c>
      <c r="G1378" s="5" t="str">
        <f>IF(F1378="", "", IF(B1378&lt;&gt;"", MATCH(B1378, params!$B$2:$R$2, 0), G1377))</f>
        <v/>
      </c>
      <c r="H1378" s="5" t="str">
        <f t="shared" ca="1" si="45"/>
        <v/>
      </c>
      <c r="M1378" s="2"/>
    </row>
    <row r="1379" spans="2:13" ht="15.6" x14ac:dyDescent="0.3">
      <c r="B1379" s="5" t="str">
        <f>IF(COUNTIF(data_val!$E$3:$E$5, sample_log!$E1379), sample_log!$C1379 &amp; "_" &amp; sample_log!$D1379, "")</f>
        <v/>
      </c>
      <c r="C1379" s="5" t="str">
        <f>IF(B1379="", IF(F1379="", "", C1378), IF(sample_log!E1379="Triennial SASS", "tri_params", "params"))</f>
        <v/>
      </c>
      <c r="D1379" s="5" t="str">
        <f>IF(B1379="", "", C1379 &amp; "!" &amp; CHAR(65+MATCH(B1379, params!$B$2:$R$2, 0)))</f>
        <v/>
      </c>
      <c r="E1379" s="5" t="str">
        <f ca="1">IF(B1379="", "", COUNTA(INDIRECT(D1379 &amp; 3):INDIRECT(D1379 &amp; 24)))</f>
        <v/>
      </c>
      <c r="F1379" s="5" t="str">
        <f t="shared" si="44"/>
        <v/>
      </c>
      <c r="G1379" s="5" t="str">
        <f>IF(F1379="", "", IF(B1379&lt;&gt;"", MATCH(B1379, params!$B$2:$R$2, 0), G1378))</f>
        <v/>
      </c>
      <c r="H1379" s="5" t="str">
        <f t="shared" ca="1" si="45"/>
        <v/>
      </c>
      <c r="M1379" s="2"/>
    </row>
    <row r="1380" spans="2:13" ht="15.6" x14ac:dyDescent="0.3">
      <c r="B1380" s="5" t="str">
        <f>IF(COUNTIF(data_val!$E$3:$E$5, sample_log!$E1380), sample_log!$C1380 &amp; "_" &amp; sample_log!$D1380, "")</f>
        <v/>
      </c>
      <c r="C1380" s="5" t="str">
        <f>IF(B1380="", IF(F1380="", "", C1379), IF(sample_log!E1380="Triennial SASS", "tri_params", "params"))</f>
        <v/>
      </c>
      <c r="D1380" s="5" t="str">
        <f>IF(B1380="", "", C1380 &amp; "!" &amp; CHAR(65+MATCH(B1380, params!$B$2:$R$2, 0)))</f>
        <v/>
      </c>
      <c r="E1380" s="5" t="str">
        <f ca="1">IF(B1380="", "", COUNTA(INDIRECT(D1380 &amp; 3):INDIRECT(D1380 &amp; 24)))</f>
        <v/>
      </c>
      <c r="F1380" s="5" t="str">
        <f t="shared" si="44"/>
        <v/>
      </c>
      <c r="G1380" s="5" t="str">
        <f>IF(F1380="", "", IF(B1380&lt;&gt;"", MATCH(B1380, params!$B$2:$R$2, 0), G1379))</f>
        <v/>
      </c>
      <c r="H1380" s="5" t="str">
        <f t="shared" ca="1" si="45"/>
        <v/>
      </c>
      <c r="M1380" s="2"/>
    </row>
    <row r="1381" spans="2:13" ht="15.6" x14ac:dyDescent="0.3">
      <c r="B1381" s="5" t="str">
        <f>IF(COUNTIF(data_val!$E$3:$E$5, sample_log!$E1381), sample_log!$C1381 &amp; "_" &amp; sample_log!$D1381, "")</f>
        <v/>
      </c>
      <c r="C1381" s="5" t="str">
        <f>IF(B1381="", IF(F1381="", "", C1380), IF(sample_log!E1381="Triennial SASS", "tri_params", "params"))</f>
        <v/>
      </c>
      <c r="D1381" s="5" t="str">
        <f>IF(B1381="", "", C1381 &amp; "!" &amp; CHAR(65+MATCH(B1381, params!$B$2:$R$2, 0)))</f>
        <v/>
      </c>
      <c r="E1381" s="5" t="str">
        <f ca="1">IF(B1381="", "", COUNTA(INDIRECT(D1381 &amp; 3):INDIRECT(D1381 &amp; 24)))</f>
        <v/>
      </c>
      <c r="F1381" s="5" t="str">
        <f t="shared" si="44"/>
        <v/>
      </c>
      <c r="G1381" s="5" t="str">
        <f>IF(F1381="", "", IF(B1381&lt;&gt;"", MATCH(B1381, params!$B$2:$R$2, 0), G1380))</f>
        <v/>
      </c>
      <c r="H1381" s="5" t="str">
        <f t="shared" ca="1" si="45"/>
        <v/>
      </c>
      <c r="M1381" s="2"/>
    </row>
    <row r="1382" spans="2:13" ht="15.6" x14ac:dyDescent="0.3">
      <c r="B1382" s="5" t="str">
        <f>IF(COUNTIF(data_val!$E$3:$E$5, sample_log!$E1382), sample_log!$C1382 &amp; "_" &amp; sample_log!$D1382, "")</f>
        <v/>
      </c>
      <c r="C1382" s="5" t="str">
        <f>IF(B1382="", IF(F1382="", "", C1381), IF(sample_log!E1382="Triennial SASS", "tri_params", "params"))</f>
        <v/>
      </c>
      <c r="D1382" s="5" t="str">
        <f>IF(B1382="", "", C1382 &amp; "!" &amp; CHAR(65+MATCH(B1382, params!$B$2:$R$2, 0)))</f>
        <v/>
      </c>
      <c r="E1382" s="5" t="str">
        <f ca="1">IF(B1382="", "", COUNTA(INDIRECT(D1382 &amp; 3):INDIRECT(D1382 &amp; 24)))</f>
        <v/>
      </c>
      <c r="F1382" s="5" t="str">
        <f t="shared" si="44"/>
        <v/>
      </c>
      <c r="G1382" s="5" t="str">
        <f>IF(F1382="", "", IF(B1382&lt;&gt;"", MATCH(B1382, params!$B$2:$R$2, 0), G1381))</f>
        <v/>
      </c>
      <c r="H1382" s="5" t="str">
        <f t="shared" ca="1" si="45"/>
        <v/>
      </c>
      <c r="M1382" s="2"/>
    </row>
    <row r="1383" spans="2:13" ht="15.6" x14ac:dyDescent="0.3">
      <c r="B1383" s="5" t="str">
        <f>IF(COUNTIF(data_val!$E$3:$E$5, sample_log!$E1383), sample_log!$C1383 &amp; "_" &amp; sample_log!$D1383, "")</f>
        <v/>
      </c>
      <c r="C1383" s="5" t="str">
        <f>IF(B1383="", IF(F1383="", "", C1382), IF(sample_log!E1383="Triennial SASS", "tri_params", "params"))</f>
        <v/>
      </c>
      <c r="D1383" s="5" t="str">
        <f>IF(B1383="", "", C1383 &amp; "!" &amp; CHAR(65+MATCH(B1383, params!$B$2:$R$2, 0)))</f>
        <v/>
      </c>
      <c r="E1383" s="5" t="str">
        <f ca="1">IF(B1383="", "", COUNTA(INDIRECT(D1383 &amp; 3):INDIRECT(D1383 &amp; 24)))</f>
        <v/>
      </c>
      <c r="F1383" s="5" t="str">
        <f t="shared" si="44"/>
        <v/>
      </c>
      <c r="G1383" s="5" t="str">
        <f>IF(F1383="", "", IF(B1383&lt;&gt;"", MATCH(B1383, params!$B$2:$R$2, 0), G1382))</f>
        <v/>
      </c>
      <c r="H1383" s="5" t="str">
        <f t="shared" ca="1" si="45"/>
        <v/>
      </c>
      <c r="M1383" s="2"/>
    </row>
    <row r="1384" spans="2:13" ht="15.6" x14ac:dyDescent="0.3">
      <c r="B1384" s="5" t="str">
        <f>IF(COUNTIF(data_val!$E$3:$E$5, sample_log!$E1384), sample_log!$C1384 &amp; "_" &amp; sample_log!$D1384, "")</f>
        <v/>
      </c>
      <c r="C1384" s="5" t="str">
        <f>IF(B1384="", IF(F1384="", "", C1383), IF(sample_log!E1384="Triennial SASS", "tri_params", "params"))</f>
        <v/>
      </c>
      <c r="D1384" s="5" t="str">
        <f>IF(B1384="", "", C1384 &amp; "!" &amp; CHAR(65+MATCH(B1384, params!$B$2:$R$2, 0)))</f>
        <v/>
      </c>
      <c r="E1384" s="5" t="str">
        <f ca="1">IF(B1384="", "", COUNTA(INDIRECT(D1384 &amp; 3):INDIRECT(D1384 &amp; 24)))</f>
        <v/>
      </c>
      <c r="F1384" s="5" t="str">
        <f t="shared" si="44"/>
        <v/>
      </c>
      <c r="G1384" s="5" t="str">
        <f>IF(F1384="", "", IF(B1384&lt;&gt;"", MATCH(B1384, params!$B$2:$R$2, 0), G1383))</f>
        <v/>
      </c>
      <c r="H1384" s="5" t="str">
        <f t="shared" ca="1" si="45"/>
        <v/>
      </c>
      <c r="M1384" s="2"/>
    </row>
    <row r="1385" spans="2:13" ht="15.6" x14ac:dyDescent="0.3">
      <c r="B1385" s="5" t="str">
        <f>IF(COUNTIF(data_val!$E$3:$E$5, sample_log!$E1385), sample_log!$C1385 &amp; "_" &amp; sample_log!$D1385, "")</f>
        <v/>
      </c>
      <c r="C1385" s="5" t="str">
        <f>IF(B1385="", IF(F1385="", "", C1384), IF(sample_log!E1385="Triennial SASS", "tri_params", "params"))</f>
        <v/>
      </c>
      <c r="D1385" s="5" t="str">
        <f>IF(B1385="", "", C1385 &amp; "!" &amp; CHAR(65+MATCH(B1385, params!$B$2:$R$2, 0)))</f>
        <v/>
      </c>
      <c r="E1385" s="5" t="str">
        <f ca="1">IF(B1385="", "", COUNTA(INDIRECT(D1385 &amp; 3):INDIRECT(D1385 &amp; 24)))</f>
        <v/>
      </c>
      <c r="F1385" s="5" t="str">
        <f t="shared" si="44"/>
        <v/>
      </c>
      <c r="G1385" s="5" t="str">
        <f>IF(F1385="", "", IF(B1385&lt;&gt;"", MATCH(B1385, params!$B$2:$R$2, 0), G1384))</f>
        <v/>
      </c>
      <c r="H1385" s="5" t="str">
        <f t="shared" ca="1" si="45"/>
        <v/>
      </c>
      <c r="M1385" s="2"/>
    </row>
    <row r="1386" spans="2:13" ht="15.6" x14ac:dyDescent="0.3">
      <c r="B1386" s="5" t="str">
        <f>IF(COUNTIF(data_val!$E$3:$E$5, sample_log!$E1386), sample_log!$C1386 &amp; "_" &amp; sample_log!$D1386, "")</f>
        <v/>
      </c>
      <c r="C1386" s="5" t="str">
        <f>IF(B1386="", IF(F1386="", "", C1385), IF(sample_log!E1386="Triennial SASS", "tri_params", "params"))</f>
        <v/>
      </c>
      <c r="D1386" s="5" t="str">
        <f>IF(B1386="", "", C1386 &amp; "!" &amp; CHAR(65+MATCH(B1386, params!$B$2:$R$2, 0)))</f>
        <v/>
      </c>
      <c r="E1386" s="5" t="str">
        <f ca="1">IF(B1386="", "", COUNTA(INDIRECT(D1386 &amp; 3):INDIRECT(D1386 &amp; 24)))</f>
        <v/>
      </c>
      <c r="F1386" s="5" t="str">
        <f t="shared" si="44"/>
        <v/>
      </c>
      <c r="G1386" s="5" t="str">
        <f>IF(F1386="", "", IF(B1386&lt;&gt;"", MATCH(B1386, params!$B$2:$R$2, 0), G1385))</f>
        <v/>
      </c>
      <c r="H1386" s="5" t="str">
        <f t="shared" ca="1" si="45"/>
        <v/>
      </c>
      <c r="M1386" s="2"/>
    </row>
    <row r="1387" spans="2:13" ht="15.6" x14ac:dyDescent="0.3">
      <c r="B1387" s="5" t="str">
        <f>IF(COUNTIF(data_val!$E$3:$E$5, sample_log!$E1387), sample_log!$C1387 &amp; "_" &amp; sample_log!$D1387, "")</f>
        <v/>
      </c>
      <c r="C1387" s="5" t="str">
        <f>IF(B1387="", IF(F1387="", "", C1386), IF(sample_log!E1387="Triennial SASS", "tri_params", "params"))</f>
        <v/>
      </c>
      <c r="D1387" s="5" t="str">
        <f>IF(B1387="", "", C1387 &amp; "!" &amp; CHAR(65+MATCH(B1387, params!$B$2:$R$2, 0)))</f>
        <v/>
      </c>
      <c r="E1387" s="5" t="str">
        <f ca="1">IF(B1387="", "", COUNTA(INDIRECT(D1387 &amp; 3):INDIRECT(D1387 &amp; 24)))</f>
        <v/>
      </c>
      <c r="F1387" s="5" t="str">
        <f t="shared" si="44"/>
        <v/>
      </c>
      <c r="G1387" s="5" t="str">
        <f>IF(F1387="", "", IF(B1387&lt;&gt;"", MATCH(B1387, params!$B$2:$R$2, 0), G1386))</f>
        <v/>
      </c>
      <c r="H1387" s="5" t="str">
        <f t="shared" ca="1" si="45"/>
        <v/>
      </c>
      <c r="M1387" s="2"/>
    </row>
    <row r="1388" spans="2:13" ht="15.6" x14ac:dyDescent="0.3">
      <c r="B1388" s="5" t="str">
        <f>IF(COUNTIF(data_val!$E$3:$E$5, sample_log!$E1388), sample_log!$C1388 &amp; "_" &amp; sample_log!$D1388, "")</f>
        <v/>
      </c>
      <c r="C1388" s="5" t="str">
        <f>IF(B1388="", IF(F1388="", "", C1387), IF(sample_log!E1388="Triennial SASS", "tri_params", "params"))</f>
        <v/>
      </c>
      <c r="D1388" s="5" t="str">
        <f>IF(B1388="", "", C1388 &amp; "!" &amp; CHAR(65+MATCH(B1388, params!$B$2:$R$2, 0)))</f>
        <v/>
      </c>
      <c r="E1388" s="5" t="str">
        <f ca="1">IF(B1388="", "", COUNTA(INDIRECT(D1388 &amp; 3):INDIRECT(D1388 &amp; 24)))</f>
        <v/>
      </c>
      <c r="F1388" s="5" t="str">
        <f t="shared" si="44"/>
        <v/>
      </c>
      <c r="G1388" s="5" t="str">
        <f>IF(F1388="", "", IF(B1388&lt;&gt;"", MATCH(B1388, params!$B$2:$R$2, 0), G1387))</f>
        <v/>
      </c>
      <c r="H1388" s="5" t="str">
        <f t="shared" ca="1" si="45"/>
        <v/>
      </c>
      <c r="M1388" s="2"/>
    </row>
    <row r="1389" spans="2:13" ht="15.6" x14ac:dyDescent="0.3">
      <c r="B1389" s="5" t="str">
        <f>IF(COUNTIF(data_val!$E$3:$E$5, sample_log!$E1389), sample_log!$C1389 &amp; "_" &amp; sample_log!$D1389, "")</f>
        <v/>
      </c>
      <c r="C1389" s="5" t="str">
        <f>IF(B1389="", IF(F1389="", "", C1388), IF(sample_log!E1389="Triennial SASS", "tri_params", "params"))</f>
        <v/>
      </c>
      <c r="D1389" s="5" t="str">
        <f>IF(B1389="", "", C1389 &amp; "!" &amp; CHAR(65+MATCH(B1389, params!$B$2:$R$2, 0)))</f>
        <v/>
      </c>
      <c r="E1389" s="5" t="str">
        <f ca="1">IF(B1389="", "", COUNTA(INDIRECT(D1389 &amp; 3):INDIRECT(D1389 &amp; 24)))</f>
        <v/>
      </c>
      <c r="F1389" s="5" t="str">
        <f t="shared" si="44"/>
        <v/>
      </c>
      <c r="G1389" s="5" t="str">
        <f>IF(F1389="", "", IF(B1389&lt;&gt;"", MATCH(B1389, params!$B$2:$R$2, 0), G1388))</f>
        <v/>
      </c>
      <c r="H1389" s="5" t="str">
        <f t="shared" ca="1" si="45"/>
        <v/>
      </c>
      <c r="M1389" s="2"/>
    </row>
    <row r="1390" spans="2:13" ht="15.6" x14ac:dyDescent="0.3">
      <c r="B1390" s="5" t="str">
        <f>IF(COUNTIF(data_val!$E$3:$E$5, sample_log!$E1390), sample_log!$C1390 &amp; "_" &amp; sample_log!$D1390, "")</f>
        <v/>
      </c>
      <c r="C1390" s="5" t="str">
        <f>IF(B1390="", IF(F1390="", "", C1389), IF(sample_log!E1390="Triennial SASS", "tri_params", "params"))</f>
        <v/>
      </c>
      <c r="D1390" s="5" t="str">
        <f>IF(B1390="", "", C1390 &amp; "!" &amp; CHAR(65+MATCH(B1390, params!$B$2:$R$2, 0)))</f>
        <v/>
      </c>
      <c r="E1390" s="5" t="str">
        <f ca="1">IF(B1390="", "", COUNTA(INDIRECT(D1390 &amp; 3):INDIRECT(D1390 &amp; 24)))</f>
        <v/>
      </c>
      <c r="F1390" s="5" t="str">
        <f t="shared" si="44"/>
        <v/>
      </c>
      <c r="G1390" s="5" t="str">
        <f>IF(F1390="", "", IF(B1390&lt;&gt;"", MATCH(B1390, params!$B$2:$R$2, 0), G1389))</f>
        <v/>
      </c>
      <c r="H1390" s="5" t="str">
        <f t="shared" ca="1" si="45"/>
        <v/>
      </c>
      <c r="M1390" s="2"/>
    </row>
    <row r="1391" spans="2:13" ht="15.6" x14ac:dyDescent="0.3">
      <c r="B1391" s="5" t="str">
        <f>IF(COUNTIF(data_val!$E$3:$E$5, sample_log!$E1391), sample_log!$C1391 &amp; "_" &amp; sample_log!$D1391, "")</f>
        <v/>
      </c>
      <c r="C1391" s="5" t="str">
        <f>IF(B1391="", IF(F1391="", "", C1390), IF(sample_log!E1391="Triennial SASS", "tri_params", "params"))</f>
        <v/>
      </c>
      <c r="D1391" s="5" t="str">
        <f>IF(B1391="", "", C1391 &amp; "!" &amp; CHAR(65+MATCH(B1391, params!$B$2:$R$2, 0)))</f>
        <v/>
      </c>
      <c r="E1391" s="5" t="str">
        <f ca="1">IF(B1391="", "", COUNTA(INDIRECT(D1391 &amp; 3):INDIRECT(D1391 &amp; 24)))</f>
        <v/>
      </c>
      <c r="F1391" s="5" t="str">
        <f t="shared" si="44"/>
        <v/>
      </c>
      <c r="G1391" s="5" t="str">
        <f>IF(F1391="", "", IF(B1391&lt;&gt;"", MATCH(B1391, params!$B$2:$R$2, 0), G1390))</f>
        <v/>
      </c>
      <c r="H1391" s="5" t="str">
        <f t="shared" ca="1" si="45"/>
        <v/>
      </c>
      <c r="M1391" s="2"/>
    </row>
    <row r="1392" spans="2:13" ht="15.6" x14ac:dyDescent="0.3">
      <c r="B1392" s="5" t="str">
        <f>IF(COUNTIF(data_val!$E$3:$E$5, sample_log!$E1392), sample_log!$C1392 &amp; "_" &amp; sample_log!$D1392, "")</f>
        <v/>
      </c>
      <c r="C1392" s="5" t="str">
        <f>IF(B1392="", IF(F1392="", "", C1391), IF(sample_log!E1392="Triennial SASS", "tri_params", "params"))</f>
        <v/>
      </c>
      <c r="D1392" s="5" t="str">
        <f>IF(B1392="", "", C1392 &amp; "!" &amp; CHAR(65+MATCH(B1392, params!$B$2:$R$2, 0)))</f>
        <v/>
      </c>
      <c r="E1392" s="5" t="str">
        <f ca="1">IF(B1392="", "", COUNTA(INDIRECT(D1392 &amp; 3):INDIRECT(D1392 &amp; 24)))</f>
        <v/>
      </c>
      <c r="F1392" s="5" t="str">
        <f t="shared" si="44"/>
        <v/>
      </c>
      <c r="G1392" s="5" t="str">
        <f>IF(F1392="", "", IF(B1392&lt;&gt;"", MATCH(B1392, params!$B$2:$R$2, 0), G1391))</f>
        <v/>
      </c>
      <c r="H1392" s="5" t="str">
        <f t="shared" ca="1" si="45"/>
        <v/>
      </c>
      <c r="M1392" s="2"/>
    </row>
    <row r="1393" spans="2:13" ht="15.6" x14ac:dyDescent="0.3">
      <c r="B1393" s="5" t="str">
        <f>IF(COUNTIF(data_val!$E$3:$E$5, sample_log!$E1393), sample_log!$C1393 &amp; "_" &amp; sample_log!$D1393, "")</f>
        <v/>
      </c>
      <c r="C1393" s="5" t="str">
        <f>IF(B1393="", IF(F1393="", "", C1392), IF(sample_log!E1393="Triennial SASS", "tri_params", "params"))</f>
        <v/>
      </c>
      <c r="D1393" s="5" t="str">
        <f>IF(B1393="", "", C1393 &amp; "!" &amp; CHAR(65+MATCH(B1393, params!$B$2:$R$2, 0)))</f>
        <v/>
      </c>
      <c r="E1393" s="5" t="str">
        <f ca="1">IF(B1393="", "", COUNTA(INDIRECT(D1393 &amp; 3):INDIRECT(D1393 &amp; 24)))</f>
        <v/>
      </c>
      <c r="F1393" s="5" t="str">
        <f t="shared" si="44"/>
        <v/>
      </c>
      <c r="G1393" s="5" t="str">
        <f>IF(F1393="", "", IF(B1393&lt;&gt;"", MATCH(B1393, params!$B$2:$R$2, 0), G1392))</f>
        <v/>
      </c>
      <c r="H1393" s="5" t="str">
        <f t="shared" ca="1" si="45"/>
        <v/>
      </c>
      <c r="M1393" s="2"/>
    </row>
    <row r="1394" spans="2:13" ht="15.6" x14ac:dyDescent="0.3">
      <c r="B1394" s="5" t="str">
        <f>IF(COUNTIF(data_val!$E$3:$E$5, sample_log!$E1394), sample_log!$C1394 &amp; "_" &amp; sample_log!$D1394, "")</f>
        <v/>
      </c>
      <c r="C1394" s="5" t="str">
        <f>IF(B1394="", IF(F1394="", "", C1393), IF(sample_log!E1394="Triennial SASS", "tri_params", "params"))</f>
        <v/>
      </c>
      <c r="D1394" s="5" t="str">
        <f>IF(B1394="", "", C1394 &amp; "!" &amp; CHAR(65+MATCH(B1394, params!$B$2:$R$2, 0)))</f>
        <v/>
      </c>
      <c r="E1394" s="5" t="str">
        <f ca="1">IF(B1394="", "", COUNTA(INDIRECT(D1394 &amp; 3):INDIRECT(D1394 &amp; 24)))</f>
        <v/>
      </c>
      <c r="F1394" s="5" t="str">
        <f t="shared" si="44"/>
        <v/>
      </c>
      <c r="G1394" s="5" t="str">
        <f>IF(F1394="", "", IF(B1394&lt;&gt;"", MATCH(B1394, params!$B$2:$R$2, 0), G1393))</f>
        <v/>
      </c>
      <c r="H1394" s="5" t="str">
        <f t="shared" ca="1" si="45"/>
        <v/>
      </c>
      <c r="M1394" s="2"/>
    </row>
    <row r="1395" spans="2:13" ht="15.6" x14ac:dyDescent="0.3">
      <c r="B1395" s="5" t="str">
        <f>IF(COUNTIF(data_val!$E$3:$E$5, sample_log!$E1395), sample_log!$C1395 &amp; "_" &amp; sample_log!$D1395, "")</f>
        <v/>
      </c>
      <c r="C1395" s="5" t="str">
        <f>IF(B1395="", IF(F1395="", "", C1394), IF(sample_log!E1395="Triennial SASS", "tri_params", "params"))</f>
        <v/>
      </c>
      <c r="D1395" s="5" t="str">
        <f>IF(B1395="", "", C1395 &amp; "!" &amp; CHAR(65+MATCH(B1395, params!$B$2:$R$2, 0)))</f>
        <v/>
      </c>
      <c r="E1395" s="5" t="str">
        <f ca="1">IF(B1395="", "", COUNTA(INDIRECT(D1395 &amp; 3):INDIRECT(D1395 &amp; 24)))</f>
        <v/>
      </c>
      <c r="F1395" s="5" t="str">
        <f t="shared" si="44"/>
        <v/>
      </c>
      <c r="G1395" s="5" t="str">
        <f>IF(F1395="", "", IF(B1395&lt;&gt;"", MATCH(B1395, params!$B$2:$R$2, 0), G1394))</f>
        <v/>
      </c>
      <c r="H1395" s="5" t="str">
        <f t="shared" ca="1" si="45"/>
        <v/>
      </c>
      <c r="M1395" s="2"/>
    </row>
    <row r="1396" spans="2:13" ht="15.6" x14ac:dyDescent="0.3">
      <c r="B1396" s="5" t="str">
        <f>IF(COUNTIF(data_val!$E$3:$E$5, sample_log!$E1396), sample_log!$C1396 &amp; "_" &amp; sample_log!$D1396, "")</f>
        <v/>
      </c>
      <c r="C1396" s="5" t="str">
        <f>IF(B1396="", IF(F1396="", "", C1395), IF(sample_log!E1396="Triennial SASS", "tri_params", "params"))</f>
        <v/>
      </c>
      <c r="D1396" s="5" t="str">
        <f>IF(B1396="", "", C1396 &amp; "!" &amp; CHAR(65+MATCH(B1396, params!$B$2:$R$2, 0)))</f>
        <v/>
      </c>
      <c r="E1396" s="5" t="str">
        <f ca="1">IF(B1396="", "", COUNTA(INDIRECT(D1396 &amp; 3):INDIRECT(D1396 &amp; 24)))</f>
        <v/>
      </c>
      <c r="F1396" s="5" t="str">
        <f t="shared" si="44"/>
        <v/>
      </c>
      <c r="G1396" s="5" t="str">
        <f>IF(F1396="", "", IF(B1396&lt;&gt;"", MATCH(B1396, params!$B$2:$R$2, 0), G1395))</f>
        <v/>
      </c>
      <c r="H1396" s="5" t="str">
        <f t="shared" ca="1" si="45"/>
        <v/>
      </c>
      <c r="M1396" s="2"/>
    </row>
    <row r="1397" spans="2:13" ht="15.6" x14ac:dyDescent="0.3">
      <c r="B1397" s="5" t="str">
        <f>IF(COUNTIF(data_val!$E$3:$E$5, sample_log!$E1397), sample_log!$C1397 &amp; "_" &amp; sample_log!$D1397, "")</f>
        <v/>
      </c>
      <c r="C1397" s="5" t="str">
        <f>IF(B1397="", IF(F1397="", "", C1396), IF(sample_log!E1397="Triennial SASS", "tri_params", "params"))</f>
        <v/>
      </c>
      <c r="D1397" s="5" t="str">
        <f>IF(B1397="", "", C1397 &amp; "!" &amp; CHAR(65+MATCH(B1397, params!$B$2:$R$2, 0)))</f>
        <v/>
      </c>
      <c r="E1397" s="5" t="str">
        <f ca="1">IF(B1397="", "", COUNTA(INDIRECT(D1397 &amp; 3):INDIRECT(D1397 &amp; 24)))</f>
        <v/>
      </c>
      <c r="F1397" s="5" t="str">
        <f t="shared" si="44"/>
        <v/>
      </c>
      <c r="G1397" s="5" t="str">
        <f>IF(F1397="", "", IF(B1397&lt;&gt;"", MATCH(B1397, params!$B$2:$R$2, 0), G1396))</f>
        <v/>
      </c>
      <c r="H1397" s="5" t="str">
        <f t="shared" ca="1" si="45"/>
        <v/>
      </c>
      <c r="M1397" s="2"/>
    </row>
    <row r="1398" spans="2:13" ht="15.6" x14ac:dyDescent="0.3">
      <c r="B1398" s="5" t="str">
        <f>IF(COUNTIF(data_val!$E$3:$E$5, sample_log!$E1398), sample_log!$C1398 &amp; "_" &amp; sample_log!$D1398, "")</f>
        <v/>
      </c>
      <c r="C1398" s="5" t="str">
        <f>IF(B1398="", IF(F1398="", "", C1397), IF(sample_log!E1398="Triennial SASS", "tri_params", "params"))</f>
        <v/>
      </c>
      <c r="D1398" s="5" t="str">
        <f>IF(B1398="", "", C1398 &amp; "!" &amp; CHAR(65+MATCH(B1398, params!$B$2:$R$2, 0)))</f>
        <v/>
      </c>
      <c r="E1398" s="5" t="str">
        <f ca="1">IF(B1398="", "", COUNTA(INDIRECT(D1398 &amp; 3):INDIRECT(D1398 &amp; 24)))</f>
        <v/>
      </c>
      <c r="F1398" s="5" t="str">
        <f t="shared" si="44"/>
        <v/>
      </c>
      <c r="G1398" s="5" t="str">
        <f>IF(F1398="", "", IF(B1398&lt;&gt;"", MATCH(B1398, params!$B$2:$R$2, 0), G1397))</f>
        <v/>
      </c>
      <c r="H1398" s="5" t="str">
        <f t="shared" ca="1" si="45"/>
        <v/>
      </c>
      <c r="M1398" s="2"/>
    </row>
    <row r="1399" spans="2:13" ht="15.6" x14ac:dyDescent="0.3">
      <c r="B1399" s="5" t="str">
        <f>IF(COUNTIF(data_val!$E$3:$E$5, sample_log!$E1399), sample_log!$C1399 &amp; "_" &amp; sample_log!$D1399, "")</f>
        <v/>
      </c>
      <c r="C1399" s="5" t="str">
        <f>IF(B1399="", IF(F1399="", "", C1398), IF(sample_log!E1399="Triennial SASS", "tri_params", "params"))</f>
        <v/>
      </c>
      <c r="D1399" s="5" t="str">
        <f>IF(B1399="", "", C1399 &amp; "!" &amp; CHAR(65+MATCH(B1399, params!$B$2:$R$2, 0)))</f>
        <v/>
      </c>
      <c r="E1399" s="5" t="str">
        <f ca="1">IF(B1399="", "", COUNTA(INDIRECT(D1399 &amp; 3):INDIRECT(D1399 &amp; 24)))</f>
        <v/>
      </c>
      <c r="F1399" s="5" t="str">
        <f t="shared" si="44"/>
        <v/>
      </c>
      <c r="G1399" s="5" t="str">
        <f>IF(F1399="", "", IF(B1399&lt;&gt;"", MATCH(B1399, params!$B$2:$R$2, 0), G1398))</f>
        <v/>
      </c>
      <c r="H1399" s="5" t="str">
        <f t="shared" ca="1" si="45"/>
        <v/>
      </c>
      <c r="M1399" s="2"/>
    </row>
    <row r="1400" spans="2:13" ht="15.6" x14ac:dyDescent="0.3">
      <c r="B1400" s="5" t="str">
        <f>IF(COUNTIF(data_val!$E$3:$E$5, sample_log!$E1400), sample_log!$C1400 &amp; "_" &amp; sample_log!$D1400, "")</f>
        <v/>
      </c>
      <c r="C1400" s="5" t="str">
        <f>IF(B1400="", IF(F1400="", "", C1399), IF(sample_log!E1400="Triennial SASS", "tri_params", "params"))</f>
        <v/>
      </c>
      <c r="D1400" s="5" t="str">
        <f>IF(B1400="", "", C1400 &amp; "!" &amp; CHAR(65+MATCH(B1400, params!$B$2:$R$2, 0)))</f>
        <v/>
      </c>
      <c r="E1400" s="5" t="str">
        <f ca="1">IF(B1400="", "", COUNTA(INDIRECT(D1400 &amp; 3):INDIRECT(D1400 &amp; 24)))</f>
        <v/>
      </c>
      <c r="F1400" s="5" t="str">
        <f t="shared" si="44"/>
        <v/>
      </c>
      <c r="G1400" s="5" t="str">
        <f>IF(F1400="", "", IF(B1400&lt;&gt;"", MATCH(B1400, params!$B$2:$R$2, 0), G1399))</f>
        <v/>
      </c>
      <c r="H1400" s="5" t="str">
        <f t="shared" ca="1" si="45"/>
        <v/>
      </c>
      <c r="M1400" s="2"/>
    </row>
    <row r="1401" spans="2:13" ht="15.6" x14ac:dyDescent="0.3">
      <c r="B1401" s="5" t="str">
        <f>IF(COUNTIF(data_val!$E$3:$E$5, sample_log!$E1401), sample_log!$C1401 &amp; "_" &amp; sample_log!$D1401, "")</f>
        <v/>
      </c>
      <c r="C1401" s="5" t="str">
        <f>IF(B1401="", IF(F1401="", "", C1400), IF(sample_log!E1401="Triennial SASS", "tri_params", "params"))</f>
        <v/>
      </c>
      <c r="D1401" s="5" t="str">
        <f>IF(B1401="", "", C1401 &amp; "!" &amp; CHAR(65+MATCH(B1401, params!$B$2:$R$2, 0)))</f>
        <v/>
      </c>
      <c r="E1401" s="5" t="str">
        <f ca="1">IF(B1401="", "", COUNTA(INDIRECT(D1401 &amp; 3):INDIRECT(D1401 &amp; 24)))</f>
        <v/>
      </c>
      <c r="F1401" s="5" t="str">
        <f t="shared" si="44"/>
        <v/>
      </c>
      <c r="G1401" s="5" t="str">
        <f>IF(F1401="", "", IF(B1401&lt;&gt;"", MATCH(B1401, params!$B$2:$R$2, 0), G1400))</f>
        <v/>
      </c>
      <c r="H1401" s="5" t="str">
        <f t="shared" ca="1" si="45"/>
        <v/>
      </c>
      <c r="M1401" s="2"/>
    </row>
    <row r="1402" spans="2:13" ht="15.6" x14ac:dyDescent="0.3">
      <c r="B1402" s="5" t="str">
        <f>IF(COUNTIF(data_val!$E$3:$E$5, sample_log!$E1402), sample_log!$C1402 &amp; "_" &amp; sample_log!$D1402, "")</f>
        <v/>
      </c>
      <c r="C1402" s="5" t="str">
        <f>IF(B1402="", IF(F1402="", "", C1401), IF(sample_log!E1402="Triennial SASS", "tri_params", "params"))</f>
        <v/>
      </c>
      <c r="D1402" s="5" t="str">
        <f>IF(B1402="", "", C1402 &amp; "!" &amp; CHAR(65+MATCH(B1402, params!$B$2:$R$2, 0)))</f>
        <v/>
      </c>
      <c r="E1402" s="5" t="str">
        <f ca="1">IF(B1402="", "", COUNTA(INDIRECT(D1402 &amp; 3):INDIRECT(D1402 &amp; 24)))</f>
        <v/>
      </c>
      <c r="F1402" s="5" t="str">
        <f t="shared" si="44"/>
        <v/>
      </c>
      <c r="G1402" s="5" t="str">
        <f>IF(F1402="", "", IF(B1402&lt;&gt;"", MATCH(B1402, params!$B$2:$R$2, 0), G1401))</f>
        <v/>
      </c>
      <c r="H1402" s="5" t="str">
        <f t="shared" ca="1" si="45"/>
        <v/>
      </c>
      <c r="M1402" s="2"/>
    </row>
    <row r="1403" spans="2:13" ht="15.6" x14ac:dyDescent="0.3">
      <c r="B1403" s="5" t="str">
        <f>IF(COUNTIF(data_val!$E$3:$E$5, sample_log!$E1403), sample_log!$C1403 &amp; "_" &amp; sample_log!$D1403, "")</f>
        <v/>
      </c>
      <c r="C1403" s="5" t="str">
        <f>IF(B1403="", IF(F1403="", "", C1402), IF(sample_log!E1403="Triennial SASS", "tri_params", "params"))</f>
        <v/>
      </c>
      <c r="D1403" s="5" t="str">
        <f>IF(B1403="", "", C1403 &amp; "!" &amp; CHAR(65+MATCH(B1403, params!$B$2:$R$2, 0)))</f>
        <v/>
      </c>
      <c r="E1403" s="5" t="str">
        <f ca="1">IF(B1403="", "", COUNTA(INDIRECT(D1403 &amp; 3):INDIRECT(D1403 &amp; 24)))</f>
        <v/>
      </c>
      <c r="F1403" s="5" t="str">
        <f t="shared" si="44"/>
        <v/>
      </c>
      <c r="G1403" s="5" t="str">
        <f>IF(F1403="", "", IF(B1403&lt;&gt;"", MATCH(B1403, params!$B$2:$R$2, 0), G1402))</f>
        <v/>
      </c>
      <c r="H1403" s="5" t="str">
        <f t="shared" ca="1" si="45"/>
        <v/>
      </c>
      <c r="M1403" s="2"/>
    </row>
    <row r="1404" spans="2:13" ht="15.6" x14ac:dyDescent="0.3">
      <c r="B1404" s="5" t="str">
        <f>IF(COUNTIF(data_val!$E$3:$E$5, sample_log!$E1404), sample_log!$C1404 &amp; "_" &amp; sample_log!$D1404, "")</f>
        <v/>
      </c>
      <c r="C1404" s="5" t="str">
        <f>IF(B1404="", IF(F1404="", "", C1403), IF(sample_log!E1404="Triennial SASS", "tri_params", "params"))</f>
        <v/>
      </c>
      <c r="D1404" s="5" t="str">
        <f>IF(B1404="", "", C1404 &amp; "!" &amp; CHAR(65+MATCH(B1404, params!$B$2:$R$2, 0)))</f>
        <v/>
      </c>
      <c r="E1404" s="5" t="str">
        <f ca="1">IF(B1404="", "", COUNTA(INDIRECT(D1404 &amp; 3):INDIRECT(D1404 &amp; 24)))</f>
        <v/>
      </c>
      <c r="F1404" s="5" t="str">
        <f t="shared" si="44"/>
        <v/>
      </c>
      <c r="G1404" s="5" t="str">
        <f>IF(F1404="", "", IF(B1404&lt;&gt;"", MATCH(B1404, params!$B$2:$R$2, 0), G1403))</f>
        <v/>
      </c>
      <c r="H1404" s="5" t="str">
        <f t="shared" ca="1" si="45"/>
        <v/>
      </c>
      <c r="M1404" s="2"/>
    </row>
    <row r="1405" spans="2:13" ht="15.6" x14ac:dyDescent="0.3">
      <c r="B1405" s="5" t="str">
        <f>IF(COUNTIF(data_val!$E$3:$E$5, sample_log!$E1405), sample_log!$C1405 &amp; "_" &amp; sample_log!$D1405, "")</f>
        <v/>
      </c>
      <c r="C1405" s="5" t="str">
        <f>IF(B1405="", IF(F1405="", "", C1404), IF(sample_log!E1405="Triennial SASS", "tri_params", "params"))</f>
        <v/>
      </c>
      <c r="D1405" s="5" t="str">
        <f>IF(B1405="", "", C1405 &amp; "!" &amp; CHAR(65+MATCH(B1405, params!$B$2:$R$2, 0)))</f>
        <v/>
      </c>
      <c r="E1405" s="5" t="str">
        <f ca="1">IF(B1405="", "", COUNTA(INDIRECT(D1405 &amp; 3):INDIRECT(D1405 &amp; 24)))</f>
        <v/>
      </c>
      <c r="F1405" s="5" t="str">
        <f t="shared" si="44"/>
        <v/>
      </c>
      <c r="G1405" s="5" t="str">
        <f>IF(F1405="", "", IF(B1405&lt;&gt;"", MATCH(B1405, params!$B$2:$R$2, 0), G1404))</f>
        <v/>
      </c>
      <c r="H1405" s="5" t="str">
        <f t="shared" ca="1" si="45"/>
        <v/>
      </c>
      <c r="M1405" s="2"/>
    </row>
    <row r="1406" spans="2:13" ht="15.6" x14ac:dyDescent="0.3">
      <c r="B1406" s="5" t="str">
        <f>IF(COUNTIF(data_val!$E$3:$E$5, sample_log!$E1406), sample_log!$C1406 &amp; "_" &amp; sample_log!$D1406, "")</f>
        <v/>
      </c>
      <c r="C1406" s="5" t="str">
        <f>IF(B1406="", IF(F1406="", "", C1405), IF(sample_log!E1406="Triennial SASS", "tri_params", "params"))</f>
        <v/>
      </c>
      <c r="D1406" s="5" t="str">
        <f>IF(B1406="", "", C1406 &amp; "!" &amp; CHAR(65+MATCH(B1406, params!$B$2:$R$2, 0)))</f>
        <v/>
      </c>
      <c r="E1406" s="5" t="str">
        <f ca="1">IF(B1406="", "", COUNTA(INDIRECT(D1406 &amp; 3):INDIRECT(D1406 &amp; 24)))</f>
        <v/>
      </c>
      <c r="F1406" s="5" t="str">
        <f t="shared" si="44"/>
        <v/>
      </c>
      <c r="G1406" s="5" t="str">
        <f>IF(F1406="", "", IF(B1406&lt;&gt;"", MATCH(B1406, params!$B$2:$R$2, 0), G1405))</f>
        <v/>
      </c>
      <c r="H1406" s="5" t="str">
        <f t="shared" ca="1" si="45"/>
        <v/>
      </c>
      <c r="M1406" s="2"/>
    </row>
    <row r="1407" spans="2:13" ht="15.6" x14ac:dyDescent="0.3">
      <c r="B1407" s="5" t="str">
        <f>IF(COUNTIF(data_val!$E$3:$E$5, sample_log!$E1407), sample_log!$C1407 &amp; "_" &amp; sample_log!$D1407, "")</f>
        <v/>
      </c>
      <c r="C1407" s="5" t="str">
        <f>IF(B1407="", IF(F1407="", "", C1406), IF(sample_log!E1407="Triennial SASS", "tri_params", "params"))</f>
        <v/>
      </c>
      <c r="D1407" s="5" t="str">
        <f>IF(B1407="", "", C1407 &amp; "!" &amp; CHAR(65+MATCH(B1407, params!$B$2:$R$2, 0)))</f>
        <v/>
      </c>
      <c r="E1407" s="5" t="str">
        <f ca="1">IF(B1407="", "", COUNTA(INDIRECT(D1407 &amp; 3):INDIRECT(D1407 &amp; 24)))</f>
        <v/>
      </c>
      <c r="F1407" s="5" t="str">
        <f t="shared" si="44"/>
        <v/>
      </c>
      <c r="G1407" s="5" t="str">
        <f>IF(F1407="", "", IF(B1407&lt;&gt;"", MATCH(B1407, params!$B$2:$R$2, 0), G1406))</f>
        <v/>
      </c>
      <c r="H1407" s="5" t="str">
        <f t="shared" ca="1" si="45"/>
        <v/>
      </c>
      <c r="M1407" s="2"/>
    </row>
    <row r="1408" spans="2:13" ht="15.6" x14ac:dyDescent="0.3">
      <c r="B1408" s="5" t="str">
        <f>IF(COUNTIF(data_val!$E$3:$E$5, sample_log!$E1408), sample_log!$C1408 &amp; "_" &amp; sample_log!$D1408, "")</f>
        <v/>
      </c>
      <c r="C1408" s="5" t="str">
        <f>IF(B1408="", IF(F1408="", "", C1407), IF(sample_log!E1408="Triennial SASS", "tri_params", "params"))</f>
        <v/>
      </c>
      <c r="D1408" s="5" t="str">
        <f>IF(B1408="", "", C1408 &amp; "!" &amp; CHAR(65+MATCH(B1408, params!$B$2:$R$2, 0)))</f>
        <v/>
      </c>
      <c r="E1408" s="5" t="str">
        <f ca="1">IF(B1408="", "", COUNTA(INDIRECT(D1408 &amp; 3):INDIRECT(D1408 &amp; 24)))</f>
        <v/>
      </c>
      <c r="F1408" s="5" t="str">
        <f t="shared" si="44"/>
        <v/>
      </c>
      <c r="G1408" s="5" t="str">
        <f>IF(F1408="", "", IF(B1408&lt;&gt;"", MATCH(B1408, params!$B$2:$R$2, 0), G1407))</f>
        <v/>
      </c>
      <c r="H1408" s="5" t="str">
        <f t="shared" ca="1" si="45"/>
        <v/>
      </c>
      <c r="M1408" s="2"/>
    </row>
    <row r="1409" spans="2:13" ht="15.6" x14ac:dyDescent="0.3">
      <c r="B1409" s="5" t="str">
        <f>IF(COUNTIF(data_val!$E$3:$E$5, sample_log!$E1409), sample_log!$C1409 &amp; "_" &amp; sample_log!$D1409, "")</f>
        <v/>
      </c>
      <c r="C1409" s="5" t="str">
        <f>IF(B1409="", IF(F1409="", "", C1408), IF(sample_log!E1409="Triennial SASS", "tri_params", "params"))</f>
        <v/>
      </c>
      <c r="D1409" s="5" t="str">
        <f>IF(B1409="", "", C1409 &amp; "!" &amp; CHAR(65+MATCH(B1409, params!$B$2:$R$2, 0)))</f>
        <v/>
      </c>
      <c r="E1409" s="5" t="str">
        <f ca="1">IF(B1409="", "", COUNTA(INDIRECT(D1409 &amp; 3):INDIRECT(D1409 &amp; 24)))</f>
        <v/>
      </c>
      <c r="F1409" s="5" t="str">
        <f t="shared" si="44"/>
        <v/>
      </c>
      <c r="G1409" s="5" t="str">
        <f>IF(F1409="", "", IF(B1409&lt;&gt;"", MATCH(B1409, params!$B$2:$R$2, 0), G1408))</f>
        <v/>
      </c>
      <c r="H1409" s="5" t="str">
        <f t="shared" ca="1" si="45"/>
        <v/>
      </c>
      <c r="M1409" s="2"/>
    </row>
    <row r="1410" spans="2:13" ht="15.6" x14ac:dyDescent="0.3">
      <c r="B1410" s="5" t="str">
        <f>IF(COUNTIF(data_val!$E$3:$E$5, sample_log!$E1410), sample_log!$C1410 &amp; "_" &amp; sample_log!$D1410, "")</f>
        <v/>
      </c>
      <c r="C1410" s="5" t="str">
        <f>IF(B1410="", IF(F1410="", "", C1409), IF(sample_log!E1410="Triennial SASS", "tri_params", "params"))</f>
        <v/>
      </c>
      <c r="D1410" s="5" t="str">
        <f>IF(B1410="", "", C1410 &amp; "!" &amp; CHAR(65+MATCH(B1410, params!$B$2:$R$2, 0)))</f>
        <v/>
      </c>
      <c r="E1410" s="5" t="str">
        <f ca="1">IF(B1410="", "", COUNTA(INDIRECT(D1410 &amp; 3):INDIRECT(D1410 &amp; 24)))</f>
        <v/>
      </c>
      <c r="F1410" s="5" t="str">
        <f t="shared" si="44"/>
        <v/>
      </c>
      <c r="G1410" s="5" t="str">
        <f>IF(F1410="", "", IF(B1410&lt;&gt;"", MATCH(B1410, params!$B$2:$R$2, 0), G1409))</f>
        <v/>
      </c>
      <c r="H1410" s="5" t="str">
        <f t="shared" ca="1" si="45"/>
        <v/>
      </c>
      <c r="M1410" s="2"/>
    </row>
    <row r="1411" spans="2:13" ht="15.6" x14ac:dyDescent="0.3">
      <c r="B1411" s="5" t="str">
        <f>IF(COUNTIF(data_val!$E$3:$E$5, sample_log!$E1411), sample_log!$C1411 &amp; "_" &amp; sample_log!$D1411, "")</f>
        <v/>
      </c>
      <c r="C1411" s="5" t="str">
        <f>IF(B1411="", IF(F1411="", "", C1410), IF(sample_log!E1411="Triennial SASS", "tri_params", "params"))</f>
        <v/>
      </c>
      <c r="D1411" s="5" t="str">
        <f>IF(B1411="", "", C1411 &amp; "!" &amp; CHAR(65+MATCH(B1411, params!$B$2:$R$2, 0)))</f>
        <v/>
      </c>
      <c r="E1411" s="5" t="str">
        <f ca="1">IF(B1411="", "", COUNTA(INDIRECT(D1411 &amp; 3):INDIRECT(D1411 &amp; 24)))</f>
        <v/>
      </c>
      <c r="F1411" s="5" t="str">
        <f t="shared" ref="F1411:F1474" si="46">IF(B1411="", IF(NOT(ISNUMBER(F1410)), "", IF(F1410-1&gt;0, F1410-1, "")), E1411)</f>
        <v/>
      </c>
      <c r="G1411" s="5" t="str">
        <f>IF(F1411="", "", IF(B1411&lt;&gt;"", MATCH(B1411, params!$B$2:$R$2, 0), G1410))</f>
        <v/>
      </c>
      <c r="H1411" s="5" t="str">
        <f t="shared" ca="1" si="45"/>
        <v/>
      </c>
      <c r="M1411" s="2"/>
    </row>
    <row r="1412" spans="2:13" ht="15.6" x14ac:dyDescent="0.3">
      <c r="B1412" s="5" t="str">
        <f>IF(COUNTIF(data_val!$E$3:$E$5, sample_log!$E1412), sample_log!$C1412 &amp; "_" &amp; sample_log!$D1412, "")</f>
        <v/>
      </c>
      <c r="C1412" s="5" t="str">
        <f>IF(B1412="", IF(F1412="", "", C1411), IF(sample_log!E1412="Triennial SASS", "tri_params", "params"))</f>
        <v/>
      </c>
      <c r="D1412" s="5" t="str">
        <f>IF(B1412="", "", C1412 &amp; "!" &amp; CHAR(65+MATCH(B1412, params!$B$2:$R$2, 0)))</f>
        <v/>
      </c>
      <c r="E1412" s="5" t="str">
        <f ca="1">IF(B1412="", "", COUNTA(INDIRECT(D1412 &amp; 3):INDIRECT(D1412 &amp; 24)))</f>
        <v/>
      </c>
      <c r="F1412" s="5" t="str">
        <f t="shared" si="46"/>
        <v/>
      </c>
      <c r="G1412" s="5" t="str">
        <f>IF(F1412="", "", IF(B1412&lt;&gt;"", MATCH(B1412, params!$B$2:$R$2, 0), G1411))</f>
        <v/>
      </c>
      <c r="H1412" s="5" t="str">
        <f t="shared" ca="1" si="45"/>
        <v/>
      </c>
      <c r="M1412" s="2"/>
    </row>
    <row r="1413" spans="2:13" ht="15.6" x14ac:dyDescent="0.3">
      <c r="B1413" s="5" t="str">
        <f>IF(COUNTIF(data_val!$E$3:$E$5, sample_log!$E1413), sample_log!$C1413 &amp; "_" &amp; sample_log!$D1413, "")</f>
        <v/>
      </c>
      <c r="C1413" s="5" t="str">
        <f>IF(B1413="", IF(F1413="", "", C1412), IF(sample_log!E1413="Triennial SASS", "tri_params", "params"))</f>
        <v/>
      </c>
      <c r="D1413" s="5" t="str">
        <f>IF(B1413="", "", C1413 &amp; "!" &amp; CHAR(65+MATCH(B1413, params!$B$2:$R$2, 0)))</f>
        <v/>
      </c>
      <c r="E1413" s="5" t="str">
        <f ca="1">IF(B1413="", "", COUNTA(INDIRECT(D1413 &amp; 3):INDIRECT(D1413 &amp; 24)))</f>
        <v/>
      </c>
      <c r="F1413" s="5" t="str">
        <f t="shared" si="46"/>
        <v/>
      </c>
      <c r="G1413" s="5" t="str">
        <f>IF(F1413="", "", IF(B1413&lt;&gt;"", MATCH(B1413, params!$B$2:$R$2, 0), G1412))</f>
        <v/>
      </c>
      <c r="H1413" s="5" t="str">
        <f t="shared" ca="1" si="45"/>
        <v/>
      </c>
      <c r="M1413" s="2"/>
    </row>
    <row r="1414" spans="2:13" ht="15.6" x14ac:dyDescent="0.3">
      <c r="B1414" s="5" t="str">
        <f>IF(COUNTIF(data_val!$E$3:$E$5, sample_log!$E1414), sample_log!$C1414 &amp; "_" &amp; sample_log!$D1414, "")</f>
        <v/>
      </c>
      <c r="C1414" s="5" t="str">
        <f>IF(B1414="", IF(F1414="", "", C1413), IF(sample_log!E1414="Triennial SASS", "tri_params", "params"))</f>
        <v/>
      </c>
      <c r="D1414" s="5" t="str">
        <f>IF(B1414="", "", C1414 &amp; "!" &amp; CHAR(65+MATCH(B1414, params!$B$2:$R$2, 0)))</f>
        <v/>
      </c>
      <c r="E1414" s="5" t="str">
        <f ca="1">IF(B1414="", "", COUNTA(INDIRECT(D1414 &amp; 3):INDIRECT(D1414 &amp; 24)))</f>
        <v/>
      </c>
      <c r="F1414" s="5" t="str">
        <f t="shared" si="46"/>
        <v/>
      </c>
      <c r="G1414" s="5" t="str">
        <f>IF(F1414="", "", IF(B1414&lt;&gt;"", MATCH(B1414, params!$B$2:$R$2, 0), G1413))</f>
        <v/>
      </c>
      <c r="H1414" s="5" t="str">
        <f t="shared" ca="1" si="45"/>
        <v/>
      </c>
      <c r="M1414" s="2"/>
    </row>
    <row r="1415" spans="2:13" ht="15.6" x14ac:dyDescent="0.3">
      <c r="B1415" s="5" t="str">
        <f>IF(COUNTIF(data_val!$E$3:$E$5, sample_log!$E1415), sample_log!$C1415 &amp; "_" &amp; sample_log!$D1415, "")</f>
        <v/>
      </c>
      <c r="C1415" s="5" t="str">
        <f>IF(B1415="", IF(F1415="", "", C1414), IF(sample_log!E1415="Triennial SASS", "tri_params", "params"))</f>
        <v/>
      </c>
      <c r="D1415" s="5" t="str">
        <f>IF(B1415="", "", C1415 &amp; "!" &amp; CHAR(65+MATCH(B1415, params!$B$2:$R$2, 0)))</f>
        <v/>
      </c>
      <c r="E1415" s="5" t="str">
        <f ca="1">IF(B1415="", "", COUNTA(INDIRECT(D1415 &amp; 3):INDIRECT(D1415 &amp; 24)))</f>
        <v/>
      </c>
      <c r="F1415" s="5" t="str">
        <f t="shared" si="46"/>
        <v/>
      </c>
      <c r="G1415" s="5" t="str">
        <f>IF(F1415="", "", IF(B1415&lt;&gt;"", MATCH(B1415, params!$B$2:$R$2, 0), G1414))</f>
        <v/>
      </c>
      <c r="H1415" s="5" t="str">
        <f t="shared" ca="1" si="45"/>
        <v/>
      </c>
      <c r="M1415" s="2"/>
    </row>
    <row r="1416" spans="2:13" ht="15.6" x14ac:dyDescent="0.3">
      <c r="B1416" s="5" t="str">
        <f>IF(COUNTIF(data_val!$E$3:$E$5, sample_log!$E1416), sample_log!$C1416 &amp; "_" &amp; sample_log!$D1416, "")</f>
        <v/>
      </c>
      <c r="C1416" s="5" t="str">
        <f>IF(B1416="", IF(F1416="", "", C1415), IF(sample_log!E1416="Triennial SASS", "tri_params", "params"))</f>
        <v/>
      </c>
      <c r="D1416" s="5" t="str">
        <f>IF(B1416="", "", C1416 &amp; "!" &amp; CHAR(65+MATCH(B1416, params!$B$2:$R$2, 0)))</f>
        <v/>
      </c>
      <c r="E1416" s="5" t="str">
        <f ca="1">IF(B1416="", "", COUNTA(INDIRECT(D1416 &amp; 3):INDIRECT(D1416 &amp; 24)))</f>
        <v/>
      </c>
      <c r="F1416" s="5" t="str">
        <f t="shared" si="46"/>
        <v/>
      </c>
      <c r="G1416" s="5" t="str">
        <f>IF(F1416="", "", IF(B1416&lt;&gt;"", MATCH(B1416, params!$B$2:$R$2, 0), G1415))</f>
        <v/>
      </c>
      <c r="H1416" s="5" t="str">
        <f t="shared" ca="1" si="45"/>
        <v/>
      </c>
      <c r="M1416" s="2"/>
    </row>
    <row r="1417" spans="2:13" ht="15.6" x14ac:dyDescent="0.3">
      <c r="B1417" s="5" t="str">
        <f>IF(COUNTIF(data_val!$E$3:$E$5, sample_log!$E1417), sample_log!$C1417 &amp; "_" &amp; sample_log!$D1417, "")</f>
        <v/>
      </c>
      <c r="C1417" s="5" t="str">
        <f>IF(B1417="", IF(F1417="", "", C1416), IF(sample_log!E1417="Triennial SASS", "tri_params", "params"))</f>
        <v/>
      </c>
      <c r="D1417" s="5" t="str">
        <f>IF(B1417="", "", C1417 &amp; "!" &amp; CHAR(65+MATCH(B1417, params!$B$2:$R$2, 0)))</f>
        <v/>
      </c>
      <c r="E1417" s="5" t="str">
        <f ca="1">IF(B1417="", "", COUNTA(INDIRECT(D1417 &amp; 3):INDIRECT(D1417 &amp; 24)))</f>
        <v/>
      </c>
      <c r="F1417" s="5" t="str">
        <f t="shared" si="46"/>
        <v/>
      </c>
      <c r="G1417" s="5" t="str">
        <f>IF(F1417="", "", IF(B1417&lt;&gt;"", MATCH(B1417, params!$B$2:$R$2, 0), G1416))</f>
        <v/>
      </c>
      <c r="H1417" s="5" t="str">
        <f t="shared" ca="1" si="45"/>
        <v/>
      </c>
      <c r="M1417" s="2"/>
    </row>
    <row r="1418" spans="2:13" ht="15.6" x14ac:dyDescent="0.3">
      <c r="B1418" s="5" t="str">
        <f>IF(COUNTIF(data_val!$E$3:$E$5, sample_log!$E1418), sample_log!$C1418 &amp; "_" &amp; sample_log!$D1418, "")</f>
        <v/>
      </c>
      <c r="C1418" s="5" t="str">
        <f>IF(B1418="", IF(F1418="", "", C1417), IF(sample_log!E1418="Triennial SASS", "tri_params", "params"))</f>
        <v/>
      </c>
      <c r="D1418" s="5" t="str">
        <f>IF(B1418="", "", C1418 &amp; "!" &amp; CHAR(65+MATCH(B1418, params!$B$2:$R$2, 0)))</f>
        <v/>
      </c>
      <c r="E1418" s="5" t="str">
        <f ca="1">IF(B1418="", "", COUNTA(INDIRECT(D1418 &amp; 3):INDIRECT(D1418 &amp; 24)))</f>
        <v/>
      </c>
      <c r="F1418" s="5" t="str">
        <f t="shared" si="46"/>
        <v/>
      </c>
      <c r="G1418" s="5" t="str">
        <f>IF(F1418="", "", IF(B1418&lt;&gt;"", MATCH(B1418, params!$B$2:$R$2, 0), G1417))</f>
        <v/>
      </c>
      <c r="H1418" s="5" t="str">
        <f t="shared" ca="1" si="45"/>
        <v/>
      </c>
      <c r="M1418" s="2"/>
    </row>
    <row r="1419" spans="2:13" ht="15.6" x14ac:dyDescent="0.3">
      <c r="B1419" s="5" t="str">
        <f>IF(COUNTIF(data_val!$E$3:$E$5, sample_log!$E1419), sample_log!$C1419 &amp; "_" &amp; sample_log!$D1419, "")</f>
        <v/>
      </c>
      <c r="C1419" s="5" t="str">
        <f>IF(B1419="", IF(F1419="", "", C1418), IF(sample_log!E1419="Triennial SASS", "tri_params", "params"))</f>
        <v/>
      </c>
      <c r="D1419" s="5" t="str">
        <f>IF(B1419="", "", C1419 &amp; "!" &amp; CHAR(65+MATCH(B1419, params!$B$2:$R$2, 0)))</f>
        <v/>
      </c>
      <c r="E1419" s="5" t="str">
        <f ca="1">IF(B1419="", "", COUNTA(INDIRECT(D1419 &amp; 3):INDIRECT(D1419 &amp; 24)))</f>
        <v/>
      </c>
      <c r="F1419" s="5" t="str">
        <f t="shared" si="46"/>
        <v/>
      </c>
      <c r="G1419" s="5" t="str">
        <f>IF(F1419="", "", IF(B1419&lt;&gt;"", MATCH(B1419, params!$B$2:$R$2, 0), G1418))</f>
        <v/>
      </c>
      <c r="H1419" s="5" t="str">
        <f t="shared" ca="1" si="45"/>
        <v/>
      </c>
      <c r="M1419" s="2"/>
    </row>
    <row r="1420" spans="2:13" ht="15.6" x14ac:dyDescent="0.3">
      <c r="B1420" s="5" t="str">
        <f>IF(COUNTIF(data_val!$E$3:$E$5, sample_log!$E1420), sample_log!$C1420 &amp; "_" &amp; sample_log!$D1420, "")</f>
        <v/>
      </c>
      <c r="C1420" s="5" t="str">
        <f>IF(B1420="", IF(F1420="", "", C1419), IF(sample_log!E1420="Triennial SASS", "tri_params", "params"))</f>
        <v/>
      </c>
      <c r="D1420" s="5" t="str">
        <f>IF(B1420="", "", C1420 &amp; "!" &amp; CHAR(65+MATCH(B1420, params!$B$2:$R$2, 0)))</f>
        <v/>
      </c>
      <c r="E1420" s="5" t="str">
        <f ca="1">IF(B1420="", "", COUNTA(INDIRECT(D1420 &amp; 3):INDIRECT(D1420 &amp; 24)))</f>
        <v/>
      </c>
      <c r="F1420" s="5" t="str">
        <f t="shared" si="46"/>
        <v/>
      </c>
      <c r="G1420" s="5" t="str">
        <f>IF(F1420="", "", IF(B1420&lt;&gt;"", MATCH(B1420, params!$B$2:$R$2, 0), G1419))</f>
        <v/>
      </c>
      <c r="H1420" s="5" t="str">
        <f t="shared" ca="1" si="45"/>
        <v/>
      </c>
      <c r="M1420" s="2"/>
    </row>
    <row r="1421" spans="2:13" ht="15.6" x14ac:dyDescent="0.3">
      <c r="B1421" s="5" t="str">
        <f>IF(COUNTIF(data_val!$E$3:$E$5, sample_log!$E1421), sample_log!$C1421 &amp; "_" &amp; sample_log!$D1421, "")</f>
        <v/>
      </c>
      <c r="C1421" s="5" t="str">
        <f>IF(B1421="", IF(F1421="", "", C1420), IF(sample_log!E1421="Triennial SASS", "tri_params", "params"))</f>
        <v/>
      </c>
      <c r="D1421" s="5" t="str">
        <f>IF(B1421="", "", C1421 &amp; "!" &amp; CHAR(65+MATCH(B1421, params!$B$2:$R$2, 0)))</f>
        <v/>
      </c>
      <c r="E1421" s="5" t="str">
        <f ca="1">IF(B1421="", "", COUNTA(INDIRECT(D1421 &amp; 3):INDIRECT(D1421 &amp; 24)))</f>
        <v/>
      </c>
      <c r="F1421" s="5" t="str">
        <f t="shared" si="46"/>
        <v/>
      </c>
      <c r="G1421" s="5" t="str">
        <f>IF(F1421="", "", IF(B1421&lt;&gt;"", MATCH(B1421, params!$B$2:$R$2, 0), G1420))</f>
        <v/>
      </c>
      <c r="H1421" s="5" t="str">
        <f t="shared" ca="1" si="45"/>
        <v/>
      </c>
      <c r="M1421" s="2"/>
    </row>
    <row r="1422" spans="2:13" ht="15.6" x14ac:dyDescent="0.3">
      <c r="B1422" s="5" t="str">
        <f>IF(COUNTIF(data_val!$E$3:$E$5, sample_log!$E1422), sample_log!$C1422 &amp; "_" &amp; sample_log!$D1422, "")</f>
        <v/>
      </c>
      <c r="C1422" s="5" t="str">
        <f>IF(B1422="", IF(F1422="", "", C1421), IF(sample_log!E1422="Triennial SASS", "tri_params", "params"))</f>
        <v/>
      </c>
      <c r="D1422" s="5" t="str">
        <f>IF(B1422="", "", C1422 &amp; "!" &amp; CHAR(65+MATCH(B1422, params!$B$2:$R$2, 0)))</f>
        <v/>
      </c>
      <c r="E1422" s="5" t="str">
        <f ca="1">IF(B1422="", "", COUNTA(INDIRECT(D1422 &amp; 3):INDIRECT(D1422 &amp; 24)))</f>
        <v/>
      </c>
      <c r="F1422" s="5" t="str">
        <f t="shared" si="46"/>
        <v/>
      </c>
      <c r="G1422" s="5" t="str">
        <f>IF(F1422="", "", IF(B1422&lt;&gt;"", MATCH(B1422, params!$B$2:$R$2, 0), G1421))</f>
        <v/>
      </c>
      <c r="H1422" s="5" t="str">
        <f t="shared" ca="1" si="45"/>
        <v/>
      </c>
      <c r="M1422" s="2"/>
    </row>
    <row r="1423" spans="2:13" ht="15.6" x14ac:dyDescent="0.3">
      <c r="B1423" s="5" t="str">
        <f>IF(COUNTIF(data_val!$E$3:$E$5, sample_log!$E1423), sample_log!$C1423 &amp; "_" &amp; sample_log!$D1423, "")</f>
        <v/>
      </c>
      <c r="C1423" s="5" t="str">
        <f>IF(B1423="", IF(F1423="", "", C1422), IF(sample_log!E1423="Triennial SASS", "tri_params", "params"))</f>
        <v/>
      </c>
      <c r="D1423" s="5" t="str">
        <f>IF(B1423="", "", C1423 &amp; "!" &amp; CHAR(65+MATCH(B1423, params!$B$2:$R$2, 0)))</f>
        <v/>
      </c>
      <c r="E1423" s="5" t="str">
        <f ca="1">IF(B1423="", "", COUNTA(INDIRECT(D1423 &amp; 3):INDIRECT(D1423 &amp; 24)))</f>
        <v/>
      </c>
      <c r="F1423" s="5" t="str">
        <f t="shared" si="46"/>
        <v/>
      </c>
      <c r="G1423" s="5" t="str">
        <f>IF(F1423="", "", IF(B1423&lt;&gt;"", MATCH(B1423, params!$B$2:$R$2, 0), G1422))</f>
        <v/>
      </c>
      <c r="H1423" s="5" t="str">
        <f t="shared" ca="1" si="45"/>
        <v/>
      </c>
      <c r="M1423" s="2"/>
    </row>
    <row r="1424" spans="2:13" ht="15.6" x14ac:dyDescent="0.3">
      <c r="B1424" s="5" t="str">
        <f>IF(COUNTIF(data_val!$E$3:$E$5, sample_log!$E1424), sample_log!$C1424 &amp; "_" &amp; sample_log!$D1424, "")</f>
        <v/>
      </c>
      <c r="C1424" s="5" t="str">
        <f>IF(B1424="", IF(F1424="", "", C1423), IF(sample_log!E1424="Triennial SASS", "tri_params", "params"))</f>
        <v/>
      </c>
      <c r="D1424" s="5" t="str">
        <f>IF(B1424="", "", C1424 &amp; "!" &amp; CHAR(65+MATCH(B1424, params!$B$2:$R$2, 0)))</f>
        <v/>
      </c>
      <c r="E1424" s="5" t="str">
        <f ca="1">IF(B1424="", "", COUNTA(INDIRECT(D1424 &amp; 3):INDIRECT(D1424 &amp; 24)))</f>
        <v/>
      </c>
      <c r="F1424" s="5" t="str">
        <f t="shared" si="46"/>
        <v/>
      </c>
      <c r="G1424" s="5" t="str">
        <f>IF(F1424="", "", IF(B1424&lt;&gt;"", MATCH(B1424, params!$B$2:$R$2, 0), G1423))</f>
        <v/>
      </c>
      <c r="H1424" s="5" t="str">
        <f t="shared" ca="1" si="45"/>
        <v/>
      </c>
      <c r="M1424" s="2"/>
    </row>
    <row r="1425" spans="2:13" ht="15.6" x14ac:dyDescent="0.3">
      <c r="B1425" s="5" t="str">
        <f>IF(COUNTIF(data_val!$E$3:$E$5, sample_log!$E1425), sample_log!$C1425 &amp; "_" &amp; sample_log!$D1425, "")</f>
        <v/>
      </c>
      <c r="C1425" s="5" t="str">
        <f>IF(B1425="", IF(F1425="", "", C1424), IF(sample_log!E1425="Triennial SASS", "tri_params", "params"))</f>
        <v/>
      </c>
      <c r="D1425" s="5" t="str">
        <f>IF(B1425="", "", C1425 &amp; "!" &amp; CHAR(65+MATCH(B1425, params!$B$2:$R$2, 0)))</f>
        <v/>
      </c>
      <c r="E1425" s="5" t="str">
        <f ca="1">IF(B1425="", "", COUNTA(INDIRECT(D1425 &amp; 3):INDIRECT(D1425 &amp; 24)))</f>
        <v/>
      </c>
      <c r="F1425" s="5" t="str">
        <f t="shared" si="46"/>
        <v/>
      </c>
      <c r="G1425" s="5" t="str">
        <f>IF(F1425="", "", IF(B1425&lt;&gt;"", MATCH(B1425, params!$B$2:$R$2, 0), G1424))</f>
        <v/>
      </c>
      <c r="H1425" s="5" t="str">
        <f t="shared" ca="1" si="45"/>
        <v/>
      </c>
      <c r="M1425" s="2"/>
    </row>
    <row r="1426" spans="2:13" ht="15.6" x14ac:dyDescent="0.3">
      <c r="B1426" s="5" t="str">
        <f>IF(COUNTIF(data_val!$E$3:$E$5, sample_log!$E1426), sample_log!$C1426 &amp; "_" &amp; sample_log!$D1426, "")</f>
        <v/>
      </c>
      <c r="C1426" s="5" t="str">
        <f>IF(B1426="", IF(F1426="", "", C1425), IF(sample_log!E1426="Triennial SASS", "tri_params", "params"))</f>
        <v/>
      </c>
      <c r="D1426" s="5" t="str">
        <f>IF(B1426="", "", C1426 &amp; "!" &amp; CHAR(65+MATCH(B1426, params!$B$2:$R$2, 0)))</f>
        <v/>
      </c>
      <c r="E1426" s="5" t="str">
        <f ca="1">IF(B1426="", "", COUNTA(INDIRECT(D1426 &amp; 3):INDIRECT(D1426 &amp; 24)))</f>
        <v/>
      </c>
      <c r="F1426" s="5" t="str">
        <f t="shared" si="46"/>
        <v/>
      </c>
      <c r="G1426" s="5" t="str">
        <f>IF(F1426="", "", IF(B1426&lt;&gt;"", MATCH(B1426, params!$B$2:$R$2, 0), G1425))</f>
        <v/>
      </c>
      <c r="H1426" s="5" t="str">
        <f t="shared" ca="1" si="45"/>
        <v/>
      </c>
      <c r="M1426" s="2"/>
    </row>
    <row r="1427" spans="2:13" ht="15.6" x14ac:dyDescent="0.3">
      <c r="B1427" s="5" t="str">
        <f>IF(COUNTIF(data_val!$E$3:$E$5, sample_log!$E1427), sample_log!$C1427 &amp; "_" &amp; sample_log!$D1427, "")</f>
        <v/>
      </c>
      <c r="C1427" s="5" t="str">
        <f>IF(B1427="", IF(F1427="", "", C1426), IF(sample_log!E1427="Triennial SASS", "tri_params", "params"))</f>
        <v/>
      </c>
      <c r="D1427" s="5" t="str">
        <f>IF(B1427="", "", C1427 &amp; "!" &amp; CHAR(65+MATCH(B1427, params!$B$2:$R$2, 0)))</f>
        <v/>
      </c>
      <c r="E1427" s="5" t="str">
        <f ca="1">IF(B1427="", "", COUNTA(INDIRECT(D1427 &amp; 3):INDIRECT(D1427 &amp; 24)))</f>
        <v/>
      </c>
      <c r="F1427" s="5" t="str">
        <f t="shared" si="46"/>
        <v/>
      </c>
      <c r="G1427" s="5" t="str">
        <f>IF(F1427="", "", IF(B1427&lt;&gt;"", MATCH(B1427, params!$B$2:$R$2, 0), G1426))</f>
        <v/>
      </c>
      <c r="H1427" s="5" t="str">
        <f t="shared" ca="1" si="45"/>
        <v/>
      </c>
      <c r="M1427" s="2"/>
    </row>
    <row r="1428" spans="2:13" ht="15.6" x14ac:dyDescent="0.3">
      <c r="B1428" s="5" t="str">
        <f>IF(COUNTIF(data_val!$E$3:$E$5, sample_log!$E1428), sample_log!$C1428 &amp; "_" &amp; sample_log!$D1428, "")</f>
        <v/>
      </c>
      <c r="C1428" s="5" t="str">
        <f>IF(B1428="", IF(F1428="", "", C1427), IF(sample_log!E1428="Triennial SASS", "tri_params", "params"))</f>
        <v/>
      </c>
      <c r="D1428" s="5" t="str">
        <f>IF(B1428="", "", C1428 &amp; "!" &amp; CHAR(65+MATCH(B1428, params!$B$2:$R$2, 0)))</f>
        <v/>
      </c>
      <c r="E1428" s="5" t="str">
        <f ca="1">IF(B1428="", "", COUNTA(INDIRECT(D1428 &amp; 3):INDIRECT(D1428 &amp; 24)))</f>
        <v/>
      </c>
      <c r="F1428" s="5" t="str">
        <f t="shared" si="46"/>
        <v/>
      </c>
      <c r="G1428" s="5" t="str">
        <f>IF(F1428="", "", IF(B1428&lt;&gt;"", MATCH(B1428, params!$B$2:$R$2, 0), G1427))</f>
        <v/>
      </c>
      <c r="H1428" s="5" t="str">
        <f t="shared" ca="1" si="45"/>
        <v/>
      </c>
      <c r="M1428" s="2"/>
    </row>
    <row r="1429" spans="2:13" ht="15.6" x14ac:dyDescent="0.3">
      <c r="B1429" s="5" t="str">
        <f>IF(COUNTIF(data_val!$E$3:$E$5, sample_log!$E1429), sample_log!$C1429 &amp; "_" &amp; sample_log!$D1429, "")</f>
        <v/>
      </c>
      <c r="C1429" s="5" t="str">
        <f>IF(B1429="", IF(F1429="", "", C1428), IF(sample_log!E1429="Triennial SASS", "tri_params", "params"))</f>
        <v/>
      </c>
      <c r="D1429" s="5" t="str">
        <f>IF(B1429="", "", C1429 &amp; "!" &amp; CHAR(65+MATCH(B1429, params!$B$2:$R$2, 0)))</f>
        <v/>
      </c>
      <c r="E1429" s="5" t="str">
        <f ca="1">IF(B1429="", "", COUNTA(INDIRECT(D1429 &amp; 3):INDIRECT(D1429 &amp; 24)))</f>
        <v/>
      </c>
      <c r="F1429" s="5" t="str">
        <f t="shared" si="46"/>
        <v/>
      </c>
      <c r="G1429" s="5" t="str">
        <f>IF(F1429="", "", IF(B1429&lt;&gt;"", MATCH(B1429, params!$B$2:$R$2, 0), G1428))</f>
        <v/>
      </c>
      <c r="H1429" s="5" t="str">
        <f t="shared" ca="1" si="45"/>
        <v/>
      </c>
      <c r="M1429" s="2"/>
    </row>
    <row r="1430" spans="2:13" ht="15.6" x14ac:dyDescent="0.3">
      <c r="B1430" s="5" t="str">
        <f>IF(COUNTIF(data_val!$E$3:$E$5, sample_log!$E1430), sample_log!$C1430 &amp; "_" &amp; sample_log!$D1430, "")</f>
        <v/>
      </c>
      <c r="C1430" s="5" t="str">
        <f>IF(B1430="", IF(F1430="", "", C1429), IF(sample_log!E1430="Triennial SASS", "tri_params", "params"))</f>
        <v/>
      </c>
      <c r="D1430" s="5" t="str">
        <f>IF(B1430="", "", C1430 &amp; "!" &amp; CHAR(65+MATCH(B1430, params!$B$2:$R$2, 0)))</f>
        <v/>
      </c>
      <c r="E1430" s="5" t="str">
        <f ca="1">IF(B1430="", "", COUNTA(INDIRECT(D1430 &amp; 3):INDIRECT(D1430 &amp; 24)))</f>
        <v/>
      </c>
      <c r="F1430" s="5" t="str">
        <f t="shared" si="46"/>
        <v/>
      </c>
      <c r="G1430" s="5" t="str">
        <f>IF(F1430="", "", IF(B1430&lt;&gt;"", MATCH(B1430, params!$B$2:$R$2, 0), G1429))</f>
        <v/>
      </c>
      <c r="H1430" s="5" t="str">
        <f t="shared" ca="1" si="45"/>
        <v/>
      </c>
      <c r="M1430" s="2"/>
    </row>
    <row r="1431" spans="2:13" ht="15.6" x14ac:dyDescent="0.3">
      <c r="B1431" s="5" t="str">
        <f>IF(COUNTIF(data_val!$E$3:$E$5, sample_log!$E1431), sample_log!$C1431 &amp; "_" &amp; sample_log!$D1431, "")</f>
        <v/>
      </c>
      <c r="C1431" s="5" t="str">
        <f>IF(B1431="", IF(F1431="", "", C1430), IF(sample_log!E1431="Triennial SASS", "tri_params", "params"))</f>
        <v/>
      </c>
      <c r="D1431" s="5" t="str">
        <f>IF(B1431="", "", C1431 &amp; "!" &amp; CHAR(65+MATCH(B1431, params!$B$2:$R$2, 0)))</f>
        <v/>
      </c>
      <c r="E1431" s="5" t="str">
        <f ca="1">IF(B1431="", "", COUNTA(INDIRECT(D1431 &amp; 3):INDIRECT(D1431 &amp; 24)))</f>
        <v/>
      </c>
      <c r="F1431" s="5" t="str">
        <f t="shared" si="46"/>
        <v/>
      </c>
      <c r="G1431" s="5" t="str">
        <f>IF(F1431="", "", IF(B1431&lt;&gt;"", MATCH(B1431, params!$B$2:$R$2, 0), G1430))</f>
        <v/>
      </c>
      <c r="H1431" s="5" t="str">
        <f t="shared" ca="1" si="45"/>
        <v/>
      </c>
      <c r="M1431" s="2"/>
    </row>
    <row r="1432" spans="2:13" ht="15.6" x14ac:dyDescent="0.3">
      <c r="B1432" s="5" t="str">
        <f>IF(COUNTIF(data_val!$E$3:$E$5, sample_log!$E1432), sample_log!$C1432 &amp; "_" &amp; sample_log!$D1432, "")</f>
        <v/>
      </c>
      <c r="C1432" s="5" t="str">
        <f>IF(B1432="", IF(F1432="", "", C1431), IF(sample_log!E1432="Triennial SASS", "tri_params", "params"))</f>
        <v/>
      </c>
      <c r="D1432" s="5" t="str">
        <f>IF(B1432="", "", C1432 &amp; "!" &amp; CHAR(65+MATCH(B1432, params!$B$2:$R$2, 0)))</f>
        <v/>
      </c>
      <c r="E1432" s="5" t="str">
        <f ca="1">IF(B1432="", "", COUNTA(INDIRECT(D1432 &amp; 3):INDIRECT(D1432 &amp; 24)))</f>
        <v/>
      </c>
      <c r="F1432" s="5" t="str">
        <f t="shared" si="46"/>
        <v/>
      </c>
      <c r="G1432" s="5" t="str">
        <f>IF(F1432="", "", IF(B1432&lt;&gt;"", MATCH(B1432, params!$B$2:$R$2, 0), G1431))</f>
        <v/>
      </c>
      <c r="H1432" s="5" t="str">
        <f t="shared" ca="1" si="45"/>
        <v/>
      </c>
      <c r="M1432" s="2"/>
    </row>
    <row r="1433" spans="2:13" ht="15.6" x14ac:dyDescent="0.3">
      <c r="B1433" s="5" t="str">
        <f>IF(COUNTIF(data_val!$E$3:$E$5, sample_log!$E1433), sample_log!$C1433 &amp; "_" &amp; sample_log!$D1433, "")</f>
        <v/>
      </c>
      <c r="C1433" s="5" t="str">
        <f>IF(B1433="", IF(F1433="", "", C1432), IF(sample_log!E1433="Triennial SASS", "tri_params", "params"))</f>
        <v/>
      </c>
      <c r="D1433" s="5" t="str">
        <f>IF(B1433="", "", C1433 &amp; "!" &amp; CHAR(65+MATCH(B1433, params!$B$2:$R$2, 0)))</f>
        <v/>
      </c>
      <c r="E1433" s="5" t="str">
        <f ca="1">IF(B1433="", "", COUNTA(INDIRECT(D1433 &amp; 3):INDIRECT(D1433 &amp; 24)))</f>
        <v/>
      </c>
      <c r="F1433" s="5" t="str">
        <f t="shared" si="46"/>
        <v/>
      </c>
      <c r="G1433" s="5" t="str">
        <f>IF(F1433="", "", IF(B1433&lt;&gt;"", MATCH(B1433, params!$B$2:$R$2, 0), G1432))</f>
        <v/>
      </c>
      <c r="H1433" s="5" t="str">
        <f t="shared" ref="H1433:H1496" ca="1" si="47">IF($F1433="", "", INDEX(INDIRECT("'" &amp; C1433 &amp; "'!$B$3:$R$24"), $F1433, $G1433))</f>
        <v/>
      </c>
      <c r="M1433" s="2"/>
    </row>
    <row r="1434" spans="2:13" ht="15.6" x14ac:dyDescent="0.3">
      <c r="B1434" s="5" t="str">
        <f>IF(COUNTIF(data_val!$E$3:$E$5, sample_log!$E1434), sample_log!$C1434 &amp; "_" &amp; sample_log!$D1434, "")</f>
        <v/>
      </c>
      <c r="C1434" s="5" t="str">
        <f>IF(B1434="", IF(F1434="", "", C1433), IF(sample_log!E1434="Triennial SASS", "tri_params", "params"))</f>
        <v/>
      </c>
      <c r="D1434" s="5" t="str">
        <f>IF(B1434="", "", C1434 &amp; "!" &amp; CHAR(65+MATCH(B1434, params!$B$2:$R$2, 0)))</f>
        <v/>
      </c>
      <c r="E1434" s="5" t="str">
        <f ca="1">IF(B1434="", "", COUNTA(INDIRECT(D1434 &amp; 3):INDIRECT(D1434 &amp; 24)))</f>
        <v/>
      </c>
      <c r="F1434" s="5" t="str">
        <f t="shared" si="46"/>
        <v/>
      </c>
      <c r="G1434" s="5" t="str">
        <f>IF(F1434="", "", IF(B1434&lt;&gt;"", MATCH(B1434, params!$B$2:$R$2, 0), G1433))</f>
        <v/>
      </c>
      <c r="H1434" s="5" t="str">
        <f t="shared" ca="1" si="47"/>
        <v/>
      </c>
      <c r="M1434" s="2"/>
    </row>
    <row r="1435" spans="2:13" ht="15.6" x14ac:dyDescent="0.3">
      <c r="B1435" s="5" t="str">
        <f>IF(COUNTIF(data_val!$E$3:$E$5, sample_log!$E1435), sample_log!$C1435 &amp; "_" &amp; sample_log!$D1435, "")</f>
        <v/>
      </c>
      <c r="C1435" s="5" t="str">
        <f>IF(B1435="", IF(F1435="", "", C1434), IF(sample_log!E1435="Triennial SASS", "tri_params", "params"))</f>
        <v/>
      </c>
      <c r="D1435" s="5" t="str">
        <f>IF(B1435="", "", C1435 &amp; "!" &amp; CHAR(65+MATCH(B1435, params!$B$2:$R$2, 0)))</f>
        <v/>
      </c>
      <c r="E1435" s="5" t="str">
        <f ca="1">IF(B1435="", "", COUNTA(INDIRECT(D1435 &amp; 3):INDIRECT(D1435 &amp; 24)))</f>
        <v/>
      </c>
      <c r="F1435" s="5" t="str">
        <f t="shared" si="46"/>
        <v/>
      </c>
      <c r="G1435" s="5" t="str">
        <f>IF(F1435="", "", IF(B1435&lt;&gt;"", MATCH(B1435, params!$B$2:$R$2, 0), G1434))</f>
        <v/>
      </c>
      <c r="H1435" s="5" t="str">
        <f t="shared" ca="1" si="47"/>
        <v/>
      </c>
      <c r="M1435" s="2"/>
    </row>
    <row r="1436" spans="2:13" ht="15.6" x14ac:dyDescent="0.3">
      <c r="B1436" s="5" t="str">
        <f>IF(COUNTIF(data_val!$E$3:$E$5, sample_log!$E1436), sample_log!$C1436 &amp; "_" &amp; sample_log!$D1436, "")</f>
        <v/>
      </c>
      <c r="C1436" s="5" t="str">
        <f>IF(B1436="", IF(F1436="", "", C1435), IF(sample_log!E1436="Triennial SASS", "tri_params", "params"))</f>
        <v/>
      </c>
      <c r="D1436" s="5" t="str">
        <f>IF(B1436="", "", C1436 &amp; "!" &amp; CHAR(65+MATCH(B1436, params!$B$2:$R$2, 0)))</f>
        <v/>
      </c>
      <c r="E1436" s="5" t="str">
        <f ca="1">IF(B1436="", "", COUNTA(INDIRECT(D1436 &amp; 3):INDIRECT(D1436 &amp; 24)))</f>
        <v/>
      </c>
      <c r="F1436" s="5" t="str">
        <f t="shared" si="46"/>
        <v/>
      </c>
      <c r="G1436" s="5" t="str">
        <f>IF(F1436="", "", IF(B1436&lt;&gt;"", MATCH(B1436, params!$B$2:$R$2, 0), G1435))</f>
        <v/>
      </c>
      <c r="H1436" s="5" t="str">
        <f t="shared" ca="1" si="47"/>
        <v/>
      </c>
      <c r="M1436" s="2"/>
    </row>
    <row r="1437" spans="2:13" ht="15.6" x14ac:dyDescent="0.3">
      <c r="B1437" s="5" t="str">
        <f>IF(COUNTIF(data_val!$E$3:$E$5, sample_log!$E1437), sample_log!$C1437 &amp; "_" &amp; sample_log!$D1437, "")</f>
        <v/>
      </c>
      <c r="C1437" s="5" t="str">
        <f>IF(B1437="", IF(F1437="", "", C1436), IF(sample_log!E1437="Triennial SASS", "tri_params", "params"))</f>
        <v/>
      </c>
      <c r="D1437" s="5" t="str">
        <f>IF(B1437="", "", C1437 &amp; "!" &amp; CHAR(65+MATCH(B1437, params!$B$2:$R$2, 0)))</f>
        <v/>
      </c>
      <c r="E1437" s="5" t="str">
        <f ca="1">IF(B1437="", "", COUNTA(INDIRECT(D1437 &amp; 3):INDIRECT(D1437 &amp; 24)))</f>
        <v/>
      </c>
      <c r="F1437" s="5" t="str">
        <f t="shared" si="46"/>
        <v/>
      </c>
      <c r="G1437" s="5" t="str">
        <f>IF(F1437="", "", IF(B1437&lt;&gt;"", MATCH(B1437, params!$B$2:$R$2, 0), G1436))</f>
        <v/>
      </c>
      <c r="H1437" s="5" t="str">
        <f t="shared" ca="1" si="47"/>
        <v/>
      </c>
      <c r="M1437" s="2"/>
    </row>
    <row r="1438" spans="2:13" ht="15.6" x14ac:dyDescent="0.3">
      <c r="B1438" s="5" t="str">
        <f>IF(COUNTIF(data_val!$E$3:$E$5, sample_log!$E1438), sample_log!$C1438 &amp; "_" &amp; sample_log!$D1438, "")</f>
        <v/>
      </c>
      <c r="C1438" s="5" t="str">
        <f>IF(B1438="", IF(F1438="", "", C1437), IF(sample_log!E1438="Triennial SASS", "tri_params", "params"))</f>
        <v/>
      </c>
      <c r="D1438" s="5" t="str">
        <f>IF(B1438="", "", C1438 &amp; "!" &amp; CHAR(65+MATCH(B1438, params!$B$2:$R$2, 0)))</f>
        <v/>
      </c>
      <c r="E1438" s="5" t="str">
        <f ca="1">IF(B1438="", "", COUNTA(INDIRECT(D1438 &amp; 3):INDIRECT(D1438 &amp; 24)))</f>
        <v/>
      </c>
      <c r="F1438" s="5" t="str">
        <f t="shared" si="46"/>
        <v/>
      </c>
      <c r="G1438" s="5" t="str">
        <f>IF(F1438="", "", IF(B1438&lt;&gt;"", MATCH(B1438, params!$B$2:$R$2, 0), G1437))</f>
        <v/>
      </c>
      <c r="H1438" s="5" t="str">
        <f t="shared" ca="1" si="47"/>
        <v/>
      </c>
      <c r="M1438" s="2"/>
    </row>
    <row r="1439" spans="2:13" ht="15.6" x14ac:dyDescent="0.3">
      <c r="B1439" s="5" t="str">
        <f>IF(COUNTIF(data_val!$E$3:$E$5, sample_log!$E1439), sample_log!$C1439 &amp; "_" &amp; sample_log!$D1439, "")</f>
        <v/>
      </c>
      <c r="C1439" s="5" t="str">
        <f>IF(B1439="", IF(F1439="", "", C1438), IF(sample_log!E1439="Triennial SASS", "tri_params", "params"))</f>
        <v/>
      </c>
      <c r="D1439" s="5" t="str">
        <f>IF(B1439="", "", C1439 &amp; "!" &amp; CHAR(65+MATCH(B1439, params!$B$2:$R$2, 0)))</f>
        <v/>
      </c>
      <c r="E1439" s="5" t="str">
        <f ca="1">IF(B1439="", "", COUNTA(INDIRECT(D1439 &amp; 3):INDIRECT(D1439 &amp; 24)))</f>
        <v/>
      </c>
      <c r="F1439" s="5" t="str">
        <f t="shared" si="46"/>
        <v/>
      </c>
      <c r="G1439" s="5" t="str">
        <f>IF(F1439="", "", IF(B1439&lt;&gt;"", MATCH(B1439, params!$B$2:$R$2, 0), G1438))</f>
        <v/>
      </c>
      <c r="H1439" s="5" t="str">
        <f t="shared" ca="1" si="47"/>
        <v/>
      </c>
      <c r="M1439" s="2"/>
    </row>
    <row r="1440" spans="2:13" ht="15.6" x14ac:dyDescent="0.3">
      <c r="B1440" s="5" t="str">
        <f>IF(COUNTIF(data_val!$E$3:$E$5, sample_log!$E1440), sample_log!$C1440 &amp; "_" &amp; sample_log!$D1440, "")</f>
        <v/>
      </c>
      <c r="C1440" s="5" t="str">
        <f>IF(B1440="", IF(F1440="", "", C1439), IF(sample_log!E1440="Triennial SASS", "tri_params", "params"))</f>
        <v/>
      </c>
      <c r="D1440" s="5" t="str">
        <f>IF(B1440="", "", C1440 &amp; "!" &amp; CHAR(65+MATCH(B1440, params!$B$2:$R$2, 0)))</f>
        <v/>
      </c>
      <c r="E1440" s="5" t="str">
        <f ca="1">IF(B1440="", "", COUNTA(INDIRECT(D1440 &amp; 3):INDIRECT(D1440 &amp; 24)))</f>
        <v/>
      </c>
      <c r="F1440" s="5" t="str">
        <f t="shared" si="46"/>
        <v/>
      </c>
      <c r="G1440" s="5" t="str">
        <f>IF(F1440="", "", IF(B1440&lt;&gt;"", MATCH(B1440, params!$B$2:$R$2, 0), G1439))</f>
        <v/>
      </c>
      <c r="H1440" s="5" t="str">
        <f t="shared" ca="1" si="47"/>
        <v/>
      </c>
      <c r="M1440" s="2"/>
    </row>
    <row r="1441" spans="2:13" ht="15.6" x14ac:dyDescent="0.3">
      <c r="B1441" s="5" t="str">
        <f>IF(COUNTIF(data_val!$E$3:$E$5, sample_log!$E1441), sample_log!$C1441 &amp; "_" &amp; sample_log!$D1441, "")</f>
        <v/>
      </c>
      <c r="C1441" s="5" t="str">
        <f>IF(B1441="", IF(F1441="", "", C1440), IF(sample_log!E1441="Triennial SASS", "tri_params", "params"))</f>
        <v/>
      </c>
      <c r="D1441" s="5" t="str">
        <f>IF(B1441="", "", C1441 &amp; "!" &amp; CHAR(65+MATCH(B1441, params!$B$2:$R$2, 0)))</f>
        <v/>
      </c>
      <c r="E1441" s="5" t="str">
        <f ca="1">IF(B1441="", "", COUNTA(INDIRECT(D1441 &amp; 3):INDIRECT(D1441 &amp; 24)))</f>
        <v/>
      </c>
      <c r="F1441" s="5" t="str">
        <f t="shared" si="46"/>
        <v/>
      </c>
      <c r="G1441" s="5" t="str">
        <f>IF(F1441="", "", IF(B1441&lt;&gt;"", MATCH(B1441, params!$B$2:$R$2, 0), G1440))</f>
        <v/>
      </c>
      <c r="H1441" s="5" t="str">
        <f t="shared" ca="1" si="47"/>
        <v/>
      </c>
      <c r="M1441" s="2"/>
    </row>
    <row r="1442" spans="2:13" ht="15.6" x14ac:dyDescent="0.3">
      <c r="B1442" s="5" t="str">
        <f>IF(COUNTIF(data_val!$E$3:$E$5, sample_log!$E1442), sample_log!$C1442 &amp; "_" &amp; sample_log!$D1442, "")</f>
        <v/>
      </c>
      <c r="C1442" s="5" t="str">
        <f>IF(B1442="", IF(F1442="", "", C1441), IF(sample_log!E1442="Triennial SASS", "tri_params", "params"))</f>
        <v/>
      </c>
      <c r="D1442" s="5" t="str">
        <f>IF(B1442="", "", C1442 &amp; "!" &amp; CHAR(65+MATCH(B1442, params!$B$2:$R$2, 0)))</f>
        <v/>
      </c>
      <c r="E1442" s="5" t="str">
        <f ca="1">IF(B1442="", "", COUNTA(INDIRECT(D1442 &amp; 3):INDIRECT(D1442 &amp; 24)))</f>
        <v/>
      </c>
      <c r="F1442" s="5" t="str">
        <f t="shared" si="46"/>
        <v/>
      </c>
      <c r="G1442" s="5" t="str">
        <f>IF(F1442="", "", IF(B1442&lt;&gt;"", MATCH(B1442, params!$B$2:$R$2, 0), G1441))</f>
        <v/>
      </c>
      <c r="H1442" s="5" t="str">
        <f t="shared" ca="1" si="47"/>
        <v/>
      </c>
      <c r="M1442" s="2"/>
    </row>
    <row r="1443" spans="2:13" ht="15.6" x14ac:dyDescent="0.3">
      <c r="B1443" s="5" t="str">
        <f>IF(COUNTIF(data_val!$E$3:$E$5, sample_log!$E1443), sample_log!$C1443 &amp; "_" &amp; sample_log!$D1443, "")</f>
        <v/>
      </c>
      <c r="C1443" s="5" t="str">
        <f>IF(B1443="", IF(F1443="", "", C1442), IF(sample_log!E1443="Triennial SASS", "tri_params", "params"))</f>
        <v/>
      </c>
      <c r="D1443" s="5" t="str">
        <f>IF(B1443="", "", C1443 &amp; "!" &amp; CHAR(65+MATCH(B1443, params!$B$2:$R$2, 0)))</f>
        <v/>
      </c>
      <c r="E1443" s="5" t="str">
        <f ca="1">IF(B1443="", "", COUNTA(INDIRECT(D1443 &amp; 3):INDIRECT(D1443 &amp; 24)))</f>
        <v/>
      </c>
      <c r="F1443" s="5" t="str">
        <f t="shared" si="46"/>
        <v/>
      </c>
      <c r="G1443" s="5" t="str">
        <f>IF(F1443="", "", IF(B1443&lt;&gt;"", MATCH(B1443, params!$B$2:$R$2, 0), G1442))</f>
        <v/>
      </c>
      <c r="H1443" s="5" t="str">
        <f t="shared" ca="1" si="47"/>
        <v/>
      </c>
      <c r="M1443" s="2"/>
    </row>
    <row r="1444" spans="2:13" ht="15.6" x14ac:dyDescent="0.3">
      <c r="B1444" s="5" t="str">
        <f>IF(COUNTIF(data_val!$E$3:$E$5, sample_log!$E1444), sample_log!$C1444 &amp; "_" &amp; sample_log!$D1444, "")</f>
        <v/>
      </c>
      <c r="C1444" s="5" t="str">
        <f>IF(B1444="", IF(F1444="", "", C1443), IF(sample_log!E1444="Triennial SASS", "tri_params", "params"))</f>
        <v/>
      </c>
      <c r="D1444" s="5" t="str">
        <f>IF(B1444="", "", C1444 &amp; "!" &amp; CHAR(65+MATCH(B1444, params!$B$2:$R$2, 0)))</f>
        <v/>
      </c>
      <c r="E1444" s="5" t="str">
        <f ca="1">IF(B1444="", "", COUNTA(INDIRECT(D1444 &amp; 3):INDIRECT(D1444 &amp; 24)))</f>
        <v/>
      </c>
      <c r="F1444" s="5" t="str">
        <f t="shared" si="46"/>
        <v/>
      </c>
      <c r="G1444" s="5" t="str">
        <f>IF(F1444="", "", IF(B1444&lt;&gt;"", MATCH(B1444, params!$B$2:$R$2, 0), G1443))</f>
        <v/>
      </c>
      <c r="H1444" s="5" t="str">
        <f t="shared" ca="1" si="47"/>
        <v/>
      </c>
      <c r="M1444" s="2"/>
    </row>
    <row r="1445" spans="2:13" ht="15.6" x14ac:dyDescent="0.3">
      <c r="B1445" s="5" t="str">
        <f>IF(COUNTIF(data_val!$E$3:$E$5, sample_log!$E1445), sample_log!$C1445 &amp; "_" &amp; sample_log!$D1445, "")</f>
        <v/>
      </c>
      <c r="C1445" s="5" t="str">
        <f>IF(B1445="", IF(F1445="", "", C1444), IF(sample_log!E1445="Triennial SASS", "tri_params", "params"))</f>
        <v/>
      </c>
      <c r="D1445" s="5" t="str">
        <f>IF(B1445="", "", C1445 &amp; "!" &amp; CHAR(65+MATCH(B1445, params!$B$2:$R$2, 0)))</f>
        <v/>
      </c>
      <c r="E1445" s="5" t="str">
        <f ca="1">IF(B1445="", "", COUNTA(INDIRECT(D1445 &amp; 3):INDIRECT(D1445 &amp; 24)))</f>
        <v/>
      </c>
      <c r="F1445" s="5" t="str">
        <f t="shared" si="46"/>
        <v/>
      </c>
      <c r="G1445" s="5" t="str">
        <f>IF(F1445="", "", IF(B1445&lt;&gt;"", MATCH(B1445, params!$B$2:$R$2, 0), G1444))</f>
        <v/>
      </c>
      <c r="H1445" s="5" t="str">
        <f t="shared" ca="1" si="47"/>
        <v/>
      </c>
      <c r="M1445" s="2"/>
    </row>
    <row r="1446" spans="2:13" ht="15.6" x14ac:dyDescent="0.3">
      <c r="B1446" s="5" t="str">
        <f>IF(COUNTIF(data_val!$E$3:$E$5, sample_log!$E1446), sample_log!$C1446 &amp; "_" &amp; sample_log!$D1446, "")</f>
        <v/>
      </c>
      <c r="C1446" s="5" t="str">
        <f>IF(B1446="", IF(F1446="", "", C1445), IF(sample_log!E1446="Triennial SASS", "tri_params", "params"))</f>
        <v/>
      </c>
      <c r="D1446" s="5" t="str">
        <f>IF(B1446="", "", C1446 &amp; "!" &amp; CHAR(65+MATCH(B1446, params!$B$2:$R$2, 0)))</f>
        <v/>
      </c>
      <c r="E1446" s="5" t="str">
        <f ca="1">IF(B1446="", "", COUNTA(INDIRECT(D1446 &amp; 3):INDIRECT(D1446 &amp; 24)))</f>
        <v/>
      </c>
      <c r="F1446" s="5" t="str">
        <f t="shared" si="46"/>
        <v/>
      </c>
      <c r="G1446" s="5" t="str">
        <f>IF(F1446="", "", IF(B1446&lt;&gt;"", MATCH(B1446, params!$B$2:$R$2, 0), G1445))</f>
        <v/>
      </c>
      <c r="H1446" s="5" t="str">
        <f t="shared" ca="1" si="47"/>
        <v/>
      </c>
      <c r="M1446" s="2"/>
    </row>
    <row r="1447" spans="2:13" ht="15.6" x14ac:dyDescent="0.3">
      <c r="B1447" s="5" t="str">
        <f>IF(COUNTIF(data_val!$E$3:$E$5, sample_log!$E1447), sample_log!$C1447 &amp; "_" &amp; sample_log!$D1447, "")</f>
        <v/>
      </c>
      <c r="C1447" s="5" t="str">
        <f>IF(B1447="", IF(F1447="", "", C1446), IF(sample_log!E1447="Triennial SASS", "tri_params", "params"))</f>
        <v/>
      </c>
      <c r="D1447" s="5" t="str">
        <f>IF(B1447="", "", C1447 &amp; "!" &amp; CHAR(65+MATCH(B1447, params!$B$2:$R$2, 0)))</f>
        <v/>
      </c>
      <c r="E1447" s="5" t="str">
        <f ca="1">IF(B1447="", "", COUNTA(INDIRECT(D1447 &amp; 3):INDIRECT(D1447 &amp; 24)))</f>
        <v/>
      </c>
      <c r="F1447" s="5" t="str">
        <f t="shared" si="46"/>
        <v/>
      </c>
      <c r="G1447" s="5" t="str">
        <f>IF(F1447="", "", IF(B1447&lt;&gt;"", MATCH(B1447, params!$B$2:$R$2, 0), G1446))</f>
        <v/>
      </c>
      <c r="H1447" s="5" t="str">
        <f t="shared" ca="1" si="47"/>
        <v/>
      </c>
      <c r="M1447" s="2"/>
    </row>
    <row r="1448" spans="2:13" ht="15.6" x14ac:dyDescent="0.3">
      <c r="B1448" s="5" t="str">
        <f>IF(COUNTIF(data_val!$E$3:$E$5, sample_log!$E1448), sample_log!$C1448 &amp; "_" &amp; sample_log!$D1448, "")</f>
        <v/>
      </c>
      <c r="C1448" s="5" t="str">
        <f>IF(B1448="", IF(F1448="", "", C1447), IF(sample_log!E1448="Triennial SASS", "tri_params", "params"))</f>
        <v/>
      </c>
      <c r="D1448" s="5" t="str">
        <f>IF(B1448="", "", C1448 &amp; "!" &amp; CHAR(65+MATCH(B1448, params!$B$2:$R$2, 0)))</f>
        <v/>
      </c>
      <c r="E1448" s="5" t="str">
        <f ca="1">IF(B1448="", "", COUNTA(INDIRECT(D1448 &amp; 3):INDIRECT(D1448 &amp; 24)))</f>
        <v/>
      </c>
      <c r="F1448" s="5" t="str">
        <f t="shared" si="46"/>
        <v/>
      </c>
      <c r="G1448" s="5" t="str">
        <f>IF(F1448="", "", IF(B1448&lt;&gt;"", MATCH(B1448, params!$B$2:$R$2, 0), G1447))</f>
        <v/>
      </c>
      <c r="H1448" s="5" t="str">
        <f t="shared" ca="1" si="47"/>
        <v/>
      </c>
      <c r="M1448" s="2"/>
    </row>
    <row r="1449" spans="2:13" ht="15.6" x14ac:dyDescent="0.3">
      <c r="B1449" s="5" t="str">
        <f>IF(COUNTIF(data_val!$E$3:$E$5, sample_log!$E1449), sample_log!$C1449 &amp; "_" &amp; sample_log!$D1449, "")</f>
        <v/>
      </c>
      <c r="C1449" s="5" t="str">
        <f>IF(B1449="", IF(F1449="", "", C1448), IF(sample_log!E1449="Triennial SASS", "tri_params", "params"))</f>
        <v/>
      </c>
      <c r="D1449" s="5" t="str">
        <f>IF(B1449="", "", C1449 &amp; "!" &amp; CHAR(65+MATCH(B1449, params!$B$2:$R$2, 0)))</f>
        <v/>
      </c>
      <c r="E1449" s="5" t="str">
        <f ca="1">IF(B1449="", "", COUNTA(INDIRECT(D1449 &amp; 3):INDIRECT(D1449 &amp; 24)))</f>
        <v/>
      </c>
      <c r="F1449" s="5" t="str">
        <f t="shared" si="46"/>
        <v/>
      </c>
      <c r="G1449" s="5" t="str">
        <f>IF(F1449="", "", IF(B1449&lt;&gt;"", MATCH(B1449, params!$B$2:$R$2, 0), G1448))</f>
        <v/>
      </c>
      <c r="H1449" s="5" t="str">
        <f t="shared" ca="1" si="47"/>
        <v/>
      </c>
      <c r="M1449" s="2"/>
    </row>
    <row r="1450" spans="2:13" ht="15.6" x14ac:dyDescent="0.3">
      <c r="B1450" s="5" t="str">
        <f>IF(COUNTIF(data_val!$E$3:$E$5, sample_log!$E1450), sample_log!$C1450 &amp; "_" &amp; sample_log!$D1450, "")</f>
        <v/>
      </c>
      <c r="C1450" s="5" t="str">
        <f>IF(B1450="", IF(F1450="", "", C1449), IF(sample_log!E1450="Triennial SASS", "tri_params", "params"))</f>
        <v/>
      </c>
      <c r="D1450" s="5" t="str">
        <f>IF(B1450="", "", C1450 &amp; "!" &amp; CHAR(65+MATCH(B1450, params!$B$2:$R$2, 0)))</f>
        <v/>
      </c>
      <c r="E1450" s="5" t="str">
        <f ca="1">IF(B1450="", "", COUNTA(INDIRECT(D1450 &amp; 3):INDIRECT(D1450 &amp; 24)))</f>
        <v/>
      </c>
      <c r="F1450" s="5" t="str">
        <f t="shared" si="46"/>
        <v/>
      </c>
      <c r="G1450" s="5" t="str">
        <f>IF(F1450="", "", IF(B1450&lt;&gt;"", MATCH(B1450, params!$B$2:$R$2, 0), G1449))</f>
        <v/>
      </c>
      <c r="H1450" s="5" t="str">
        <f t="shared" ca="1" si="47"/>
        <v/>
      </c>
      <c r="M1450" s="2"/>
    </row>
    <row r="1451" spans="2:13" ht="15.6" x14ac:dyDescent="0.3">
      <c r="B1451" s="5" t="str">
        <f>IF(COUNTIF(data_val!$E$3:$E$5, sample_log!$E1451), sample_log!$C1451 &amp; "_" &amp; sample_log!$D1451, "")</f>
        <v/>
      </c>
      <c r="C1451" s="5" t="str">
        <f>IF(B1451="", IF(F1451="", "", C1450), IF(sample_log!E1451="Triennial SASS", "tri_params", "params"))</f>
        <v/>
      </c>
      <c r="D1451" s="5" t="str">
        <f>IF(B1451="", "", C1451 &amp; "!" &amp; CHAR(65+MATCH(B1451, params!$B$2:$R$2, 0)))</f>
        <v/>
      </c>
      <c r="E1451" s="5" t="str">
        <f ca="1">IF(B1451="", "", COUNTA(INDIRECT(D1451 &amp; 3):INDIRECT(D1451 &amp; 24)))</f>
        <v/>
      </c>
      <c r="F1451" s="5" t="str">
        <f t="shared" si="46"/>
        <v/>
      </c>
      <c r="G1451" s="5" t="str">
        <f>IF(F1451="", "", IF(B1451&lt;&gt;"", MATCH(B1451, params!$B$2:$R$2, 0), G1450))</f>
        <v/>
      </c>
      <c r="H1451" s="5" t="str">
        <f t="shared" ca="1" si="47"/>
        <v/>
      </c>
      <c r="M1451" s="2"/>
    </row>
    <row r="1452" spans="2:13" ht="15.6" x14ac:dyDescent="0.3">
      <c r="B1452" s="5" t="str">
        <f>IF(COUNTIF(data_val!$E$3:$E$5, sample_log!$E1452), sample_log!$C1452 &amp; "_" &amp; sample_log!$D1452, "")</f>
        <v/>
      </c>
      <c r="C1452" s="5" t="str">
        <f>IF(B1452="", IF(F1452="", "", C1451), IF(sample_log!E1452="Triennial SASS", "tri_params", "params"))</f>
        <v/>
      </c>
      <c r="D1452" s="5" t="str">
        <f>IF(B1452="", "", C1452 &amp; "!" &amp; CHAR(65+MATCH(B1452, params!$B$2:$R$2, 0)))</f>
        <v/>
      </c>
      <c r="E1452" s="5" t="str">
        <f ca="1">IF(B1452="", "", COUNTA(INDIRECT(D1452 &amp; 3):INDIRECT(D1452 &amp; 24)))</f>
        <v/>
      </c>
      <c r="F1452" s="5" t="str">
        <f t="shared" si="46"/>
        <v/>
      </c>
      <c r="G1452" s="5" t="str">
        <f>IF(F1452="", "", IF(B1452&lt;&gt;"", MATCH(B1452, params!$B$2:$R$2, 0), G1451))</f>
        <v/>
      </c>
      <c r="H1452" s="5" t="str">
        <f t="shared" ca="1" si="47"/>
        <v/>
      </c>
      <c r="M1452" s="2"/>
    </row>
    <row r="1453" spans="2:13" ht="15.6" x14ac:dyDescent="0.3">
      <c r="B1453" s="5" t="str">
        <f>IF(COUNTIF(data_val!$E$3:$E$5, sample_log!$E1453), sample_log!$C1453 &amp; "_" &amp; sample_log!$D1453, "")</f>
        <v/>
      </c>
      <c r="C1453" s="5" t="str">
        <f>IF(B1453="", IF(F1453="", "", C1452), IF(sample_log!E1453="Triennial SASS", "tri_params", "params"))</f>
        <v/>
      </c>
      <c r="D1453" s="5" t="str">
        <f>IF(B1453="", "", C1453 &amp; "!" &amp; CHAR(65+MATCH(B1453, params!$B$2:$R$2, 0)))</f>
        <v/>
      </c>
      <c r="E1453" s="5" t="str">
        <f ca="1">IF(B1453="", "", COUNTA(INDIRECT(D1453 &amp; 3):INDIRECT(D1453 &amp; 24)))</f>
        <v/>
      </c>
      <c r="F1453" s="5" t="str">
        <f t="shared" si="46"/>
        <v/>
      </c>
      <c r="G1453" s="5" t="str">
        <f>IF(F1453="", "", IF(B1453&lt;&gt;"", MATCH(B1453, params!$B$2:$R$2, 0), G1452))</f>
        <v/>
      </c>
      <c r="H1453" s="5" t="str">
        <f t="shared" ca="1" si="47"/>
        <v/>
      </c>
      <c r="M1453" s="2"/>
    </row>
    <row r="1454" spans="2:13" ht="15.6" x14ac:dyDescent="0.3">
      <c r="B1454" s="5" t="str">
        <f>IF(COUNTIF(data_val!$E$3:$E$5, sample_log!$E1454), sample_log!$C1454 &amp; "_" &amp; sample_log!$D1454, "")</f>
        <v/>
      </c>
      <c r="C1454" s="5" t="str">
        <f>IF(B1454="", IF(F1454="", "", C1453), IF(sample_log!E1454="Triennial SASS", "tri_params", "params"))</f>
        <v/>
      </c>
      <c r="D1454" s="5" t="str">
        <f>IF(B1454="", "", C1454 &amp; "!" &amp; CHAR(65+MATCH(B1454, params!$B$2:$R$2, 0)))</f>
        <v/>
      </c>
      <c r="E1454" s="5" t="str">
        <f ca="1">IF(B1454="", "", COUNTA(INDIRECT(D1454 &amp; 3):INDIRECT(D1454 &amp; 24)))</f>
        <v/>
      </c>
      <c r="F1454" s="5" t="str">
        <f t="shared" si="46"/>
        <v/>
      </c>
      <c r="G1454" s="5" t="str">
        <f>IF(F1454="", "", IF(B1454&lt;&gt;"", MATCH(B1454, params!$B$2:$R$2, 0), G1453))</f>
        <v/>
      </c>
      <c r="H1454" s="5" t="str">
        <f t="shared" ca="1" si="47"/>
        <v/>
      </c>
      <c r="M1454" s="2"/>
    </row>
    <row r="1455" spans="2:13" ht="15.6" x14ac:dyDescent="0.3">
      <c r="B1455" s="5" t="str">
        <f>IF(COUNTIF(data_val!$E$3:$E$5, sample_log!$E1455), sample_log!$C1455 &amp; "_" &amp; sample_log!$D1455, "")</f>
        <v/>
      </c>
      <c r="C1455" s="5" t="str">
        <f>IF(B1455="", IF(F1455="", "", C1454), IF(sample_log!E1455="Triennial SASS", "tri_params", "params"))</f>
        <v/>
      </c>
      <c r="D1455" s="5" t="str">
        <f>IF(B1455="", "", C1455 &amp; "!" &amp; CHAR(65+MATCH(B1455, params!$B$2:$R$2, 0)))</f>
        <v/>
      </c>
      <c r="E1455" s="5" t="str">
        <f ca="1">IF(B1455="", "", COUNTA(INDIRECT(D1455 &amp; 3):INDIRECT(D1455 &amp; 24)))</f>
        <v/>
      </c>
      <c r="F1455" s="5" t="str">
        <f t="shared" si="46"/>
        <v/>
      </c>
      <c r="G1455" s="5" t="str">
        <f>IF(F1455="", "", IF(B1455&lt;&gt;"", MATCH(B1455, params!$B$2:$R$2, 0), G1454))</f>
        <v/>
      </c>
      <c r="H1455" s="5" t="str">
        <f t="shared" ca="1" si="47"/>
        <v/>
      </c>
      <c r="M1455" s="2"/>
    </row>
    <row r="1456" spans="2:13" ht="15.6" x14ac:dyDescent="0.3">
      <c r="B1456" s="5" t="str">
        <f>IF(COUNTIF(data_val!$E$3:$E$5, sample_log!$E1456), sample_log!$C1456 &amp; "_" &amp; sample_log!$D1456, "")</f>
        <v/>
      </c>
      <c r="C1456" s="5" t="str">
        <f>IF(B1456="", IF(F1456="", "", C1455), IF(sample_log!E1456="Triennial SASS", "tri_params", "params"))</f>
        <v/>
      </c>
      <c r="D1456" s="5" t="str">
        <f>IF(B1456="", "", C1456 &amp; "!" &amp; CHAR(65+MATCH(B1456, params!$B$2:$R$2, 0)))</f>
        <v/>
      </c>
      <c r="E1456" s="5" t="str">
        <f ca="1">IF(B1456="", "", COUNTA(INDIRECT(D1456 &amp; 3):INDIRECT(D1456 &amp; 24)))</f>
        <v/>
      </c>
      <c r="F1456" s="5" t="str">
        <f t="shared" si="46"/>
        <v/>
      </c>
      <c r="G1456" s="5" t="str">
        <f>IF(F1456="", "", IF(B1456&lt;&gt;"", MATCH(B1456, params!$B$2:$R$2, 0), G1455))</f>
        <v/>
      </c>
      <c r="H1456" s="5" t="str">
        <f t="shared" ca="1" si="47"/>
        <v/>
      </c>
      <c r="M1456" s="2"/>
    </row>
    <row r="1457" spans="2:13" ht="15.6" x14ac:dyDescent="0.3">
      <c r="B1457" s="5" t="str">
        <f>IF(COUNTIF(data_val!$E$3:$E$5, sample_log!$E1457), sample_log!$C1457 &amp; "_" &amp; sample_log!$D1457, "")</f>
        <v/>
      </c>
      <c r="C1457" s="5" t="str">
        <f>IF(B1457="", IF(F1457="", "", C1456), IF(sample_log!E1457="Triennial SASS", "tri_params", "params"))</f>
        <v/>
      </c>
      <c r="D1457" s="5" t="str">
        <f>IF(B1457="", "", C1457 &amp; "!" &amp; CHAR(65+MATCH(B1457, params!$B$2:$R$2, 0)))</f>
        <v/>
      </c>
      <c r="E1457" s="5" t="str">
        <f ca="1">IF(B1457="", "", COUNTA(INDIRECT(D1457 &amp; 3):INDIRECT(D1457 &amp; 24)))</f>
        <v/>
      </c>
      <c r="F1457" s="5" t="str">
        <f t="shared" si="46"/>
        <v/>
      </c>
      <c r="G1457" s="5" t="str">
        <f>IF(F1457="", "", IF(B1457&lt;&gt;"", MATCH(B1457, params!$B$2:$R$2, 0), G1456))</f>
        <v/>
      </c>
      <c r="H1457" s="5" t="str">
        <f t="shared" ca="1" si="47"/>
        <v/>
      </c>
      <c r="M1457" s="2"/>
    </row>
    <row r="1458" spans="2:13" ht="15.6" x14ac:dyDescent="0.3">
      <c r="B1458" s="5" t="str">
        <f>IF(COUNTIF(data_val!$E$3:$E$5, sample_log!$E1458), sample_log!$C1458 &amp; "_" &amp; sample_log!$D1458, "")</f>
        <v/>
      </c>
      <c r="C1458" s="5" t="str">
        <f>IF(B1458="", IF(F1458="", "", C1457), IF(sample_log!E1458="Triennial SASS", "tri_params", "params"))</f>
        <v/>
      </c>
      <c r="D1458" s="5" t="str">
        <f>IF(B1458="", "", C1458 &amp; "!" &amp; CHAR(65+MATCH(B1458, params!$B$2:$R$2, 0)))</f>
        <v/>
      </c>
      <c r="E1458" s="5" t="str">
        <f ca="1">IF(B1458="", "", COUNTA(INDIRECT(D1458 &amp; 3):INDIRECT(D1458 &amp; 24)))</f>
        <v/>
      </c>
      <c r="F1458" s="5" t="str">
        <f t="shared" si="46"/>
        <v/>
      </c>
      <c r="G1458" s="5" t="str">
        <f>IF(F1458="", "", IF(B1458&lt;&gt;"", MATCH(B1458, params!$B$2:$R$2, 0), G1457))</f>
        <v/>
      </c>
      <c r="H1458" s="5" t="str">
        <f t="shared" ca="1" si="47"/>
        <v/>
      </c>
      <c r="M1458" s="2"/>
    </row>
    <row r="1459" spans="2:13" ht="15.6" x14ac:dyDescent="0.3">
      <c r="B1459" s="5" t="str">
        <f>IF(COUNTIF(data_val!$E$3:$E$5, sample_log!$E1459), sample_log!$C1459 &amp; "_" &amp; sample_log!$D1459, "")</f>
        <v/>
      </c>
      <c r="C1459" s="5" t="str">
        <f>IF(B1459="", IF(F1459="", "", C1458), IF(sample_log!E1459="Triennial SASS", "tri_params", "params"))</f>
        <v/>
      </c>
      <c r="D1459" s="5" t="str">
        <f>IF(B1459="", "", C1459 &amp; "!" &amp; CHAR(65+MATCH(B1459, params!$B$2:$R$2, 0)))</f>
        <v/>
      </c>
      <c r="E1459" s="5" t="str">
        <f ca="1">IF(B1459="", "", COUNTA(INDIRECT(D1459 &amp; 3):INDIRECT(D1459 &amp; 24)))</f>
        <v/>
      </c>
      <c r="F1459" s="5" t="str">
        <f t="shared" si="46"/>
        <v/>
      </c>
      <c r="G1459" s="5" t="str">
        <f>IF(F1459="", "", IF(B1459&lt;&gt;"", MATCH(B1459, params!$B$2:$R$2, 0), G1458))</f>
        <v/>
      </c>
      <c r="H1459" s="5" t="str">
        <f t="shared" ca="1" si="47"/>
        <v/>
      </c>
      <c r="M1459" s="2"/>
    </row>
    <row r="1460" spans="2:13" ht="15.6" x14ac:dyDescent="0.3">
      <c r="B1460" s="5" t="str">
        <f>IF(COUNTIF(data_val!$E$3:$E$5, sample_log!$E1460), sample_log!$C1460 &amp; "_" &amp; sample_log!$D1460, "")</f>
        <v/>
      </c>
      <c r="C1460" s="5" t="str">
        <f>IF(B1460="", IF(F1460="", "", C1459), IF(sample_log!E1460="Triennial SASS", "tri_params", "params"))</f>
        <v/>
      </c>
      <c r="D1460" s="5" t="str">
        <f>IF(B1460="", "", C1460 &amp; "!" &amp; CHAR(65+MATCH(B1460, params!$B$2:$R$2, 0)))</f>
        <v/>
      </c>
      <c r="E1460" s="5" t="str">
        <f ca="1">IF(B1460="", "", COUNTA(INDIRECT(D1460 &amp; 3):INDIRECT(D1460 &amp; 24)))</f>
        <v/>
      </c>
      <c r="F1460" s="5" t="str">
        <f t="shared" si="46"/>
        <v/>
      </c>
      <c r="G1460" s="5" t="str">
        <f>IF(F1460="", "", IF(B1460&lt;&gt;"", MATCH(B1460, params!$B$2:$R$2, 0), G1459))</f>
        <v/>
      </c>
      <c r="H1460" s="5" t="str">
        <f t="shared" ca="1" si="47"/>
        <v/>
      </c>
      <c r="M1460" s="2"/>
    </row>
    <row r="1461" spans="2:13" ht="15.6" x14ac:dyDescent="0.3">
      <c r="B1461" s="5" t="str">
        <f>IF(COUNTIF(data_val!$E$3:$E$5, sample_log!$E1461), sample_log!$C1461 &amp; "_" &amp; sample_log!$D1461, "")</f>
        <v/>
      </c>
      <c r="C1461" s="5" t="str">
        <f>IF(B1461="", IF(F1461="", "", C1460), IF(sample_log!E1461="Triennial SASS", "tri_params", "params"))</f>
        <v/>
      </c>
      <c r="D1461" s="5" t="str">
        <f>IF(B1461="", "", C1461 &amp; "!" &amp; CHAR(65+MATCH(B1461, params!$B$2:$R$2, 0)))</f>
        <v/>
      </c>
      <c r="E1461" s="5" t="str">
        <f ca="1">IF(B1461="", "", COUNTA(INDIRECT(D1461 &amp; 3):INDIRECT(D1461 &amp; 24)))</f>
        <v/>
      </c>
      <c r="F1461" s="5" t="str">
        <f t="shared" si="46"/>
        <v/>
      </c>
      <c r="G1461" s="5" t="str">
        <f>IF(F1461="", "", IF(B1461&lt;&gt;"", MATCH(B1461, params!$B$2:$R$2, 0), G1460))</f>
        <v/>
      </c>
      <c r="H1461" s="5" t="str">
        <f t="shared" ca="1" si="47"/>
        <v/>
      </c>
      <c r="M1461" s="2"/>
    </row>
    <row r="1462" spans="2:13" ht="15.6" x14ac:dyDescent="0.3">
      <c r="B1462" s="5" t="str">
        <f>IF(COUNTIF(data_val!$E$3:$E$5, sample_log!$E1462), sample_log!$C1462 &amp; "_" &amp; sample_log!$D1462, "")</f>
        <v/>
      </c>
      <c r="C1462" s="5" t="str">
        <f>IF(B1462="", IF(F1462="", "", C1461), IF(sample_log!E1462="Triennial SASS", "tri_params", "params"))</f>
        <v/>
      </c>
      <c r="D1462" s="5" t="str">
        <f>IF(B1462="", "", C1462 &amp; "!" &amp; CHAR(65+MATCH(B1462, params!$B$2:$R$2, 0)))</f>
        <v/>
      </c>
      <c r="E1462" s="5" t="str">
        <f ca="1">IF(B1462="", "", COUNTA(INDIRECT(D1462 &amp; 3):INDIRECT(D1462 &amp; 24)))</f>
        <v/>
      </c>
      <c r="F1462" s="5" t="str">
        <f t="shared" si="46"/>
        <v/>
      </c>
      <c r="G1462" s="5" t="str">
        <f>IF(F1462="", "", IF(B1462&lt;&gt;"", MATCH(B1462, params!$B$2:$R$2, 0), G1461))</f>
        <v/>
      </c>
      <c r="H1462" s="5" t="str">
        <f t="shared" ca="1" si="47"/>
        <v/>
      </c>
      <c r="M1462" s="2"/>
    </row>
    <row r="1463" spans="2:13" ht="15.6" x14ac:dyDescent="0.3">
      <c r="B1463" s="5" t="str">
        <f>IF(COUNTIF(data_val!$E$3:$E$5, sample_log!$E1463), sample_log!$C1463 &amp; "_" &amp; sample_log!$D1463, "")</f>
        <v/>
      </c>
      <c r="C1463" s="5" t="str">
        <f>IF(B1463="", IF(F1463="", "", C1462), IF(sample_log!E1463="Triennial SASS", "tri_params", "params"))</f>
        <v/>
      </c>
      <c r="D1463" s="5" t="str">
        <f>IF(B1463="", "", C1463 &amp; "!" &amp; CHAR(65+MATCH(B1463, params!$B$2:$R$2, 0)))</f>
        <v/>
      </c>
      <c r="E1463" s="5" t="str">
        <f ca="1">IF(B1463="", "", COUNTA(INDIRECT(D1463 &amp; 3):INDIRECT(D1463 &amp; 24)))</f>
        <v/>
      </c>
      <c r="F1463" s="5" t="str">
        <f t="shared" si="46"/>
        <v/>
      </c>
      <c r="G1463" s="5" t="str">
        <f>IF(F1463="", "", IF(B1463&lt;&gt;"", MATCH(B1463, params!$B$2:$R$2, 0), G1462))</f>
        <v/>
      </c>
      <c r="H1463" s="5" t="str">
        <f t="shared" ca="1" si="47"/>
        <v/>
      </c>
      <c r="M1463" s="2"/>
    </row>
    <row r="1464" spans="2:13" ht="15.6" x14ac:dyDescent="0.3">
      <c r="B1464" s="5" t="str">
        <f>IF(COUNTIF(data_val!$E$3:$E$5, sample_log!$E1464), sample_log!$C1464 &amp; "_" &amp; sample_log!$D1464, "")</f>
        <v/>
      </c>
      <c r="C1464" s="5" t="str">
        <f>IF(B1464="", IF(F1464="", "", C1463), IF(sample_log!E1464="Triennial SASS", "tri_params", "params"))</f>
        <v/>
      </c>
      <c r="D1464" s="5" t="str">
        <f>IF(B1464="", "", C1464 &amp; "!" &amp; CHAR(65+MATCH(B1464, params!$B$2:$R$2, 0)))</f>
        <v/>
      </c>
      <c r="E1464" s="5" t="str">
        <f ca="1">IF(B1464="", "", COUNTA(INDIRECT(D1464 &amp; 3):INDIRECT(D1464 &amp; 24)))</f>
        <v/>
      </c>
      <c r="F1464" s="5" t="str">
        <f t="shared" si="46"/>
        <v/>
      </c>
      <c r="G1464" s="5" t="str">
        <f>IF(F1464="", "", IF(B1464&lt;&gt;"", MATCH(B1464, params!$B$2:$R$2, 0), G1463))</f>
        <v/>
      </c>
      <c r="H1464" s="5" t="str">
        <f t="shared" ca="1" si="47"/>
        <v/>
      </c>
      <c r="M1464" s="2"/>
    </row>
    <row r="1465" spans="2:13" ht="15.6" x14ac:dyDescent="0.3">
      <c r="B1465" s="5" t="str">
        <f>IF(COUNTIF(data_val!$E$3:$E$5, sample_log!$E1465), sample_log!$C1465 &amp; "_" &amp; sample_log!$D1465, "")</f>
        <v/>
      </c>
      <c r="C1465" s="5" t="str">
        <f>IF(B1465="", IF(F1465="", "", C1464), IF(sample_log!E1465="Triennial SASS", "tri_params", "params"))</f>
        <v/>
      </c>
      <c r="D1465" s="5" t="str">
        <f>IF(B1465="", "", C1465 &amp; "!" &amp; CHAR(65+MATCH(B1465, params!$B$2:$R$2, 0)))</f>
        <v/>
      </c>
      <c r="E1465" s="5" t="str">
        <f ca="1">IF(B1465="", "", COUNTA(INDIRECT(D1465 &amp; 3):INDIRECT(D1465 &amp; 24)))</f>
        <v/>
      </c>
      <c r="F1465" s="5" t="str">
        <f t="shared" si="46"/>
        <v/>
      </c>
      <c r="G1465" s="5" t="str">
        <f>IF(F1465="", "", IF(B1465&lt;&gt;"", MATCH(B1465, params!$B$2:$R$2, 0), G1464))</f>
        <v/>
      </c>
      <c r="H1465" s="5" t="str">
        <f t="shared" ca="1" si="47"/>
        <v/>
      </c>
      <c r="M1465" s="2"/>
    </row>
    <row r="1466" spans="2:13" ht="15.6" x14ac:dyDescent="0.3">
      <c r="B1466" s="5" t="str">
        <f>IF(COUNTIF(data_val!$E$3:$E$5, sample_log!$E1466), sample_log!$C1466 &amp; "_" &amp; sample_log!$D1466, "")</f>
        <v/>
      </c>
      <c r="C1466" s="5" t="str">
        <f>IF(B1466="", IF(F1466="", "", C1465), IF(sample_log!E1466="Triennial SASS", "tri_params", "params"))</f>
        <v/>
      </c>
      <c r="D1466" s="5" t="str">
        <f>IF(B1466="", "", C1466 &amp; "!" &amp; CHAR(65+MATCH(B1466, params!$B$2:$R$2, 0)))</f>
        <v/>
      </c>
      <c r="E1466" s="5" t="str">
        <f ca="1">IF(B1466="", "", COUNTA(INDIRECT(D1466 &amp; 3):INDIRECT(D1466 &amp; 24)))</f>
        <v/>
      </c>
      <c r="F1466" s="5" t="str">
        <f t="shared" si="46"/>
        <v/>
      </c>
      <c r="G1466" s="5" t="str">
        <f>IF(F1466="", "", IF(B1466&lt;&gt;"", MATCH(B1466, params!$B$2:$R$2, 0), G1465))</f>
        <v/>
      </c>
      <c r="H1466" s="5" t="str">
        <f t="shared" ca="1" si="47"/>
        <v/>
      </c>
      <c r="M1466" s="2"/>
    </row>
    <row r="1467" spans="2:13" ht="15.6" x14ac:dyDescent="0.3">
      <c r="B1467" s="5" t="str">
        <f>IF(COUNTIF(data_val!$E$3:$E$5, sample_log!$E1467), sample_log!$C1467 &amp; "_" &amp; sample_log!$D1467, "")</f>
        <v/>
      </c>
      <c r="C1467" s="5" t="str">
        <f>IF(B1467="", IF(F1467="", "", C1466), IF(sample_log!E1467="Triennial SASS", "tri_params", "params"))</f>
        <v/>
      </c>
      <c r="D1467" s="5" t="str">
        <f>IF(B1467="", "", C1467 &amp; "!" &amp; CHAR(65+MATCH(B1467, params!$B$2:$R$2, 0)))</f>
        <v/>
      </c>
      <c r="E1467" s="5" t="str">
        <f ca="1">IF(B1467="", "", COUNTA(INDIRECT(D1467 &amp; 3):INDIRECT(D1467 &amp; 24)))</f>
        <v/>
      </c>
      <c r="F1467" s="5" t="str">
        <f t="shared" si="46"/>
        <v/>
      </c>
      <c r="G1467" s="5" t="str">
        <f>IF(F1467="", "", IF(B1467&lt;&gt;"", MATCH(B1467, params!$B$2:$R$2, 0), G1466))</f>
        <v/>
      </c>
      <c r="H1467" s="5" t="str">
        <f t="shared" ca="1" si="47"/>
        <v/>
      </c>
      <c r="M1467" s="2"/>
    </row>
    <row r="1468" spans="2:13" ht="15.6" x14ac:dyDescent="0.3">
      <c r="B1468" s="5" t="str">
        <f>IF(COUNTIF(data_val!$E$3:$E$5, sample_log!$E1468), sample_log!$C1468 &amp; "_" &amp; sample_log!$D1468, "")</f>
        <v/>
      </c>
      <c r="C1468" s="5" t="str">
        <f>IF(B1468="", IF(F1468="", "", C1467), IF(sample_log!E1468="Triennial SASS", "tri_params", "params"))</f>
        <v/>
      </c>
      <c r="D1468" s="5" t="str">
        <f>IF(B1468="", "", C1468 &amp; "!" &amp; CHAR(65+MATCH(B1468, params!$B$2:$R$2, 0)))</f>
        <v/>
      </c>
      <c r="E1468" s="5" t="str">
        <f ca="1">IF(B1468="", "", COUNTA(INDIRECT(D1468 &amp; 3):INDIRECT(D1468 &amp; 24)))</f>
        <v/>
      </c>
      <c r="F1468" s="5" t="str">
        <f t="shared" si="46"/>
        <v/>
      </c>
      <c r="G1468" s="5" t="str">
        <f>IF(F1468="", "", IF(B1468&lt;&gt;"", MATCH(B1468, params!$B$2:$R$2, 0), G1467))</f>
        <v/>
      </c>
      <c r="H1468" s="5" t="str">
        <f t="shared" ca="1" si="47"/>
        <v/>
      </c>
      <c r="M1468" s="2"/>
    </row>
    <row r="1469" spans="2:13" ht="15.6" x14ac:dyDescent="0.3">
      <c r="B1469" s="5" t="str">
        <f>IF(COUNTIF(data_val!$E$3:$E$5, sample_log!$E1469), sample_log!$C1469 &amp; "_" &amp; sample_log!$D1469, "")</f>
        <v/>
      </c>
      <c r="C1469" s="5" t="str">
        <f>IF(B1469="", IF(F1469="", "", C1468), IF(sample_log!E1469="Triennial SASS", "tri_params", "params"))</f>
        <v/>
      </c>
      <c r="D1469" s="5" t="str">
        <f>IF(B1469="", "", C1469 &amp; "!" &amp; CHAR(65+MATCH(B1469, params!$B$2:$R$2, 0)))</f>
        <v/>
      </c>
      <c r="E1469" s="5" t="str">
        <f ca="1">IF(B1469="", "", COUNTA(INDIRECT(D1469 &amp; 3):INDIRECT(D1469 &amp; 24)))</f>
        <v/>
      </c>
      <c r="F1469" s="5" t="str">
        <f t="shared" si="46"/>
        <v/>
      </c>
      <c r="G1469" s="5" t="str">
        <f>IF(F1469="", "", IF(B1469&lt;&gt;"", MATCH(B1469, params!$B$2:$R$2, 0), G1468))</f>
        <v/>
      </c>
      <c r="H1469" s="5" t="str">
        <f t="shared" ca="1" si="47"/>
        <v/>
      </c>
      <c r="M1469" s="2"/>
    </row>
    <row r="1470" spans="2:13" ht="15.6" x14ac:dyDescent="0.3">
      <c r="B1470" s="5" t="str">
        <f>IF(COUNTIF(data_val!$E$3:$E$5, sample_log!$E1470), sample_log!$C1470 &amp; "_" &amp; sample_log!$D1470, "")</f>
        <v/>
      </c>
      <c r="C1470" s="5" t="str">
        <f>IF(B1470="", IF(F1470="", "", C1469), IF(sample_log!E1470="Triennial SASS", "tri_params", "params"))</f>
        <v/>
      </c>
      <c r="D1470" s="5" t="str">
        <f>IF(B1470="", "", C1470 &amp; "!" &amp; CHAR(65+MATCH(B1470, params!$B$2:$R$2, 0)))</f>
        <v/>
      </c>
      <c r="E1470" s="5" t="str">
        <f ca="1">IF(B1470="", "", COUNTA(INDIRECT(D1470 &amp; 3):INDIRECT(D1470 &amp; 24)))</f>
        <v/>
      </c>
      <c r="F1470" s="5" t="str">
        <f t="shared" si="46"/>
        <v/>
      </c>
      <c r="G1470" s="5" t="str">
        <f>IF(F1470="", "", IF(B1470&lt;&gt;"", MATCH(B1470, params!$B$2:$R$2, 0), G1469))</f>
        <v/>
      </c>
      <c r="H1470" s="5" t="str">
        <f t="shared" ca="1" si="47"/>
        <v/>
      </c>
      <c r="M1470" s="2"/>
    </row>
    <row r="1471" spans="2:13" ht="15.6" x14ac:dyDescent="0.3">
      <c r="B1471" s="5" t="str">
        <f>IF(COUNTIF(data_val!$E$3:$E$5, sample_log!$E1471), sample_log!$C1471 &amp; "_" &amp; sample_log!$D1471, "")</f>
        <v/>
      </c>
      <c r="C1471" s="5" t="str">
        <f>IF(B1471="", IF(F1471="", "", C1470), IF(sample_log!E1471="Triennial SASS", "tri_params", "params"))</f>
        <v/>
      </c>
      <c r="D1471" s="5" t="str">
        <f>IF(B1471="", "", C1471 &amp; "!" &amp; CHAR(65+MATCH(B1471, params!$B$2:$R$2, 0)))</f>
        <v/>
      </c>
      <c r="E1471" s="5" t="str">
        <f ca="1">IF(B1471="", "", COUNTA(INDIRECT(D1471 &amp; 3):INDIRECT(D1471 &amp; 24)))</f>
        <v/>
      </c>
      <c r="F1471" s="5" t="str">
        <f t="shared" si="46"/>
        <v/>
      </c>
      <c r="G1471" s="5" t="str">
        <f>IF(F1471="", "", IF(B1471&lt;&gt;"", MATCH(B1471, params!$B$2:$R$2, 0), G1470))</f>
        <v/>
      </c>
      <c r="H1471" s="5" t="str">
        <f t="shared" ca="1" si="47"/>
        <v/>
      </c>
      <c r="M1471" s="2"/>
    </row>
    <row r="1472" spans="2:13" ht="15.6" x14ac:dyDescent="0.3">
      <c r="B1472" s="5" t="str">
        <f>IF(COUNTIF(data_val!$E$3:$E$5, sample_log!$E1472), sample_log!$C1472 &amp; "_" &amp; sample_log!$D1472, "")</f>
        <v/>
      </c>
      <c r="C1472" s="5" t="str">
        <f>IF(B1472="", IF(F1472="", "", C1471), IF(sample_log!E1472="Triennial SASS", "tri_params", "params"))</f>
        <v/>
      </c>
      <c r="D1472" s="5" t="str">
        <f>IF(B1472="", "", C1472 &amp; "!" &amp; CHAR(65+MATCH(B1472, params!$B$2:$R$2, 0)))</f>
        <v/>
      </c>
      <c r="E1472" s="5" t="str">
        <f ca="1">IF(B1472="", "", COUNTA(INDIRECT(D1472 &amp; 3):INDIRECT(D1472 &amp; 24)))</f>
        <v/>
      </c>
      <c r="F1472" s="5" t="str">
        <f t="shared" si="46"/>
        <v/>
      </c>
      <c r="G1472" s="5" t="str">
        <f>IF(F1472="", "", IF(B1472&lt;&gt;"", MATCH(B1472, params!$B$2:$R$2, 0), G1471))</f>
        <v/>
      </c>
      <c r="H1472" s="5" t="str">
        <f t="shared" ca="1" si="47"/>
        <v/>
      </c>
      <c r="M1472" s="2"/>
    </row>
    <row r="1473" spans="2:13" ht="15.6" x14ac:dyDescent="0.3">
      <c r="B1473" s="5" t="str">
        <f>IF(COUNTIF(data_val!$E$3:$E$5, sample_log!$E1473), sample_log!$C1473 &amp; "_" &amp; sample_log!$D1473, "")</f>
        <v/>
      </c>
      <c r="C1473" s="5" t="str">
        <f>IF(B1473="", IF(F1473="", "", C1472), IF(sample_log!E1473="Triennial SASS", "tri_params", "params"))</f>
        <v/>
      </c>
      <c r="D1473" s="5" t="str">
        <f>IF(B1473="", "", C1473 &amp; "!" &amp; CHAR(65+MATCH(B1473, params!$B$2:$R$2, 0)))</f>
        <v/>
      </c>
      <c r="E1473" s="5" t="str">
        <f ca="1">IF(B1473="", "", COUNTA(INDIRECT(D1473 &amp; 3):INDIRECT(D1473 &amp; 24)))</f>
        <v/>
      </c>
      <c r="F1473" s="5" t="str">
        <f t="shared" si="46"/>
        <v/>
      </c>
      <c r="G1473" s="5" t="str">
        <f>IF(F1473="", "", IF(B1473&lt;&gt;"", MATCH(B1473, params!$B$2:$R$2, 0), G1472))</f>
        <v/>
      </c>
      <c r="H1473" s="5" t="str">
        <f t="shared" ca="1" si="47"/>
        <v/>
      </c>
      <c r="M1473" s="2"/>
    </row>
    <row r="1474" spans="2:13" ht="15.6" x14ac:dyDescent="0.3">
      <c r="B1474" s="5" t="str">
        <f>IF(COUNTIF(data_val!$E$3:$E$5, sample_log!$E1474), sample_log!$C1474 &amp; "_" &amp; sample_log!$D1474, "")</f>
        <v/>
      </c>
      <c r="C1474" s="5" t="str">
        <f>IF(B1474="", IF(F1474="", "", C1473), IF(sample_log!E1474="Triennial SASS", "tri_params", "params"))</f>
        <v/>
      </c>
      <c r="D1474" s="5" t="str">
        <f>IF(B1474="", "", C1474 &amp; "!" &amp; CHAR(65+MATCH(B1474, params!$B$2:$R$2, 0)))</f>
        <v/>
      </c>
      <c r="E1474" s="5" t="str">
        <f ca="1">IF(B1474="", "", COUNTA(INDIRECT(D1474 &amp; 3):INDIRECT(D1474 &amp; 24)))</f>
        <v/>
      </c>
      <c r="F1474" s="5" t="str">
        <f t="shared" si="46"/>
        <v/>
      </c>
      <c r="G1474" s="5" t="str">
        <f>IF(F1474="", "", IF(B1474&lt;&gt;"", MATCH(B1474, params!$B$2:$R$2, 0), G1473))</f>
        <v/>
      </c>
      <c r="H1474" s="5" t="str">
        <f t="shared" ca="1" si="47"/>
        <v/>
      </c>
      <c r="M1474" s="2"/>
    </row>
    <row r="1475" spans="2:13" ht="15.6" x14ac:dyDescent="0.3">
      <c r="B1475" s="5" t="str">
        <f>IF(COUNTIF(data_val!$E$3:$E$5, sample_log!$E1475), sample_log!$C1475 &amp; "_" &amp; sample_log!$D1475, "")</f>
        <v/>
      </c>
      <c r="C1475" s="5" t="str">
        <f>IF(B1475="", IF(F1475="", "", C1474), IF(sample_log!E1475="Triennial SASS", "tri_params", "params"))</f>
        <v/>
      </c>
      <c r="D1475" s="5" t="str">
        <f>IF(B1475="", "", C1475 &amp; "!" &amp; CHAR(65+MATCH(B1475, params!$B$2:$R$2, 0)))</f>
        <v/>
      </c>
      <c r="E1475" s="5" t="str">
        <f ca="1">IF(B1475="", "", COUNTA(INDIRECT(D1475 &amp; 3):INDIRECT(D1475 &amp; 24)))</f>
        <v/>
      </c>
      <c r="F1475" s="5" t="str">
        <f t="shared" ref="F1475:F1538" si="48">IF(B1475="", IF(NOT(ISNUMBER(F1474)), "", IF(F1474-1&gt;0, F1474-1, "")), E1475)</f>
        <v/>
      </c>
      <c r="G1475" s="5" t="str">
        <f>IF(F1475="", "", IF(B1475&lt;&gt;"", MATCH(B1475, params!$B$2:$R$2, 0), G1474))</f>
        <v/>
      </c>
      <c r="H1475" s="5" t="str">
        <f t="shared" ca="1" si="47"/>
        <v/>
      </c>
      <c r="M1475" s="2"/>
    </row>
    <row r="1476" spans="2:13" ht="15.6" x14ac:dyDescent="0.3">
      <c r="B1476" s="5" t="str">
        <f>IF(COUNTIF(data_val!$E$3:$E$5, sample_log!$E1476), sample_log!$C1476 &amp; "_" &amp; sample_log!$D1476, "")</f>
        <v/>
      </c>
      <c r="C1476" s="5" t="str">
        <f>IF(B1476="", IF(F1476="", "", C1475), IF(sample_log!E1476="Triennial SASS", "tri_params", "params"))</f>
        <v/>
      </c>
      <c r="D1476" s="5" t="str">
        <f>IF(B1476="", "", C1476 &amp; "!" &amp; CHAR(65+MATCH(B1476, params!$B$2:$R$2, 0)))</f>
        <v/>
      </c>
      <c r="E1476" s="5" t="str">
        <f ca="1">IF(B1476="", "", COUNTA(INDIRECT(D1476 &amp; 3):INDIRECT(D1476 &amp; 24)))</f>
        <v/>
      </c>
      <c r="F1476" s="5" t="str">
        <f t="shared" si="48"/>
        <v/>
      </c>
      <c r="G1476" s="5" t="str">
        <f>IF(F1476="", "", IF(B1476&lt;&gt;"", MATCH(B1476, params!$B$2:$R$2, 0), G1475))</f>
        <v/>
      </c>
      <c r="H1476" s="5" t="str">
        <f t="shared" ca="1" si="47"/>
        <v/>
      </c>
      <c r="M1476" s="2"/>
    </row>
    <row r="1477" spans="2:13" ht="15.6" x14ac:dyDescent="0.3">
      <c r="B1477" s="5" t="str">
        <f>IF(COUNTIF(data_val!$E$3:$E$5, sample_log!$E1477), sample_log!$C1477 &amp; "_" &amp; sample_log!$D1477, "")</f>
        <v/>
      </c>
      <c r="C1477" s="5" t="str">
        <f>IF(B1477="", IF(F1477="", "", C1476), IF(sample_log!E1477="Triennial SASS", "tri_params", "params"))</f>
        <v/>
      </c>
      <c r="D1477" s="5" t="str">
        <f>IF(B1477="", "", C1477 &amp; "!" &amp; CHAR(65+MATCH(B1477, params!$B$2:$R$2, 0)))</f>
        <v/>
      </c>
      <c r="E1477" s="5" t="str">
        <f ca="1">IF(B1477="", "", COUNTA(INDIRECT(D1477 &amp; 3):INDIRECT(D1477 &amp; 24)))</f>
        <v/>
      </c>
      <c r="F1477" s="5" t="str">
        <f t="shared" si="48"/>
        <v/>
      </c>
      <c r="G1477" s="5" t="str">
        <f>IF(F1477="", "", IF(B1477&lt;&gt;"", MATCH(B1477, params!$B$2:$R$2, 0), G1476))</f>
        <v/>
      </c>
      <c r="H1477" s="5" t="str">
        <f t="shared" ca="1" si="47"/>
        <v/>
      </c>
      <c r="M1477" s="2"/>
    </row>
    <row r="1478" spans="2:13" ht="15.6" x14ac:dyDescent="0.3">
      <c r="B1478" s="5" t="str">
        <f>IF(COUNTIF(data_val!$E$3:$E$5, sample_log!$E1478), sample_log!$C1478 &amp; "_" &amp; sample_log!$D1478, "")</f>
        <v/>
      </c>
      <c r="C1478" s="5" t="str">
        <f>IF(B1478="", IF(F1478="", "", C1477), IF(sample_log!E1478="Triennial SASS", "tri_params", "params"))</f>
        <v/>
      </c>
      <c r="D1478" s="5" t="str">
        <f>IF(B1478="", "", C1478 &amp; "!" &amp; CHAR(65+MATCH(B1478, params!$B$2:$R$2, 0)))</f>
        <v/>
      </c>
      <c r="E1478" s="5" t="str">
        <f ca="1">IF(B1478="", "", COUNTA(INDIRECT(D1478 &amp; 3):INDIRECT(D1478 &amp; 24)))</f>
        <v/>
      </c>
      <c r="F1478" s="5" t="str">
        <f t="shared" si="48"/>
        <v/>
      </c>
      <c r="G1478" s="5" t="str">
        <f>IF(F1478="", "", IF(B1478&lt;&gt;"", MATCH(B1478, params!$B$2:$R$2, 0), G1477))</f>
        <v/>
      </c>
      <c r="H1478" s="5" t="str">
        <f t="shared" ca="1" si="47"/>
        <v/>
      </c>
      <c r="M1478" s="2"/>
    </row>
    <row r="1479" spans="2:13" ht="15.6" x14ac:dyDescent="0.3">
      <c r="B1479" s="5" t="str">
        <f>IF(COUNTIF(data_val!$E$3:$E$5, sample_log!$E1479), sample_log!$C1479 &amp; "_" &amp; sample_log!$D1479, "")</f>
        <v/>
      </c>
      <c r="C1479" s="5" t="str">
        <f>IF(B1479="", IF(F1479="", "", C1478), IF(sample_log!E1479="Triennial SASS", "tri_params", "params"))</f>
        <v/>
      </c>
      <c r="D1479" s="5" t="str">
        <f>IF(B1479="", "", C1479 &amp; "!" &amp; CHAR(65+MATCH(B1479, params!$B$2:$R$2, 0)))</f>
        <v/>
      </c>
      <c r="E1479" s="5" t="str">
        <f ca="1">IF(B1479="", "", COUNTA(INDIRECT(D1479 &amp; 3):INDIRECT(D1479 &amp; 24)))</f>
        <v/>
      </c>
      <c r="F1479" s="5" t="str">
        <f t="shared" si="48"/>
        <v/>
      </c>
      <c r="G1479" s="5" t="str">
        <f>IF(F1479="", "", IF(B1479&lt;&gt;"", MATCH(B1479, params!$B$2:$R$2, 0), G1478))</f>
        <v/>
      </c>
      <c r="H1479" s="5" t="str">
        <f t="shared" ca="1" si="47"/>
        <v/>
      </c>
      <c r="M1479" s="2"/>
    </row>
    <row r="1480" spans="2:13" ht="15.6" x14ac:dyDescent="0.3">
      <c r="B1480" s="5" t="str">
        <f>IF(COUNTIF(data_val!$E$3:$E$5, sample_log!$E1480), sample_log!$C1480 &amp; "_" &amp; sample_log!$D1480, "")</f>
        <v/>
      </c>
      <c r="C1480" s="5" t="str">
        <f>IF(B1480="", IF(F1480="", "", C1479), IF(sample_log!E1480="Triennial SASS", "tri_params", "params"))</f>
        <v/>
      </c>
      <c r="D1480" s="5" t="str">
        <f>IF(B1480="", "", C1480 &amp; "!" &amp; CHAR(65+MATCH(B1480, params!$B$2:$R$2, 0)))</f>
        <v/>
      </c>
      <c r="E1480" s="5" t="str">
        <f ca="1">IF(B1480="", "", COUNTA(INDIRECT(D1480 &amp; 3):INDIRECT(D1480 &amp; 24)))</f>
        <v/>
      </c>
      <c r="F1480" s="5" t="str">
        <f t="shared" si="48"/>
        <v/>
      </c>
      <c r="G1480" s="5" t="str">
        <f>IF(F1480="", "", IF(B1480&lt;&gt;"", MATCH(B1480, params!$B$2:$R$2, 0), G1479))</f>
        <v/>
      </c>
      <c r="H1480" s="5" t="str">
        <f t="shared" ca="1" si="47"/>
        <v/>
      </c>
      <c r="M1480" s="2"/>
    </row>
    <row r="1481" spans="2:13" ht="15.6" x14ac:dyDescent="0.3">
      <c r="B1481" s="5" t="str">
        <f>IF(COUNTIF(data_val!$E$3:$E$5, sample_log!$E1481), sample_log!$C1481 &amp; "_" &amp; sample_log!$D1481, "")</f>
        <v/>
      </c>
      <c r="C1481" s="5" t="str">
        <f>IF(B1481="", IF(F1481="", "", C1480), IF(sample_log!E1481="Triennial SASS", "tri_params", "params"))</f>
        <v/>
      </c>
      <c r="D1481" s="5" t="str">
        <f>IF(B1481="", "", C1481 &amp; "!" &amp; CHAR(65+MATCH(B1481, params!$B$2:$R$2, 0)))</f>
        <v/>
      </c>
      <c r="E1481" s="5" t="str">
        <f ca="1">IF(B1481="", "", COUNTA(INDIRECT(D1481 &amp; 3):INDIRECT(D1481 &amp; 24)))</f>
        <v/>
      </c>
      <c r="F1481" s="5" t="str">
        <f t="shared" si="48"/>
        <v/>
      </c>
      <c r="G1481" s="5" t="str">
        <f>IF(F1481="", "", IF(B1481&lt;&gt;"", MATCH(B1481, params!$B$2:$R$2, 0), G1480))</f>
        <v/>
      </c>
      <c r="H1481" s="5" t="str">
        <f t="shared" ca="1" si="47"/>
        <v/>
      </c>
      <c r="M1481" s="2"/>
    </row>
    <row r="1482" spans="2:13" ht="15.6" x14ac:dyDescent="0.3">
      <c r="B1482" s="5" t="str">
        <f>IF(COUNTIF(data_val!$E$3:$E$5, sample_log!$E1482), sample_log!$C1482 &amp; "_" &amp; sample_log!$D1482, "")</f>
        <v/>
      </c>
      <c r="C1482" s="5" t="str">
        <f>IF(B1482="", IF(F1482="", "", C1481), IF(sample_log!E1482="Triennial SASS", "tri_params", "params"))</f>
        <v/>
      </c>
      <c r="D1482" s="5" t="str">
        <f>IF(B1482="", "", C1482 &amp; "!" &amp; CHAR(65+MATCH(B1482, params!$B$2:$R$2, 0)))</f>
        <v/>
      </c>
      <c r="E1482" s="5" t="str">
        <f ca="1">IF(B1482="", "", COUNTA(INDIRECT(D1482 &amp; 3):INDIRECT(D1482 &amp; 24)))</f>
        <v/>
      </c>
      <c r="F1482" s="5" t="str">
        <f t="shared" si="48"/>
        <v/>
      </c>
      <c r="G1482" s="5" t="str">
        <f>IF(F1482="", "", IF(B1482&lt;&gt;"", MATCH(B1482, params!$B$2:$R$2, 0), G1481))</f>
        <v/>
      </c>
      <c r="H1482" s="5" t="str">
        <f t="shared" ca="1" si="47"/>
        <v/>
      </c>
      <c r="M1482" s="2"/>
    </row>
    <row r="1483" spans="2:13" ht="15.6" x14ac:dyDescent="0.3">
      <c r="B1483" s="5" t="str">
        <f>IF(COUNTIF(data_val!$E$3:$E$5, sample_log!$E1483), sample_log!$C1483 &amp; "_" &amp; sample_log!$D1483, "")</f>
        <v/>
      </c>
      <c r="C1483" s="5" t="str">
        <f>IF(B1483="", IF(F1483="", "", C1482), IF(sample_log!E1483="Triennial SASS", "tri_params", "params"))</f>
        <v/>
      </c>
      <c r="D1483" s="5" t="str">
        <f>IF(B1483="", "", C1483 &amp; "!" &amp; CHAR(65+MATCH(B1483, params!$B$2:$R$2, 0)))</f>
        <v/>
      </c>
      <c r="E1483" s="5" t="str">
        <f ca="1">IF(B1483="", "", COUNTA(INDIRECT(D1483 &amp; 3):INDIRECT(D1483 &amp; 24)))</f>
        <v/>
      </c>
      <c r="F1483" s="5" t="str">
        <f t="shared" si="48"/>
        <v/>
      </c>
      <c r="G1483" s="5" t="str">
        <f>IF(F1483="", "", IF(B1483&lt;&gt;"", MATCH(B1483, params!$B$2:$R$2, 0), G1482))</f>
        <v/>
      </c>
      <c r="H1483" s="5" t="str">
        <f t="shared" ca="1" si="47"/>
        <v/>
      </c>
      <c r="M1483" s="2"/>
    </row>
    <row r="1484" spans="2:13" ht="15.6" x14ac:dyDescent="0.3">
      <c r="B1484" s="5" t="str">
        <f>IF(COUNTIF(data_val!$E$3:$E$5, sample_log!$E1484), sample_log!$C1484 &amp; "_" &amp; sample_log!$D1484, "")</f>
        <v/>
      </c>
      <c r="C1484" s="5" t="str">
        <f>IF(B1484="", IF(F1484="", "", C1483), IF(sample_log!E1484="Triennial SASS", "tri_params", "params"))</f>
        <v/>
      </c>
      <c r="D1484" s="5" t="str">
        <f>IF(B1484="", "", C1484 &amp; "!" &amp; CHAR(65+MATCH(B1484, params!$B$2:$R$2, 0)))</f>
        <v/>
      </c>
      <c r="E1484" s="5" t="str">
        <f ca="1">IF(B1484="", "", COUNTA(INDIRECT(D1484 &amp; 3):INDIRECT(D1484 &amp; 24)))</f>
        <v/>
      </c>
      <c r="F1484" s="5" t="str">
        <f t="shared" si="48"/>
        <v/>
      </c>
      <c r="G1484" s="5" t="str">
        <f>IF(F1484="", "", IF(B1484&lt;&gt;"", MATCH(B1484, params!$B$2:$R$2, 0), G1483))</f>
        <v/>
      </c>
      <c r="H1484" s="5" t="str">
        <f t="shared" ca="1" si="47"/>
        <v/>
      </c>
      <c r="M1484" s="2"/>
    </row>
    <row r="1485" spans="2:13" ht="15.6" x14ac:dyDescent="0.3">
      <c r="B1485" s="5" t="str">
        <f>IF(COUNTIF(data_val!$E$3:$E$5, sample_log!$E1485), sample_log!$C1485 &amp; "_" &amp; sample_log!$D1485, "")</f>
        <v/>
      </c>
      <c r="C1485" s="5" t="str">
        <f>IF(B1485="", IF(F1485="", "", C1484), IF(sample_log!E1485="Triennial SASS", "tri_params", "params"))</f>
        <v/>
      </c>
      <c r="D1485" s="5" t="str">
        <f>IF(B1485="", "", C1485 &amp; "!" &amp; CHAR(65+MATCH(B1485, params!$B$2:$R$2, 0)))</f>
        <v/>
      </c>
      <c r="E1485" s="5" t="str">
        <f ca="1">IF(B1485="", "", COUNTA(INDIRECT(D1485 &amp; 3):INDIRECT(D1485 &amp; 24)))</f>
        <v/>
      </c>
      <c r="F1485" s="5" t="str">
        <f t="shared" si="48"/>
        <v/>
      </c>
      <c r="G1485" s="5" t="str">
        <f>IF(F1485="", "", IF(B1485&lt;&gt;"", MATCH(B1485, params!$B$2:$R$2, 0), G1484))</f>
        <v/>
      </c>
      <c r="H1485" s="5" t="str">
        <f t="shared" ca="1" si="47"/>
        <v/>
      </c>
      <c r="M1485" s="2"/>
    </row>
    <row r="1486" spans="2:13" ht="15.6" x14ac:dyDescent="0.3">
      <c r="B1486" s="5" t="str">
        <f>IF(COUNTIF(data_val!$E$3:$E$5, sample_log!$E1486), sample_log!$C1486 &amp; "_" &amp; sample_log!$D1486, "")</f>
        <v/>
      </c>
      <c r="C1486" s="5" t="str">
        <f>IF(B1486="", IF(F1486="", "", C1485), IF(sample_log!E1486="Triennial SASS", "tri_params", "params"))</f>
        <v/>
      </c>
      <c r="D1486" s="5" t="str">
        <f>IF(B1486="", "", C1486 &amp; "!" &amp; CHAR(65+MATCH(B1486, params!$B$2:$R$2, 0)))</f>
        <v/>
      </c>
      <c r="E1486" s="5" t="str">
        <f ca="1">IF(B1486="", "", COUNTA(INDIRECT(D1486 &amp; 3):INDIRECT(D1486 &amp; 24)))</f>
        <v/>
      </c>
      <c r="F1486" s="5" t="str">
        <f t="shared" si="48"/>
        <v/>
      </c>
      <c r="G1486" s="5" t="str">
        <f>IF(F1486="", "", IF(B1486&lt;&gt;"", MATCH(B1486, params!$B$2:$R$2, 0), G1485))</f>
        <v/>
      </c>
      <c r="H1486" s="5" t="str">
        <f t="shared" ca="1" si="47"/>
        <v/>
      </c>
      <c r="M1486" s="2"/>
    </row>
    <row r="1487" spans="2:13" ht="15.6" x14ac:dyDescent="0.3">
      <c r="B1487" s="5" t="str">
        <f>IF(COUNTIF(data_val!$E$3:$E$5, sample_log!$E1487), sample_log!$C1487 &amp; "_" &amp; sample_log!$D1487, "")</f>
        <v/>
      </c>
      <c r="C1487" s="5" t="str">
        <f>IF(B1487="", IF(F1487="", "", C1486), IF(sample_log!E1487="Triennial SASS", "tri_params", "params"))</f>
        <v/>
      </c>
      <c r="D1487" s="5" t="str">
        <f>IF(B1487="", "", C1487 &amp; "!" &amp; CHAR(65+MATCH(B1487, params!$B$2:$R$2, 0)))</f>
        <v/>
      </c>
      <c r="E1487" s="5" t="str">
        <f ca="1">IF(B1487="", "", COUNTA(INDIRECT(D1487 &amp; 3):INDIRECT(D1487 &amp; 24)))</f>
        <v/>
      </c>
      <c r="F1487" s="5" t="str">
        <f t="shared" si="48"/>
        <v/>
      </c>
      <c r="G1487" s="5" t="str">
        <f>IF(F1487="", "", IF(B1487&lt;&gt;"", MATCH(B1487, params!$B$2:$R$2, 0), G1486))</f>
        <v/>
      </c>
      <c r="H1487" s="5" t="str">
        <f t="shared" ca="1" si="47"/>
        <v/>
      </c>
      <c r="M1487" s="2"/>
    </row>
    <row r="1488" spans="2:13" ht="15.6" x14ac:dyDescent="0.3">
      <c r="B1488" s="5" t="str">
        <f>IF(COUNTIF(data_val!$E$3:$E$5, sample_log!$E1488), sample_log!$C1488 &amp; "_" &amp; sample_log!$D1488, "")</f>
        <v/>
      </c>
      <c r="C1488" s="5" t="str">
        <f>IF(B1488="", IF(F1488="", "", C1487), IF(sample_log!E1488="Triennial SASS", "tri_params", "params"))</f>
        <v/>
      </c>
      <c r="D1488" s="5" t="str">
        <f>IF(B1488="", "", C1488 &amp; "!" &amp; CHAR(65+MATCH(B1488, params!$B$2:$R$2, 0)))</f>
        <v/>
      </c>
      <c r="E1488" s="5" t="str">
        <f ca="1">IF(B1488="", "", COUNTA(INDIRECT(D1488 &amp; 3):INDIRECT(D1488 &amp; 24)))</f>
        <v/>
      </c>
      <c r="F1488" s="5" t="str">
        <f t="shared" si="48"/>
        <v/>
      </c>
      <c r="G1488" s="5" t="str">
        <f>IF(F1488="", "", IF(B1488&lt;&gt;"", MATCH(B1488, params!$B$2:$R$2, 0), G1487))</f>
        <v/>
      </c>
      <c r="H1488" s="5" t="str">
        <f t="shared" ca="1" si="47"/>
        <v/>
      </c>
      <c r="M1488" s="2"/>
    </row>
    <row r="1489" spans="2:13" ht="15.6" x14ac:dyDescent="0.3">
      <c r="B1489" s="5" t="str">
        <f>IF(COUNTIF(data_val!$E$3:$E$5, sample_log!$E1489), sample_log!$C1489 &amp; "_" &amp; sample_log!$D1489, "")</f>
        <v/>
      </c>
      <c r="C1489" s="5" t="str">
        <f>IF(B1489="", IF(F1489="", "", C1488), IF(sample_log!E1489="Triennial SASS", "tri_params", "params"))</f>
        <v/>
      </c>
      <c r="D1489" s="5" t="str">
        <f>IF(B1489="", "", C1489 &amp; "!" &amp; CHAR(65+MATCH(B1489, params!$B$2:$R$2, 0)))</f>
        <v/>
      </c>
      <c r="E1489" s="5" t="str">
        <f ca="1">IF(B1489="", "", COUNTA(INDIRECT(D1489 &amp; 3):INDIRECT(D1489 &amp; 24)))</f>
        <v/>
      </c>
      <c r="F1489" s="5" t="str">
        <f t="shared" si="48"/>
        <v/>
      </c>
      <c r="G1489" s="5" t="str">
        <f>IF(F1489="", "", IF(B1489&lt;&gt;"", MATCH(B1489, params!$B$2:$R$2, 0), G1488))</f>
        <v/>
      </c>
      <c r="H1489" s="5" t="str">
        <f t="shared" ca="1" si="47"/>
        <v/>
      </c>
      <c r="M1489" s="2"/>
    </row>
    <row r="1490" spans="2:13" ht="15.6" x14ac:dyDescent="0.3">
      <c r="B1490" s="5" t="str">
        <f>IF(COUNTIF(data_val!$E$3:$E$5, sample_log!$E1490), sample_log!$C1490 &amp; "_" &amp; sample_log!$D1490, "")</f>
        <v/>
      </c>
      <c r="C1490" s="5" t="str">
        <f>IF(B1490="", IF(F1490="", "", C1489), IF(sample_log!E1490="Triennial SASS", "tri_params", "params"))</f>
        <v/>
      </c>
      <c r="D1490" s="5" t="str">
        <f>IF(B1490="", "", C1490 &amp; "!" &amp; CHAR(65+MATCH(B1490, params!$B$2:$R$2, 0)))</f>
        <v/>
      </c>
      <c r="E1490" s="5" t="str">
        <f ca="1">IF(B1490="", "", COUNTA(INDIRECT(D1490 &amp; 3):INDIRECT(D1490 &amp; 24)))</f>
        <v/>
      </c>
      <c r="F1490" s="5" t="str">
        <f t="shared" si="48"/>
        <v/>
      </c>
      <c r="G1490" s="5" t="str">
        <f>IF(F1490="", "", IF(B1490&lt;&gt;"", MATCH(B1490, params!$B$2:$R$2, 0), G1489))</f>
        <v/>
      </c>
      <c r="H1490" s="5" t="str">
        <f t="shared" ca="1" si="47"/>
        <v/>
      </c>
      <c r="M1490" s="2"/>
    </row>
    <row r="1491" spans="2:13" ht="15.6" x14ac:dyDescent="0.3">
      <c r="B1491" s="5" t="str">
        <f>IF(COUNTIF(data_val!$E$3:$E$5, sample_log!$E1491), sample_log!$C1491 &amp; "_" &amp; sample_log!$D1491, "")</f>
        <v/>
      </c>
      <c r="C1491" s="5" t="str">
        <f>IF(B1491="", IF(F1491="", "", C1490), IF(sample_log!E1491="Triennial SASS", "tri_params", "params"))</f>
        <v/>
      </c>
      <c r="D1491" s="5" t="str">
        <f>IF(B1491="", "", C1491 &amp; "!" &amp; CHAR(65+MATCH(B1491, params!$B$2:$R$2, 0)))</f>
        <v/>
      </c>
      <c r="E1491" s="5" t="str">
        <f ca="1">IF(B1491="", "", COUNTA(INDIRECT(D1491 &amp; 3):INDIRECT(D1491 &amp; 24)))</f>
        <v/>
      </c>
      <c r="F1491" s="5" t="str">
        <f t="shared" si="48"/>
        <v/>
      </c>
      <c r="G1491" s="5" t="str">
        <f>IF(F1491="", "", IF(B1491&lt;&gt;"", MATCH(B1491, params!$B$2:$R$2, 0), G1490))</f>
        <v/>
      </c>
      <c r="H1491" s="5" t="str">
        <f t="shared" ca="1" si="47"/>
        <v/>
      </c>
      <c r="M1491" s="2"/>
    </row>
    <row r="1492" spans="2:13" ht="15.6" x14ac:dyDescent="0.3">
      <c r="B1492" s="5" t="str">
        <f>IF(COUNTIF(data_val!$E$3:$E$5, sample_log!$E1492), sample_log!$C1492 &amp; "_" &amp; sample_log!$D1492, "")</f>
        <v/>
      </c>
      <c r="C1492" s="5" t="str">
        <f>IF(B1492="", IF(F1492="", "", C1491), IF(sample_log!E1492="Triennial SASS", "tri_params", "params"))</f>
        <v/>
      </c>
      <c r="D1492" s="5" t="str">
        <f>IF(B1492="", "", C1492 &amp; "!" &amp; CHAR(65+MATCH(B1492, params!$B$2:$R$2, 0)))</f>
        <v/>
      </c>
      <c r="E1492" s="5" t="str">
        <f ca="1">IF(B1492="", "", COUNTA(INDIRECT(D1492 &amp; 3):INDIRECT(D1492 &amp; 24)))</f>
        <v/>
      </c>
      <c r="F1492" s="5" t="str">
        <f t="shared" si="48"/>
        <v/>
      </c>
      <c r="G1492" s="5" t="str">
        <f>IF(F1492="", "", IF(B1492&lt;&gt;"", MATCH(B1492, params!$B$2:$R$2, 0), G1491))</f>
        <v/>
      </c>
      <c r="H1492" s="5" t="str">
        <f t="shared" ca="1" si="47"/>
        <v/>
      </c>
      <c r="M1492" s="2"/>
    </row>
    <row r="1493" spans="2:13" ht="15.6" x14ac:dyDescent="0.3">
      <c r="B1493" s="5" t="str">
        <f>IF(COUNTIF(data_val!$E$3:$E$5, sample_log!$E1493), sample_log!$C1493 &amp; "_" &amp; sample_log!$D1493, "")</f>
        <v/>
      </c>
      <c r="C1493" s="5" t="str">
        <f>IF(B1493="", IF(F1493="", "", C1492), IF(sample_log!E1493="Triennial SASS", "tri_params", "params"))</f>
        <v/>
      </c>
      <c r="D1493" s="5" t="str">
        <f>IF(B1493="", "", C1493 &amp; "!" &amp; CHAR(65+MATCH(B1493, params!$B$2:$R$2, 0)))</f>
        <v/>
      </c>
      <c r="E1493" s="5" t="str">
        <f ca="1">IF(B1493="", "", COUNTA(INDIRECT(D1493 &amp; 3):INDIRECT(D1493 &amp; 24)))</f>
        <v/>
      </c>
      <c r="F1493" s="5" t="str">
        <f t="shared" si="48"/>
        <v/>
      </c>
      <c r="G1493" s="5" t="str">
        <f>IF(F1493="", "", IF(B1493&lt;&gt;"", MATCH(B1493, params!$B$2:$R$2, 0), G1492))</f>
        <v/>
      </c>
      <c r="H1493" s="5" t="str">
        <f t="shared" ca="1" si="47"/>
        <v/>
      </c>
      <c r="M1493" s="2"/>
    </row>
    <row r="1494" spans="2:13" ht="15.6" x14ac:dyDescent="0.3">
      <c r="B1494" s="5" t="str">
        <f>IF(COUNTIF(data_val!$E$3:$E$5, sample_log!$E1494), sample_log!$C1494 &amp; "_" &amp; sample_log!$D1494, "")</f>
        <v/>
      </c>
      <c r="C1494" s="5" t="str">
        <f>IF(B1494="", IF(F1494="", "", C1493), IF(sample_log!E1494="Triennial SASS", "tri_params", "params"))</f>
        <v/>
      </c>
      <c r="D1494" s="5" t="str">
        <f>IF(B1494="", "", C1494 &amp; "!" &amp; CHAR(65+MATCH(B1494, params!$B$2:$R$2, 0)))</f>
        <v/>
      </c>
      <c r="E1494" s="5" t="str">
        <f ca="1">IF(B1494="", "", COUNTA(INDIRECT(D1494 &amp; 3):INDIRECT(D1494 &amp; 24)))</f>
        <v/>
      </c>
      <c r="F1494" s="5" t="str">
        <f t="shared" si="48"/>
        <v/>
      </c>
      <c r="G1494" s="5" t="str">
        <f>IF(F1494="", "", IF(B1494&lt;&gt;"", MATCH(B1494, params!$B$2:$R$2, 0), G1493))</f>
        <v/>
      </c>
      <c r="H1494" s="5" t="str">
        <f t="shared" ca="1" si="47"/>
        <v/>
      </c>
      <c r="M1494" s="2"/>
    </row>
    <row r="1495" spans="2:13" ht="15.6" x14ac:dyDescent="0.3">
      <c r="B1495" s="5" t="str">
        <f>IF(COUNTIF(data_val!$E$3:$E$5, sample_log!$E1495), sample_log!$C1495 &amp; "_" &amp; sample_log!$D1495, "")</f>
        <v/>
      </c>
      <c r="C1495" s="5" t="str">
        <f>IF(B1495="", IF(F1495="", "", C1494), IF(sample_log!E1495="Triennial SASS", "tri_params", "params"))</f>
        <v/>
      </c>
      <c r="D1495" s="5" t="str">
        <f>IF(B1495="", "", C1495 &amp; "!" &amp; CHAR(65+MATCH(B1495, params!$B$2:$R$2, 0)))</f>
        <v/>
      </c>
      <c r="E1495" s="5" t="str">
        <f ca="1">IF(B1495="", "", COUNTA(INDIRECT(D1495 &amp; 3):INDIRECT(D1495 &amp; 24)))</f>
        <v/>
      </c>
      <c r="F1495" s="5" t="str">
        <f t="shared" si="48"/>
        <v/>
      </c>
      <c r="G1495" s="5" t="str">
        <f>IF(F1495="", "", IF(B1495&lt;&gt;"", MATCH(B1495, params!$B$2:$R$2, 0), G1494))</f>
        <v/>
      </c>
      <c r="H1495" s="5" t="str">
        <f t="shared" ca="1" si="47"/>
        <v/>
      </c>
      <c r="M1495" s="2"/>
    </row>
    <row r="1496" spans="2:13" ht="15.6" x14ac:dyDescent="0.3">
      <c r="B1496" s="5" t="str">
        <f>IF(COUNTIF(data_val!$E$3:$E$5, sample_log!$E1496), sample_log!$C1496 &amp; "_" &amp; sample_log!$D1496, "")</f>
        <v/>
      </c>
      <c r="C1496" s="5" t="str">
        <f>IF(B1496="", IF(F1496="", "", C1495), IF(sample_log!E1496="Triennial SASS", "tri_params", "params"))</f>
        <v/>
      </c>
      <c r="D1496" s="5" t="str">
        <f>IF(B1496="", "", C1496 &amp; "!" &amp; CHAR(65+MATCH(B1496, params!$B$2:$R$2, 0)))</f>
        <v/>
      </c>
      <c r="E1496" s="5" t="str">
        <f ca="1">IF(B1496="", "", COUNTA(INDIRECT(D1496 &amp; 3):INDIRECT(D1496 &amp; 24)))</f>
        <v/>
      </c>
      <c r="F1496" s="5" t="str">
        <f t="shared" si="48"/>
        <v/>
      </c>
      <c r="G1496" s="5" t="str">
        <f>IF(F1496="", "", IF(B1496&lt;&gt;"", MATCH(B1496, params!$B$2:$R$2, 0), G1495))</f>
        <v/>
      </c>
      <c r="H1496" s="5" t="str">
        <f t="shared" ca="1" si="47"/>
        <v/>
      </c>
      <c r="M1496" s="2"/>
    </row>
    <row r="1497" spans="2:13" ht="15.6" x14ac:dyDescent="0.3">
      <c r="B1497" s="5" t="str">
        <f>IF(COUNTIF(data_val!$E$3:$E$5, sample_log!$E1497), sample_log!$C1497 &amp; "_" &amp; sample_log!$D1497, "")</f>
        <v/>
      </c>
      <c r="C1497" s="5" t="str">
        <f>IF(B1497="", IF(F1497="", "", C1496), IF(sample_log!E1497="Triennial SASS", "tri_params", "params"))</f>
        <v/>
      </c>
      <c r="D1497" s="5" t="str">
        <f>IF(B1497="", "", C1497 &amp; "!" &amp; CHAR(65+MATCH(B1497, params!$B$2:$R$2, 0)))</f>
        <v/>
      </c>
      <c r="E1497" s="5" t="str">
        <f ca="1">IF(B1497="", "", COUNTA(INDIRECT(D1497 &amp; 3):INDIRECT(D1497 &amp; 24)))</f>
        <v/>
      </c>
      <c r="F1497" s="5" t="str">
        <f t="shared" si="48"/>
        <v/>
      </c>
      <c r="G1497" s="5" t="str">
        <f>IF(F1497="", "", IF(B1497&lt;&gt;"", MATCH(B1497, params!$B$2:$R$2, 0), G1496))</f>
        <v/>
      </c>
      <c r="H1497" s="5" t="str">
        <f t="shared" ref="H1497:H1560" ca="1" si="49">IF($F1497="", "", INDEX(INDIRECT("'" &amp; C1497 &amp; "'!$B$3:$R$24"), $F1497, $G1497))</f>
        <v/>
      </c>
      <c r="M1497" s="2"/>
    </row>
    <row r="1498" spans="2:13" ht="15.6" x14ac:dyDescent="0.3">
      <c r="B1498" s="5" t="str">
        <f>IF(COUNTIF(data_val!$E$3:$E$5, sample_log!$E1498), sample_log!$C1498 &amp; "_" &amp; sample_log!$D1498, "")</f>
        <v/>
      </c>
      <c r="C1498" s="5" t="str">
        <f>IF(B1498="", IF(F1498="", "", C1497), IF(sample_log!E1498="Triennial SASS", "tri_params", "params"))</f>
        <v/>
      </c>
      <c r="D1498" s="5" t="str">
        <f>IF(B1498="", "", C1498 &amp; "!" &amp; CHAR(65+MATCH(B1498, params!$B$2:$R$2, 0)))</f>
        <v/>
      </c>
      <c r="E1498" s="5" t="str">
        <f ca="1">IF(B1498="", "", COUNTA(INDIRECT(D1498 &amp; 3):INDIRECT(D1498 &amp; 24)))</f>
        <v/>
      </c>
      <c r="F1498" s="5" t="str">
        <f t="shared" si="48"/>
        <v/>
      </c>
      <c r="G1498" s="5" t="str">
        <f>IF(F1498="", "", IF(B1498&lt;&gt;"", MATCH(B1498, params!$B$2:$R$2, 0), G1497))</f>
        <v/>
      </c>
      <c r="H1498" s="5" t="str">
        <f t="shared" ca="1" si="49"/>
        <v/>
      </c>
      <c r="M1498" s="2"/>
    </row>
    <row r="1499" spans="2:13" ht="15.6" x14ac:dyDescent="0.3">
      <c r="B1499" s="5" t="str">
        <f>IF(COUNTIF(data_val!$E$3:$E$5, sample_log!$E1499), sample_log!$C1499 &amp; "_" &amp; sample_log!$D1499, "")</f>
        <v/>
      </c>
      <c r="C1499" s="5" t="str">
        <f>IF(B1499="", IF(F1499="", "", C1498), IF(sample_log!E1499="Triennial SASS", "tri_params", "params"))</f>
        <v/>
      </c>
      <c r="D1499" s="5" t="str">
        <f>IF(B1499="", "", C1499 &amp; "!" &amp; CHAR(65+MATCH(B1499, params!$B$2:$R$2, 0)))</f>
        <v/>
      </c>
      <c r="E1499" s="5" t="str">
        <f ca="1">IF(B1499="", "", COUNTA(INDIRECT(D1499 &amp; 3):INDIRECT(D1499 &amp; 24)))</f>
        <v/>
      </c>
      <c r="F1499" s="5" t="str">
        <f t="shared" si="48"/>
        <v/>
      </c>
      <c r="G1499" s="5" t="str">
        <f>IF(F1499="", "", IF(B1499&lt;&gt;"", MATCH(B1499, params!$B$2:$R$2, 0), G1498))</f>
        <v/>
      </c>
      <c r="H1499" s="5" t="str">
        <f t="shared" ca="1" si="49"/>
        <v/>
      </c>
      <c r="M1499" s="2"/>
    </row>
    <row r="1500" spans="2:13" ht="15.6" x14ac:dyDescent="0.3">
      <c r="B1500" s="5" t="str">
        <f>IF(COUNTIF(data_val!$E$3:$E$5, sample_log!$E1500), sample_log!$C1500 &amp; "_" &amp; sample_log!$D1500, "")</f>
        <v/>
      </c>
      <c r="C1500" s="5" t="str">
        <f>IF(B1500="", IF(F1500="", "", C1499), IF(sample_log!E1500="Triennial SASS", "tri_params", "params"))</f>
        <v/>
      </c>
      <c r="D1500" s="5" t="str">
        <f>IF(B1500="", "", C1500 &amp; "!" &amp; CHAR(65+MATCH(B1500, params!$B$2:$R$2, 0)))</f>
        <v/>
      </c>
      <c r="E1500" s="5" t="str">
        <f ca="1">IF(B1500="", "", COUNTA(INDIRECT(D1500 &amp; 3):INDIRECT(D1500 &amp; 24)))</f>
        <v/>
      </c>
      <c r="F1500" s="5" t="str">
        <f t="shared" si="48"/>
        <v/>
      </c>
      <c r="G1500" s="5" t="str">
        <f>IF(F1500="", "", IF(B1500&lt;&gt;"", MATCH(B1500, params!$B$2:$R$2, 0), G1499))</f>
        <v/>
      </c>
      <c r="H1500" s="5" t="str">
        <f t="shared" ca="1" si="49"/>
        <v/>
      </c>
      <c r="M1500" s="2"/>
    </row>
    <row r="1501" spans="2:13" ht="15.6" x14ac:dyDescent="0.3">
      <c r="B1501" s="5" t="str">
        <f>IF(COUNTIF(data_val!$E$3:$E$5, sample_log!$E1501), sample_log!$C1501 &amp; "_" &amp; sample_log!$D1501, "")</f>
        <v/>
      </c>
      <c r="C1501" s="5" t="str">
        <f>IF(B1501="", IF(F1501="", "", C1500), IF(sample_log!E1501="Triennial SASS", "tri_params", "params"))</f>
        <v/>
      </c>
      <c r="D1501" s="5" t="str">
        <f>IF(B1501="", "", C1501 &amp; "!" &amp; CHAR(65+MATCH(B1501, params!$B$2:$R$2, 0)))</f>
        <v/>
      </c>
      <c r="E1501" s="5" t="str">
        <f ca="1">IF(B1501="", "", COUNTA(INDIRECT(D1501 &amp; 3):INDIRECT(D1501 &amp; 24)))</f>
        <v/>
      </c>
      <c r="F1501" s="5" t="str">
        <f t="shared" si="48"/>
        <v/>
      </c>
      <c r="G1501" s="5" t="str">
        <f>IF(F1501="", "", IF(B1501&lt;&gt;"", MATCH(B1501, params!$B$2:$R$2, 0), G1500))</f>
        <v/>
      </c>
      <c r="H1501" s="5" t="str">
        <f t="shared" ca="1" si="49"/>
        <v/>
      </c>
      <c r="M1501" s="2"/>
    </row>
    <row r="1502" spans="2:13" ht="15.6" x14ac:dyDescent="0.3">
      <c r="B1502" s="5" t="str">
        <f>IF(COUNTIF(data_val!$E$3:$E$5, sample_log!$E1502), sample_log!$C1502 &amp; "_" &amp; sample_log!$D1502, "")</f>
        <v/>
      </c>
      <c r="C1502" s="5" t="str">
        <f>IF(B1502="", IF(F1502="", "", C1501), IF(sample_log!E1502="Triennial SASS", "tri_params", "params"))</f>
        <v/>
      </c>
      <c r="D1502" s="5" t="str">
        <f>IF(B1502="", "", C1502 &amp; "!" &amp; CHAR(65+MATCH(B1502, params!$B$2:$R$2, 0)))</f>
        <v/>
      </c>
      <c r="E1502" s="5" t="str">
        <f ca="1">IF(B1502="", "", COUNTA(INDIRECT(D1502 &amp; 3):INDIRECT(D1502 &amp; 24)))</f>
        <v/>
      </c>
      <c r="F1502" s="5" t="str">
        <f t="shared" si="48"/>
        <v/>
      </c>
      <c r="G1502" s="5" t="str">
        <f>IF(F1502="", "", IF(B1502&lt;&gt;"", MATCH(B1502, params!$B$2:$R$2, 0), G1501))</f>
        <v/>
      </c>
      <c r="H1502" s="5" t="str">
        <f t="shared" ca="1" si="49"/>
        <v/>
      </c>
      <c r="M1502" s="2"/>
    </row>
    <row r="1503" spans="2:13" ht="15.6" x14ac:dyDescent="0.3">
      <c r="B1503" s="5" t="str">
        <f>IF(COUNTIF(data_val!$E$3:$E$5, sample_log!$E1503), sample_log!$C1503 &amp; "_" &amp; sample_log!$D1503, "")</f>
        <v/>
      </c>
      <c r="C1503" s="5" t="str">
        <f>IF(B1503="", IF(F1503="", "", C1502), IF(sample_log!E1503="Triennial SASS", "tri_params", "params"))</f>
        <v/>
      </c>
      <c r="D1503" s="5" t="str">
        <f>IF(B1503="", "", C1503 &amp; "!" &amp; CHAR(65+MATCH(B1503, params!$B$2:$R$2, 0)))</f>
        <v/>
      </c>
      <c r="E1503" s="5" t="str">
        <f ca="1">IF(B1503="", "", COUNTA(INDIRECT(D1503 &amp; 3):INDIRECT(D1503 &amp; 24)))</f>
        <v/>
      </c>
      <c r="F1503" s="5" t="str">
        <f t="shared" si="48"/>
        <v/>
      </c>
      <c r="G1503" s="5" t="str">
        <f>IF(F1503="", "", IF(B1503&lt;&gt;"", MATCH(B1503, params!$B$2:$R$2, 0), G1502))</f>
        <v/>
      </c>
      <c r="H1503" s="5" t="str">
        <f t="shared" ca="1" si="49"/>
        <v/>
      </c>
      <c r="M1503" s="2"/>
    </row>
    <row r="1504" spans="2:13" ht="15.6" x14ac:dyDescent="0.3">
      <c r="B1504" s="5" t="str">
        <f>IF(COUNTIF(data_val!$E$3:$E$5, sample_log!$E1504), sample_log!$C1504 &amp; "_" &amp; sample_log!$D1504, "")</f>
        <v/>
      </c>
      <c r="C1504" s="5" t="str">
        <f>IF(B1504="", IF(F1504="", "", C1503), IF(sample_log!E1504="Triennial SASS", "tri_params", "params"))</f>
        <v/>
      </c>
      <c r="D1504" s="5" t="str">
        <f>IF(B1504="", "", C1504 &amp; "!" &amp; CHAR(65+MATCH(B1504, params!$B$2:$R$2, 0)))</f>
        <v/>
      </c>
      <c r="E1504" s="5" t="str">
        <f ca="1">IF(B1504="", "", COUNTA(INDIRECT(D1504 &amp; 3):INDIRECT(D1504 &amp; 24)))</f>
        <v/>
      </c>
      <c r="F1504" s="5" t="str">
        <f t="shared" si="48"/>
        <v/>
      </c>
      <c r="G1504" s="5" t="str">
        <f>IF(F1504="", "", IF(B1504&lt;&gt;"", MATCH(B1504, params!$B$2:$R$2, 0), G1503))</f>
        <v/>
      </c>
      <c r="H1504" s="5" t="str">
        <f t="shared" ca="1" si="49"/>
        <v/>
      </c>
      <c r="M1504" s="2"/>
    </row>
    <row r="1505" spans="2:13" ht="15.6" x14ac:dyDescent="0.3">
      <c r="B1505" s="5" t="str">
        <f>IF(COUNTIF(data_val!$E$3:$E$5, sample_log!$E1505), sample_log!$C1505 &amp; "_" &amp; sample_log!$D1505, "")</f>
        <v/>
      </c>
      <c r="C1505" s="5" t="str">
        <f>IF(B1505="", IF(F1505="", "", C1504), IF(sample_log!E1505="Triennial SASS", "tri_params", "params"))</f>
        <v/>
      </c>
      <c r="D1505" s="5" t="str">
        <f>IF(B1505="", "", C1505 &amp; "!" &amp; CHAR(65+MATCH(B1505, params!$B$2:$R$2, 0)))</f>
        <v/>
      </c>
      <c r="E1505" s="5" t="str">
        <f ca="1">IF(B1505="", "", COUNTA(INDIRECT(D1505 &amp; 3):INDIRECT(D1505 &amp; 24)))</f>
        <v/>
      </c>
      <c r="F1505" s="5" t="str">
        <f t="shared" si="48"/>
        <v/>
      </c>
      <c r="G1505" s="5" t="str">
        <f>IF(F1505="", "", IF(B1505&lt;&gt;"", MATCH(B1505, params!$B$2:$R$2, 0), G1504))</f>
        <v/>
      </c>
      <c r="H1505" s="5" t="str">
        <f t="shared" ca="1" si="49"/>
        <v/>
      </c>
      <c r="M1505" s="2"/>
    </row>
    <row r="1506" spans="2:13" ht="15.6" x14ac:dyDescent="0.3">
      <c r="B1506" s="5" t="str">
        <f>IF(COUNTIF(data_val!$E$3:$E$5, sample_log!$E1506), sample_log!$C1506 &amp; "_" &amp; sample_log!$D1506, "")</f>
        <v/>
      </c>
      <c r="C1506" s="5" t="str">
        <f>IF(B1506="", IF(F1506="", "", C1505), IF(sample_log!E1506="Triennial SASS", "tri_params", "params"))</f>
        <v/>
      </c>
      <c r="D1506" s="5" t="str">
        <f>IF(B1506="", "", C1506 &amp; "!" &amp; CHAR(65+MATCH(B1506, params!$B$2:$R$2, 0)))</f>
        <v/>
      </c>
      <c r="E1506" s="5" t="str">
        <f ca="1">IF(B1506="", "", COUNTA(INDIRECT(D1506 &amp; 3):INDIRECT(D1506 &amp; 24)))</f>
        <v/>
      </c>
      <c r="F1506" s="5" t="str">
        <f t="shared" si="48"/>
        <v/>
      </c>
      <c r="G1506" s="5" t="str">
        <f>IF(F1506="", "", IF(B1506&lt;&gt;"", MATCH(B1506, params!$B$2:$R$2, 0), G1505))</f>
        <v/>
      </c>
      <c r="H1506" s="5" t="str">
        <f t="shared" ca="1" si="49"/>
        <v/>
      </c>
      <c r="M1506" s="2"/>
    </row>
    <row r="1507" spans="2:13" ht="15.6" x14ac:dyDescent="0.3">
      <c r="B1507" s="5" t="str">
        <f>IF(COUNTIF(data_val!$E$3:$E$5, sample_log!$E1507), sample_log!$C1507 &amp; "_" &amp; sample_log!$D1507, "")</f>
        <v/>
      </c>
      <c r="C1507" s="5" t="str">
        <f>IF(B1507="", IF(F1507="", "", C1506), IF(sample_log!E1507="Triennial SASS", "tri_params", "params"))</f>
        <v/>
      </c>
      <c r="D1507" s="5" t="str">
        <f>IF(B1507="", "", C1507 &amp; "!" &amp; CHAR(65+MATCH(B1507, params!$B$2:$R$2, 0)))</f>
        <v/>
      </c>
      <c r="E1507" s="5" t="str">
        <f ca="1">IF(B1507="", "", COUNTA(INDIRECT(D1507 &amp; 3):INDIRECT(D1507 &amp; 24)))</f>
        <v/>
      </c>
      <c r="F1507" s="5" t="str">
        <f t="shared" si="48"/>
        <v/>
      </c>
      <c r="G1507" s="5" t="str">
        <f>IF(F1507="", "", IF(B1507&lt;&gt;"", MATCH(B1507, params!$B$2:$R$2, 0), G1506))</f>
        <v/>
      </c>
      <c r="H1507" s="5" t="str">
        <f t="shared" ca="1" si="49"/>
        <v/>
      </c>
      <c r="M1507" s="2"/>
    </row>
    <row r="1508" spans="2:13" ht="15.6" x14ac:dyDescent="0.3">
      <c r="B1508" s="5" t="str">
        <f>IF(COUNTIF(data_val!$E$3:$E$5, sample_log!$E1508), sample_log!$C1508 &amp; "_" &amp; sample_log!$D1508, "")</f>
        <v/>
      </c>
      <c r="C1508" s="5" t="str">
        <f>IF(B1508="", IF(F1508="", "", C1507), IF(sample_log!E1508="Triennial SASS", "tri_params", "params"))</f>
        <v/>
      </c>
      <c r="D1508" s="5" t="str">
        <f>IF(B1508="", "", C1508 &amp; "!" &amp; CHAR(65+MATCH(B1508, params!$B$2:$R$2, 0)))</f>
        <v/>
      </c>
      <c r="E1508" s="5" t="str">
        <f ca="1">IF(B1508="", "", COUNTA(INDIRECT(D1508 &amp; 3):INDIRECT(D1508 &amp; 24)))</f>
        <v/>
      </c>
      <c r="F1508" s="5" t="str">
        <f t="shared" si="48"/>
        <v/>
      </c>
      <c r="G1508" s="5" t="str">
        <f>IF(F1508="", "", IF(B1508&lt;&gt;"", MATCH(B1508, params!$B$2:$R$2, 0), G1507))</f>
        <v/>
      </c>
      <c r="H1508" s="5" t="str">
        <f t="shared" ca="1" si="49"/>
        <v/>
      </c>
      <c r="M1508" s="2"/>
    </row>
    <row r="1509" spans="2:13" ht="15.6" x14ac:dyDescent="0.3">
      <c r="B1509" s="5" t="str">
        <f>IF(COUNTIF(data_val!$E$3:$E$5, sample_log!$E1509), sample_log!$C1509 &amp; "_" &amp; sample_log!$D1509, "")</f>
        <v/>
      </c>
      <c r="C1509" s="5" t="str">
        <f>IF(B1509="", IF(F1509="", "", C1508), IF(sample_log!E1509="Triennial SASS", "tri_params", "params"))</f>
        <v/>
      </c>
      <c r="D1509" s="5" t="str">
        <f>IF(B1509="", "", C1509 &amp; "!" &amp; CHAR(65+MATCH(B1509, params!$B$2:$R$2, 0)))</f>
        <v/>
      </c>
      <c r="E1509" s="5" t="str">
        <f ca="1">IF(B1509="", "", COUNTA(INDIRECT(D1509 &amp; 3):INDIRECT(D1509 &amp; 24)))</f>
        <v/>
      </c>
      <c r="F1509" s="5" t="str">
        <f t="shared" si="48"/>
        <v/>
      </c>
      <c r="G1509" s="5" t="str">
        <f>IF(F1509="", "", IF(B1509&lt;&gt;"", MATCH(B1509, params!$B$2:$R$2, 0), G1508))</f>
        <v/>
      </c>
      <c r="H1509" s="5" t="str">
        <f t="shared" ca="1" si="49"/>
        <v/>
      </c>
      <c r="M1509" s="2"/>
    </row>
    <row r="1510" spans="2:13" ht="15.6" x14ac:dyDescent="0.3">
      <c r="B1510" s="5" t="str">
        <f>IF(COUNTIF(data_val!$E$3:$E$5, sample_log!$E1510), sample_log!$C1510 &amp; "_" &amp; sample_log!$D1510, "")</f>
        <v/>
      </c>
      <c r="C1510" s="5" t="str">
        <f>IF(B1510="", IF(F1510="", "", C1509), IF(sample_log!E1510="Triennial SASS", "tri_params", "params"))</f>
        <v/>
      </c>
      <c r="D1510" s="5" t="str">
        <f>IF(B1510="", "", C1510 &amp; "!" &amp; CHAR(65+MATCH(B1510, params!$B$2:$R$2, 0)))</f>
        <v/>
      </c>
      <c r="E1510" s="5" t="str">
        <f ca="1">IF(B1510="", "", COUNTA(INDIRECT(D1510 &amp; 3):INDIRECT(D1510 &amp; 24)))</f>
        <v/>
      </c>
      <c r="F1510" s="5" t="str">
        <f t="shared" si="48"/>
        <v/>
      </c>
      <c r="G1510" s="5" t="str">
        <f>IF(F1510="", "", IF(B1510&lt;&gt;"", MATCH(B1510, params!$B$2:$R$2, 0), G1509))</f>
        <v/>
      </c>
      <c r="H1510" s="5" t="str">
        <f t="shared" ca="1" si="49"/>
        <v/>
      </c>
      <c r="M1510" s="2"/>
    </row>
    <row r="1511" spans="2:13" ht="15.6" x14ac:dyDescent="0.3">
      <c r="B1511" s="5" t="str">
        <f>IF(COUNTIF(data_val!$E$3:$E$5, sample_log!$E1511), sample_log!$C1511 &amp; "_" &amp; sample_log!$D1511, "")</f>
        <v/>
      </c>
      <c r="C1511" s="5" t="str">
        <f>IF(B1511="", IF(F1511="", "", C1510), IF(sample_log!E1511="Triennial SASS", "tri_params", "params"))</f>
        <v/>
      </c>
      <c r="D1511" s="5" t="str">
        <f>IF(B1511="", "", C1511 &amp; "!" &amp; CHAR(65+MATCH(B1511, params!$B$2:$R$2, 0)))</f>
        <v/>
      </c>
      <c r="E1511" s="5" t="str">
        <f ca="1">IF(B1511="", "", COUNTA(INDIRECT(D1511 &amp; 3):INDIRECT(D1511 &amp; 24)))</f>
        <v/>
      </c>
      <c r="F1511" s="5" t="str">
        <f t="shared" si="48"/>
        <v/>
      </c>
      <c r="G1511" s="5" t="str">
        <f>IF(F1511="", "", IF(B1511&lt;&gt;"", MATCH(B1511, params!$B$2:$R$2, 0), G1510))</f>
        <v/>
      </c>
      <c r="H1511" s="5" t="str">
        <f t="shared" ca="1" si="49"/>
        <v/>
      </c>
      <c r="M1511" s="2"/>
    </row>
    <row r="1512" spans="2:13" ht="15.6" x14ac:dyDescent="0.3">
      <c r="B1512" s="5" t="str">
        <f>IF(COUNTIF(data_val!$E$3:$E$5, sample_log!$E1512), sample_log!$C1512 &amp; "_" &amp; sample_log!$D1512, "")</f>
        <v/>
      </c>
      <c r="C1512" s="5" t="str">
        <f>IF(B1512="", IF(F1512="", "", C1511), IF(sample_log!E1512="Triennial SASS", "tri_params", "params"))</f>
        <v/>
      </c>
      <c r="D1512" s="5" t="str">
        <f>IF(B1512="", "", C1512 &amp; "!" &amp; CHAR(65+MATCH(B1512, params!$B$2:$R$2, 0)))</f>
        <v/>
      </c>
      <c r="E1512" s="5" t="str">
        <f ca="1">IF(B1512="", "", COUNTA(INDIRECT(D1512 &amp; 3):INDIRECT(D1512 &amp; 24)))</f>
        <v/>
      </c>
      <c r="F1512" s="5" t="str">
        <f t="shared" si="48"/>
        <v/>
      </c>
      <c r="G1512" s="5" t="str">
        <f>IF(F1512="", "", IF(B1512&lt;&gt;"", MATCH(B1512, params!$B$2:$R$2, 0), G1511))</f>
        <v/>
      </c>
      <c r="H1512" s="5" t="str">
        <f t="shared" ca="1" si="49"/>
        <v/>
      </c>
      <c r="M1512" s="2"/>
    </row>
    <row r="1513" spans="2:13" ht="15.6" x14ac:dyDescent="0.3">
      <c r="B1513" s="5" t="str">
        <f>IF(COUNTIF(data_val!$E$3:$E$5, sample_log!$E1513), sample_log!$C1513 &amp; "_" &amp; sample_log!$D1513, "")</f>
        <v/>
      </c>
      <c r="C1513" s="5" t="str">
        <f>IF(B1513="", IF(F1513="", "", C1512), IF(sample_log!E1513="Triennial SASS", "tri_params", "params"))</f>
        <v/>
      </c>
      <c r="D1513" s="5" t="str">
        <f>IF(B1513="", "", C1513 &amp; "!" &amp; CHAR(65+MATCH(B1513, params!$B$2:$R$2, 0)))</f>
        <v/>
      </c>
      <c r="E1513" s="5" t="str">
        <f ca="1">IF(B1513="", "", COUNTA(INDIRECT(D1513 &amp; 3):INDIRECT(D1513 &amp; 24)))</f>
        <v/>
      </c>
      <c r="F1513" s="5" t="str">
        <f t="shared" si="48"/>
        <v/>
      </c>
      <c r="G1513" s="5" t="str">
        <f>IF(F1513="", "", IF(B1513&lt;&gt;"", MATCH(B1513, params!$B$2:$R$2, 0), G1512))</f>
        <v/>
      </c>
      <c r="H1513" s="5" t="str">
        <f t="shared" ca="1" si="49"/>
        <v/>
      </c>
      <c r="M1513" s="2"/>
    </row>
    <row r="1514" spans="2:13" ht="15.6" x14ac:dyDescent="0.3">
      <c r="B1514" s="5" t="str">
        <f>IF(COUNTIF(data_val!$E$3:$E$5, sample_log!$E1514), sample_log!$C1514 &amp; "_" &amp; sample_log!$D1514, "")</f>
        <v/>
      </c>
      <c r="C1514" s="5" t="str">
        <f>IF(B1514="", IF(F1514="", "", C1513), IF(sample_log!E1514="Triennial SASS", "tri_params", "params"))</f>
        <v/>
      </c>
      <c r="D1514" s="5" t="str">
        <f>IF(B1514="", "", C1514 &amp; "!" &amp; CHAR(65+MATCH(B1514, params!$B$2:$R$2, 0)))</f>
        <v/>
      </c>
      <c r="E1514" s="5" t="str">
        <f ca="1">IF(B1514="", "", COUNTA(INDIRECT(D1514 &amp; 3):INDIRECT(D1514 &amp; 24)))</f>
        <v/>
      </c>
      <c r="F1514" s="5" t="str">
        <f t="shared" si="48"/>
        <v/>
      </c>
      <c r="G1514" s="5" t="str">
        <f>IF(F1514="", "", IF(B1514&lt;&gt;"", MATCH(B1514, params!$B$2:$R$2, 0), G1513))</f>
        <v/>
      </c>
      <c r="H1514" s="5" t="str">
        <f t="shared" ca="1" si="49"/>
        <v/>
      </c>
      <c r="M1514" s="2"/>
    </row>
    <row r="1515" spans="2:13" ht="15.6" x14ac:dyDescent="0.3">
      <c r="B1515" s="5" t="str">
        <f>IF(COUNTIF(data_val!$E$3:$E$5, sample_log!$E1515), sample_log!$C1515 &amp; "_" &amp; sample_log!$D1515, "")</f>
        <v/>
      </c>
      <c r="C1515" s="5" t="str">
        <f>IF(B1515="", IF(F1515="", "", C1514), IF(sample_log!E1515="Triennial SASS", "tri_params", "params"))</f>
        <v/>
      </c>
      <c r="D1515" s="5" t="str">
        <f>IF(B1515="", "", C1515 &amp; "!" &amp; CHAR(65+MATCH(B1515, params!$B$2:$R$2, 0)))</f>
        <v/>
      </c>
      <c r="E1515" s="5" t="str">
        <f ca="1">IF(B1515="", "", COUNTA(INDIRECT(D1515 &amp; 3):INDIRECT(D1515 &amp; 24)))</f>
        <v/>
      </c>
      <c r="F1515" s="5" t="str">
        <f t="shared" si="48"/>
        <v/>
      </c>
      <c r="G1515" s="5" t="str">
        <f>IF(F1515="", "", IF(B1515&lt;&gt;"", MATCH(B1515, params!$B$2:$R$2, 0), G1514))</f>
        <v/>
      </c>
      <c r="H1515" s="5" t="str">
        <f t="shared" ca="1" si="49"/>
        <v/>
      </c>
      <c r="M1515" s="2"/>
    </row>
    <row r="1516" spans="2:13" ht="15.6" x14ac:dyDescent="0.3">
      <c r="B1516" s="5" t="str">
        <f>IF(COUNTIF(data_val!$E$3:$E$5, sample_log!$E1516), sample_log!$C1516 &amp; "_" &amp; sample_log!$D1516, "")</f>
        <v/>
      </c>
      <c r="C1516" s="5" t="str">
        <f>IF(B1516="", IF(F1516="", "", C1515), IF(sample_log!E1516="Triennial SASS", "tri_params", "params"))</f>
        <v/>
      </c>
      <c r="D1516" s="5" t="str">
        <f>IF(B1516="", "", C1516 &amp; "!" &amp; CHAR(65+MATCH(B1516, params!$B$2:$R$2, 0)))</f>
        <v/>
      </c>
      <c r="E1516" s="5" t="str">
        <f ca="1">IF(B1516="", "", COUNTA(INDIRECT(D1516 &amp; 3):INDIRECT(D1516 &amp; 24)))</f>
        <v/>
      </c>
      <c r="F1516" s="5" t="str">
        <f t="shared" si="48"/>
        <v/>
      </c>
      <c r="G1516" s="5" t="str">
        <f>IF(F1516="", "", IF(B1516&lt;&gt;"", MATCH(B1516, params!$B$2:$R$2, 0), G1515))</f>
        <v/>
      </c>
      <c r="H1516" s="5" t="str">
        <f t="shared" ca="1" si="49"/>
        <v/>
      </c>
      <c r="M1516" s="2"/>
    </row>
    <row r="1517" spans="2:13" ht="15.6" x14ac:dyDescent="0.3">
      <c r="B1517" s="5" t="str">
        <f>IF(COUNTIF(data_val!$E$3:$E$5, sample_log!$E1517), sample_log!$C1517 &amp; "_" &amp; sample_log!$D1517, "")</f>
        <v/>
      </c>
      <c r="C1517" s="5" t="str">
        <f>IF(B1517="", IF(F1517="", "", C1516), IF(sample_log!E1517="Triennial SASS", "tri_params", "params"))</f>
        <v/>
      </c>
      <c r="D1517" s="5" t="str">
        <f>IF(B1517="", "", C1517 &amp; "!" &amp; CHAR(65+MATCH(B1517, params!$B$2:$R$2, 0)))</f>
        <v/>
      </c>
      <c r="E1517" s="5" t="str">
        <f ca="1">IF(B1517="", "", COUNTA(INDIRECT(D1517 &amp; 3):INDIRECT(D1517 &amp; 24)))</f>
        <v/>
      </c>
      <c r="F1517" s="5" t="str">
        <f t="shared" si="48"/>
        <v/>
      </c>
      <c r="G1517" s="5" t="str">
        <f>IF(F1517="", "", IF(B1517&lt;&gt;"", MATCH(B1517, params!$B$2:$R$2, 0), G1516))</f>
        <v/>
      </c>
      <c r="H1517" s="5" t="str">
        <f t="shared" ca="1" si="49"/>
        <v/>
      </c>
      <c r="M1517" s="2"/>
    </row>
    <row r="1518" spans="2:13" ht="15.6" x14ac:dyDescent="0.3">
      <c r="B1518" s="5" t="str">
        <f>IF(COUNTIF(data_val!$E$3:$E$5, sample_log!$E1518), sample_log!$C1518 &amp; "_" &amp; sample_log!$D1518, "")</f>
        <v/>
      </c>
      <c r="C1518" s="5" t="str">
        <f>IF(B1518="", IF(F1518="", "", C1517), IF(sample_log!E1518="Triennial SASS", "tri_params", "params"))</f>
        <v/>
      </c>
      <c r="D1518" s="5" t="str">
        <f>IF(B1518="", "", C1518 &amp; "!" &amp; CHAR(65+MATCH(B1518, params!$B$2:$R$2, 0)))</f>
        <v/>
      </c>
      <c r="E1518" s="5" t="str">
        <f ca="1">IF(B1518="", "", COUNTA(INDIRECT(D1518 &amp; 3):INDIRECT(D1518 &amp; 24)))</f>
        <v/>
      </c>
      <c r="F1518" s="5" t="str">
        <f t="shared" si="48"/>
        <v/>
      </c>
      <c r="G1518" s="5" t="str">
        <f>IF(F1518="", "", IF(B1518&lt;&gt;"", MATCH(B1518, params!$B$2:$R$2, 0), G1517))</f>
        <v/>
      </c>
      <c r="H1518" s="5" t="str">
        <f t="shared" ca="1" si="49"/>
        <v/>
      </c>
      <c r="M1518" s="2"/>
    </row>
    <row r="1519" spans="2:13" ht="15.6" x14ac:dyDescent="0.3">
      <c r="B1519" s="5" t="str">
        <f>IF(COUNTIF(data_val!$E$3:$E$5, sample_log!$E1519), sample_log!$C1519 &amp; "_" &amp; sample_log!$D1519, "")</f>
        <v/>
      </c>
      <c r="C1519" s="5" t="str">
        <f>IF(B1519="", IF(F1519="", "", C1518), IF(sample_log!E1519="Triennial SASS", "tri_params", "params"))</f>
        <v/>
      </c>
      <c r="D1519" s="5" t="str">
        <f>IF(B1519="", "", C1519 &amp; "!" &amp; CHAR(65+MATCH(B1519, params!$B$2:$R$2, 0)))</f>
        <v/>
      </c>
      <c r="E1519" s="5" t="str">
        <f ca="1">IF(B1519="", "", COUNTA(INDIRECT(D1519 &amp; 3):INDIRECT(D1519 &amp; 24)))</f>
        <v/>
      </c>
      <c r="F1519" s="5" t="str">
        <f t="shared" si="48"/>
        <v/>
      </c>
      <c r="G1519" s="5" t="str">
        <f>IF(F1519="", "", IF(B1519&lt;&gt;"", MATCH(B1519, params!$B$2:$R$2, 0), G1518))</f>
        <v/>
      </c>
      <c r="H1519" s="5" t="str">
        <f t="shared" ca="1" si="49"/>
        <v/>
      </c>
      <c r="M1519" s="2"/>
    </row>
    <row r="1520" spans="2:13" ht="15.6" x14ac:dyDescent="0.3">
      <c r="B1520" s="5" t="str">
        <f>IF(COUNTIF(data_val!$E$3:$E$5, sample_log!$E1520), sample_log!$C1520 &amp; "_" &amp; sample_log!$D1520, "")</f>
        <v/>
      </c>
      <c r="C1520" s="5" t="str">
        <f>IF(B1520="", IF(F1520="", "", C1519), IF(sample_log!E1520="Triennial SASS", "tri_params", "params"))</f>
        <v/>
      </c>
      <c r="D1520" s="5" t="str">
        <f>IF(B1520="", "", C1520 &amp; "!" &amp; CHAR(65+MATCH(B1520, params!$B$2:$R$2, 0)))</f>
        <v/>
      </c>
      <c r="E1520" s="5" t="str">
        <f ca="1">IF(B1520="", "", COUNTA(INDIRECT(D1520 &amp; 3):INDIRECT(D1520 &amp; 24)))</f>
        <v/>
      </c>
      <c r="F1520" s="5" t="str">
        <f t="shared" si="48"/>
        <v/>
      </c>
      <c r="G1520" s="5" t="str">
        <f>IF(F1520="", "", IF(B1520&lt;&gt;"", MATCH(B1520, params!$B$2:$R$2, 0), G1519))</f>
        <v/>
      </c>
      <c r="H1520" s="5" t="str">
        <f t="shared" ca="1" si="49"/>
        <v/>
      </c>
      <c r="M1520" s="2"/>
    </row>
    <row r="1521" spans="2:13" ht="15.6" x14ac:dyDescent="0.3">
      <c r="B1521" s="5" t="str">
        <f>IF(COUNTIF(data_val!$E$3:$E$5, sample_log!$E1521), sample_log!$C1521 &amp; "_" &amp; sample_log!$D1521, "")</f>
        <v/>
      </c>
      <c r="C1521" s="5" t="str">
        <f>IF(B1521="", IF(F1521="", "", C1520), IF(sample_log!E1521="Triennial SASS", "tri_params", "params"))</f>
        <v/>
      </c>
      <c r="D1521" s="5" t="str">
        <f>IF(B1521="", "", C1521 &amp; "!" &amp; CHAR(65+MATCH(B1521, params!$B$2:$R$2, 0)))</f>
        <v/>
      </c>
      <c r="E1521" s="5" t="str">
        <f ca="1">IF(B1521="", "", COUNTA(INDIRECT(D1521 &amp; 3):INDIRECT(D1521 &amp; 24)))</f>
        <v/>
      </c>
      <c r="F1521" s="5" t="str">
        <f t="shared" si="48"/>
        <v/>
      </c>
      <c r="G1521" s="5" t="str">
        <f>IF(F1521="", "", IF(B1521&lt;&gt;"", MATCH(B1521, params!$B$2:$R$2, 0), G1520))</f>
        <v/>
      </c>
      <c r="H1521" s="5" t="str">
        <f t="shared" ca="1" si="49"/>
        <v/>
      </c>
      <c r="M1521" s="2"/>
    </row>
    <row r="1522" spans="2:13" ht="15.6" x14ac:dyDescent="0.3">
      <c r="B1522" s="5" t="str">
        <f>IF(COUNTIF(data_val!$E$3:$E$5, sample_log!$E1522), sample_log!$C1522 &amp; "_" &amp; sample_log!$D1522, "")</f>
        <v/>
      </c>
      <c r="C1522" s="5" t="str">
        <f>IF(B1522="", IF(F1522="", "", C1521), IF(sample_log!E1522="Triennial SASS", "tri_params", "params"))</f>
        <v/>
      </c>
      <c r="D1522" s="5" t="str">
        <f>IF(B1522="", "", C1522 &amp; "!" &amp; CHAR(65+MATCH(B1522, params!$B$2:$R$2, 0)))</f>
        <v/>
      </c>
      <c r="E1522" s="5" t="str">
        <f ca="1">IF(B1522="", "", COUNTA(INDIRECT(D1522 &amp; 3):INDIRECT(D1522 &amp; 24)))</f>
        <v/>
      </c>
      <c r="F1522" s="5" t="str">
        <f t="shared" si="48"/>
        <v/>
      </c>
      <c r="G1522" s="5" t="str">
        <f>IF(F1522="", "", IF(B1522&lt;&gt;"", MATCH(B1522, params!$B$2:$R$2, 0), G1521))</f>
        <v/>
      </c>
      <c r="H1522" s="5" t="str">
        <f t="shared" ca="1" si="49"/>
        <v/>
      </c>
      <c r="M1522" s="2"/>
    </row>
    <row r="1523" spans="2:13" ht="15.6" x14ac:dyDescent="0.3">
      <c r="B1523" s="5" t="str">
        <f>IF(COUNTIF(data_val!$E$3:$E$5, sample_log!$E1523), sample_log!$C1523 &amp; "_" &amp; sample_log!$D1523, "")</f>
        <v/>
      </c>
      <c r="C1523" s="5" t="str">
        <f>IF(B1523="", IF(F1523="", "", C1522), IF(sample_log!E1523="Triennial SASS", "tri_params", "params"))</f>
        <v/>
      </c>
      <c r="D1523" s="5" t="str">
        <f>IF(B1523="", "", C1523 &amp; "!" &amp; CHAR(65+MATCH(B1523, params!$B$2:$R$2, 0)))</f>
        <v/>
      </c>
      <c r="E1523" s="5" t="str">
        <f ca="1">IF(B1523="", "", COUNTA(INDIRECT(D1523 &amp; 3):INDIRECT(D1523 &amp; 24)))</f>
        <v/>
      </c>
      <c r="F1523" s="5" t="str">
        <f t="shared" si="48"/>
        <v/>
      </c>
      <c r="G1523" s="5" t="str">
        <f>IF(F1523="", "", IF(B1523&lt;&gt;"", MATCH(B1523, params!$B$2:$R$2, 0), G1522))</f>
        <v/>
      </c>
      <c r="H1523" s="5" t="str">
        <f t="shared" ca="1" si="49"/>
        <v/>
      </c>
      <c r="M1523" s="2"/>
    </row>
    <row r="1524" spans="2:13" ht="15.6" x14ac:dyDescent="0.3">
      <c r="B1524" s="5" t="str">
        <f>IF(COUNTIF(data_val!$E$3:$E$5, sample_log!$E1524), sample_log!$C1524 &amp; "_" &amp; sample_log!$D1524, "")</f>
        <v/>
      </c>
      <c r="C1524" s="5" t="str">
        <f>IF(B1524="", IF(F1524="", "", C1523), IF(sample_log!E1524="Triennial SASS", "tri_params", "params"))</f>
        <v/>
      </c>
      <c r="D1524" s="5" t="str">
        <f>IF(B1524="", "", C1524 &amp; "!" &amp; CHAR(65+MATCH(B1524, params!$B$2:$R$2, 0)))</f>
        <v/>
      </c>
      <c r="E1524" s="5" t="str">
        <f ca="1">IF(B1524="", "", COUNTA(INDIRECT(D1524 &amp; 3):INDIRECT(D1524 &amp; 24)))</f>
        <v/>
      </c>
      <c r="F1524" s="5" t="str">
        <f t="shared" si="48"/>
        <v/>
      </c>
      <c r="G1524" s="5" t="str">
        <f>IF(F1524="", "", IF(B1524&lt;&gt;"", MATCH(B1524, params!$B$2:$R$2, 0), G1523))</f>
        <v/>
      </c>
      <c r="H1524" s="5" t="str">
        <f t="shared" ca="1" si="49"/>
        <v/>
      </c>
      <c r="M1524" s="2"/>
    </row>
    <row r="1525" spans="2:13" ht="15.6" x14ac:dyDescent="0.3">
      <c r="B1525" s="5" t="str">
        <f>IF(COUNTIF(data_val!$E$3:$E$5, sample_log!$E1525), sample_log!$C1525 &amp; "_" &amp; sample_log!$D1525, "")</f>
        <v/>
      </c>
      <c r="C1525" s="5" t="str">
        <f>IF(B1525="", IF(F1525="", "", C1524), IF(sample_log!E1525="Triennial SASS", "tri_params", "params"))</f>
        <v/>
      </c>
      <c r="D1525" s="5" t="str">
        <f>IF(B1525="", "", C1525 &amp; "!" &amp; CHAR(65+MATCH(B1525, params!$B$2:$R$2, 0)))</f>
        <v/>
      </c>
      <c r="E1525" s="5" t="str">
        <f ca="1">IF(B1525="", "", COUNTA(INDIRECT(D1525 &amp; 3):INDIRECT(D1525 &amp; 24)))</f>
        <v/>
      </c>
      <c r="F1525" s="5" t="str">
        <f t="shared" si="48"/>
        <v/>
      </c>
      <c r="G1525" s="5" t="str">
        <f>IF(F1525="", "", IF(B1525&lt;&gt;"", MATCH(B1525, params!$B$2:$R$2, 0), G1524))</f>
        <v/>
      </c>
      <c r="H1525" s="5" t="str">
        <f t="shared" ca="1" si="49"/>
        <v/>
      </c>
      <c r="M1525" s="2"/>
    </row>
    <row r="1526" spans="2:13" ht="15.6" x14ac:dyDescent="0.3">
      <c r="B1526" s="5" t="str">
        <f>IF(COUNTIF(data_val!$E$3:$E$5, sample_log!$E1526), sample_log!$C1526 &amp; "_" &amp; sample_log!$D1526, "")</f>
        <v/>
      </c>
      <c r="C1526" s="5" t="str">
        <f>IF(B1526="", IF(F1526="", "", C1525), IF(sample_log!E1526="Triennial SASS", "tri_params", "params"))</f>
        <v/>
      </c>
      <c r="D1526" s="5" t="str">
        <f>IF(B1526="", "", C1526 &amp; "!" &amp; CHAR(65+MATCH(B1526, params!$B$2:$R$2, 0)))</f>
        <v/>
      </c>
      <c r="E1526" s="5" t="str">
        <f ca="1">IF(B1526="", "", COUNTA(INDIRECT(D1526 &amp; 3):INDIRECT(D1526 &amp; 24)))</f>
        <v/>
      </c>
      <c r="F1526" s="5" t="str">
        <f t="shared" si="48"/>
        <v/>
      </c>
      <c r="G1526" s="5" t="str">
        <f>IF(F1526="", "", IF(B1526&lt;&gt;"", MATCH(B1526, params!$B$2:$R$2, 0), G1525))</f>
        <v/>
      </c>
      <c r="H1526" s="5" t="str">
        <f t="shared" ca="1" si="49"/>
        <v/>
      </c>
      <c r="M1526" s="2"/>
    </row>
    <row r="1527" spans="2:13" ht="15.6" x14ac:dyDescent="0.3">
      <c r="B1527" s="5" t="str">
        <f>IF(COUNTIF(data_val!$E$3:$E$5, sample_log!$E1527), sample_log!$C1527 &amp; "_" &amp; sample_log!$D1527, "")</f>
        <v/>
      </c>
      <c r="C1527" s="5" t="str">
        <f>IF(B1527="", IF(F1527="", "", C1526), IF(sample_log!E1527="Triennial SASS", "tri_params", "params"))</f>
        <v/>
      </c>
      <c r="D1527" s="5" t="str">
        <f>IF(B1527="", "", C1527 &amp; "!" &amp; CHAR(65+MATCH(B1527, params!$B$2:$R$2, 0)))</f>
        <v/>
      </c>
      <c r="E1527" s="5" t="str">
        <f ca="1">IF(B1527="", "", COUNTA(INDIRECT(D1527 &amp; 3):INDIRECT(D1527 &amp; 24)))</f>
        <v/>
      </c>
      <c r="F1527" s="5" t="str">
        <f t="shared" si="48"/>
        <v/>
      </c>
      <c r="G1527" s="5" t="str">
        <f>IF(F1527="", "", IF(B1527&lt;&gt;"", MATCH(B1527, params!$B$2:$R$2, 0), G1526))</f>
        <v/>
      </c>
      <c r="H1527" s="5" t="str">
        <f t="shared" ca="1" si="49"/>
        <v/>
      </c>
      <c r="M1527" s="2"/>
    </row>
    <row r="1528" spans="2:13" ht="15.6" x14ac:dyDescent="0.3">
      <c r="B1528" s="5" t="str">
        <f>IF(COUNTIF(data_val!$E$3:$E$5, sample_log!$E1528), sample_log!$C1528 &amp; "_" &amp; sample_log!$D1528, "")</f>
        <v/>
      </c>
      <c r="C1528" s="5" t="str">
        <f>IF(B1528="", IF(F1528="", "", C1527), IF(sample_log!E1528="Triennial SASS", "tri_params", "params"))</f>
        <v/>
      </c>
      <c r="D1528" s="5" t="str">
        <f>IF(B1528="", "", C1528 &amp; "!" &amp; CHAR(65+MATCH(B1528, params!$B$2:$R$2, 0)))</f>
        <v/>
      </c>
      <c r="E1528" s="5" t="str">
        <f ca="1">IF(B1528="", "", COUNTA(INDIRECT(D1528 &amp; 3):INDIRECT(D1528 &amp; 24)))</f>
        <v/>
      </c>
      <c r="F1528" s="5" t="str">
        <f t="shared" si="48"/>
        <v/>
      </c>
      <c r="G1528" s="5" t="str">
        <f>IF(F1528="", "", IF(B1528&lt;&gt;"", MATCH(B1528, params!$B$2:$R$2, 0), G1527))</f>
        <v/>
      </c>
      <c r="H1528" s="5" t="str">
        <f t="shared" ca="1" si="49"/>
        <v/>
      </c>
      <c r="M1528" s="2"/>
    </row>
    <row r="1529" spans="2:13" ht="15.6" x14ac:dyDescent="0.3">
      <c r="B1529" s="5" t="str">
        <f>IF(COUNTIF(data_val!$E$3:$E$5, sample_log!$E1529), sample_log!$C1529 &amp; "_" &amp; sample_log!$D1529, "")</f>
        <v/>
      </c>
      <c r="C1529" s="5" t="str">
        <f>IF(B1529="", IF(F1529="", "", C1528), IF(sample_log!E1529="Triennial SASS", "tri_params", "params"))</f>
        <v/>
      </c>
      <c r="D1529" s="5" t="str">
        <f>IF(B1529="", "", C1529 &amp; "!" &amp; CHAR(65+MATCH(B1529, params!$B$2:$R$2, 0)))</f>
        <v/>
      </c>
      <c r="E1529" s="5" t="str">
        <f ca="1">IF(B1529="", "", COUNTA(INDIRECT(D1529 &amp; 3):INDIRECT(D1529 &amp; 24)))</f>
        <v/>
      </c>
      <c r="F1529" s="5" t="str">
        <f t="shared" si="48"/>
        <v/>
      </c>
      <c r="G1529" s="5" t="str">
        <f>IF(F1529="", "", IF(B1529&lt;&gt;"", MATCH(B1529, params!$B$2:$R$2, 0), G1528))</f>
        <v/>
      </c>
      <c r="H1529" s="5" t="str">
        <f t="shared" ca="1" si="49"/>
        <v/>
      </c>
      <c r="M1529" s="2"/>
    </row>
    <row r="1530" spans="2:13" ht="15.6" x14ac:dyDescent="0.3">
      <c r="B1530" s="5" t="str">
        <f>IF(COUNTIF(data_val!$E$3:$E$5, sample_log!$E1530), sample_log!$C1530 &amp; "_" &amp; sample_log!$D1530, "")</f>
        <v/>
      </c>
      <c r="C1530" s="5" t="str">
        <f>IF(B1530="", IF(F1530="", "", C1529), IF(sample_log!E1530="Triennial SASS", "tri_params", "params"))</f>
        <v/>
      </c>
      <c r="D1530" s="5" t="str">
        <f>IF(B1530="", "", C1530 &amp; "!" &amp; CHAR(65+MATCH(B1530, params!$B$2:$R$2, 0)))</f>
        <v/>
      </c>
      <c r="E1530" s="5" t="str">
        <f ca="1">IF(B1530="", "", COUNTA(INDIRECT(D1530 &amp; 3):INDIRECT(D1530 &amp; 24)))</f>
        <v/>
      </c>
      <c r="F1530" s="5" t="str">
        <f t="shared" si="48"/>
        <v/>
      </c>
      <c r="G1530" s="5" t="str">
        <f>IF(F1530="", "", IF(B1530&lt;&gt;"", MATCH(B1530, params!$B$2:$R$2, 0), G1529))</f>
        <v/>
      </c>
      <c r="H1530" s="5" t="str">
        <f t="shared" ca="1" si="49"/>
        <v/>
      </c>
      <c r="M1530" s="2"/>
    </row>
    <row r="1531" spans="2:13" ht="15.6" x14ac:dyDescent="0.3">
      <c r="B1531" s="5" t="str">
        <f>IF(COUNTIF(data_val!$E$3:$E$5, sample_log!$E1531), sample_log!$C1531 &amp; "_" &amp; sample_log!$D1531, "")</f>
        <v/>
      </c>
      <c r="C1531" s="5" t="str">
        <f>IF(B1531="", IF(F1531="", "", C1530), IF(sample_log!E1531="Triennial SASS", "tri_params", "params"))</f>
        <v/>
      </c>
      <c r="D1531" s="5" t="str">
        <f>IF(B1531="", "", C1531 &amp; "!" &amp; CHAR(65+MATCH(B1531, params!$B$2:$R$2, 0)))</f>
        <v/>
      </c>
      <c r="E1531" s="5" t="str">
        <f ca="1">IF(B1531="", "", COUNTA(INDIRECT(D1531 &amp; 3):INDIRECT(D1531 &amp; 24)))</f>
        <v/>
      </c>
      <c r="F1531" s="5" t="str">
        <f t="shared" si="48"/>
        <v/>
      </c>
      <c r="G1531" s="5" t="str">
        <f>IF(F1531="", "", IF(B1531&lt;&gt;"", MATCH(B1531, params!$B$2:$R$2, 0), G1530))</f>
        <v/>
      </c>
      <c r="H1531" s="5" t="str">
        <f t="shared" ca="1" si="49"/>
        <v/>
      </c>
      <c r="M1531" s="2"/>
    </row>
    <row r="1532" spans="2:13" ht="15.6" x14ac:dyDescent="0.3">
      <c r="B1532" s="5" t="str">
        <f>IF(COUNTIF(data_val!$E$3:$E$5, sample_log!$E1532), sample_log!$C1532 &amp; "_" &amp; sample_log!$D1532, "")</f>
        <v/>
      </c>
      <c r="C1532" s="5" t="str">
        <f>IF(B1532="", IF(F1532="", "", C1531), IF(sample_log!E1532="Triennial SASS", "tri_params", "params"))</f>
        <v/>
      </c>
      <c r="D1532" s="5" t="str">
        <f>IF(B1532="", "", C1532 &amp; "!" &amp; CHAR(65+MATCH(B1532, params!$B$2:$R$2, 0)))</f>
        <v/>
      </c>
      <c r="E1532" s="5" t="str">
        <f ca="1">IF(B1532="", "", COUNTA(INDIRECT(D1532 &amp; 3):INDIRECT(D1532 &amp; 24)))</f>
        <v/>
      </c>
      <c r="F1532" s="5" t="str">
        <f t="shared" si="48"/>
        <v/>
      </c>
      <c r="G1532" s="5" t="str">
        <f>IF(F1532="", "", IF(B1532&lt;&gt;"", MATCH(B1532, params!$B$2:$R$2, 0), G1531))</f>
        <v/>
      </c>
      <c r="H1532" s="5" t="str">
        <f t="shared" ca="1" si="49"/>
        <v/>
      </c>
      <c r="M1532" s="2"/>
    </row>
    <row r="1533" spans="2:13" ht="15.6" x14ac:dyDescent="0.3">
      <c r="B1533" s="5" t="str">
        <f>IF(COUNTIF(data_val!$E$3:$E$5, sample_log!$E1533), sample_log!$C1533 &amp; "_" &amp; sample_log!$D1533, "")</f>
        <v/>
      </c>
      <c r="C1533" s="5" t="str">
        <f>IF(B1533="", IF(F1533="", "", C1532), IF(sample_log!E1533="Triennial SASS", "tri_params", "params"))</f>
        <v/>
      </c>
      <c r="D1533" s="5" t="str">
        <f>IF(B1533="", "", C1533 &amp; "!" &amp; CHAR(65+MATCH(B1533, params!$B$2:$R$2, 0)))</f>
        <v/>
      </c>
      <c r="E1533" s="5" t="str">
        <f ca="1">IF(B1533="", "", COUNTA(INDIRECT(D1533 &amp; 3):INDIRECT(D1533 &amp; 24)))</f>
        <v/>
      </c>
      <c r="F1533" s="5" t="str">
        <f t="shared" si="48"/>
        <v/>
      </c>
      <c r="G1533" s="5" t="str">
        <f>IF(F1533="", "", IF(B1533&lt;&gt;"", MATCH(B1533, params!$B$2:$R$2, 0), G1532))</f>
        <v/>
      </c>
      <c r="H1533" s="5" t="str">
        <f t="shared" ca="1" si="49"/>
        <v/>
      </c>
      <c r="M1533" s="2"/>
    </row>
    <row r="1534" spans="2:13" ht="15.6" x14ac:dyDescent="0.3">
      <c r="B1534" s="5" t="str">
        <f>IF(COUNTIF(data_val!$E$3:$E$5, sample_log!$E1534), sample_log!$C1534 &amp; "_" &amp; sample_log!$D1534, "")</f>
        <v/>
      </c>
      <c r="C1534" s="5" t="str">
        <f>IF(B1534="", IF(F1534="", "", C1533), IF(sample_log!E1534="Triennial SASS", "tri_params", "params"))</f>
        <v/>
      </c>
      <c r="D1534" s="5" t="str">
        <f>IF(B1534="", "", C1534 &amp; "!" &amp; CHAR(65+MATCH(B1534, params!$B$2:$R$2, 0)))</f>
        <v/>
      </c>
      <c r="E1534" s="5" t="str">
        <f ca="1">IF(B1534="", "", COUNTA(INDIRECT(D1534 &amp; 3):INDIRECT(D1534 &amp; 24)))</f>
        <v/>
      </c>
      <c r="F1534" s="5" t="str">
        <f t="shared" si="48"/>
        <v/>
      </c>
      <c r="G1534" s="5" t="str">
        <f>IF(F1534="", "", IF(B1534&lt;&gt;"", MATCH(B1534, params!$B$2:$R$2, 0), G1533))</f>
        <v/>
      </c>
      <c r="H1534" s="5" t="str">
        <f t="shared" ca="1" si="49"/>
        <v/>
      </c>
      <c r="M1534" s="2"/>
    </row>
    <row r="1535" spans="2:13" ht="15.6" x14ac:dyDescent="0.3">
      <c r="B1535" s="5" t="str">
        <f>IF(COUNTIF(data_val!$E$3:$E$5, sample_log!$E1535), sample_log!$C1535 &amp; "_" &amp; sample_log!$D1535, "")</f>
        <v/>
      </c>
      <c r="C1535" s="5" t="str">
        <f>IF(B1535="", IF(F1535="", "", C1534), IF(sample_log!E1535="Triennial SASS", "tri_params", "params"))</f>
        <v/>
      </c>
      <c r="D1535" s="5" t="str">
        <f>IF(B1535="", "", C1535 &amp; "!" &amp; CHAR(65+MATCH(B1535, params!$B$2:$R$2, 0)))</f>
        <v/>
      </c>
      <c r="E1535" s="5" t="str">
        <f ca="1">IF(B1535="", "", COUNTA(INDIRECT(D1535 &amp; 3):INDIRECT(D1535 &amp; 24)))</f>
        <v/>
      </c>
      <c r="F1535" s="5" t="str">
        <f t="shared" si="48"/>
        <v/>
      </c>
      <c r="G1535" s="5" t="str">
        <f>IF(F1535="", "", IF(B1535&lt;&gt;"", MATCH(B1535, params!$B$2:$R$2, 0), G1534))</f>
        <v/>
      </c>
      <c r="H1535" s="5" t="str">
        <f t="shared" ca="1" si="49"/>
        <v/>
      </c>
      <c r="M1535" s="2"/>
    </row>
    <row r="1536" spans="2:13" ht="15.6" x14ac:dyDescent="0.3">
      <c r="B1536" s="5" t="str">
        <f>IF(COUNTIF(data_val!$E$3:$E$5, sample_log!$E1536), sample_log!$C1536 &amp; "_" &amp; sample_log!$D1536, "")</f>
        <v/>
      </c>
      <c r="C1536" s="5" t="str">
        <f>IF(B1536="", IF(F1536="", "", C1535), IF(sample_log!E1536="Triennial SASS", "tri_params", "params"))</f>
        <v/>
      </c>
      <c r="D1536" s="5" t="str">
        <f>IF(B1536="", "", C1536 &amp; "!" &amp; CHAR(65+MATCH(B1536, params!$B$2:$R$2, 0)))</f>
        <v/>
      </c>
      <c r="E1536" s="5" t="str">
        <f ca="1">IF(B1536="", "", COUNTA(INDIRECT(D1536 &amp; 3):INDIRECT(D1536 &amp; 24)))</f>
        <v/>
      </c>
      <c r="F1536" s="5" t="str">
        <f t="shared" si="48"/>
        <v/>
      </c>
      <c r="G1536" s="5" t="str">
        <f>IF(F1536="", "", IF(B1536&lt;&gt;"", MATCH(B1536, params!$B$2:$R$2, 0), G1535))</f>
        <v/>
      </c>
      <c r="H1536" s="5" t="str">
        <f t="shared" ca="1" si="49"/>
        <v/>
      </c>
      <c r="M1536" s="2"/>
    </row>
    <row r="1537" spans="2:13" ht="15.6" x14ac:dyDescent="0.3">
      <c r="B1537" s="5" t="str">
        <f>IF(COUNTIF(data_val!$E$3:$E$5, sample_log!$E1537), sample_log!$C1537 &amp; "_" &amp; sample_log!$D1537, "")</f>
        <v/>
      </c>
      <c r="C1537" s="5" t="str">
        <f>IF(B1537="", IF(F1537="", "", C1536), IF(sample_log!E1537="Triennial SASS", "tri_params", "params"))</f>
        <v/>
      </c>
      <c r="D1537" s="5" t="str">
        <f>IF(B1537="", "", C1537 &amp; "!" &amp; CHAR(65+MATCH(B1537, params!$B$2:$R$2, 0)))</f>
        <v/>
      </c>
      <c r="E1537" s="5" t="str">
        <f ca="1">IF(B1537="", "", COUNTA(INDIRECT(D1537 &amp; 3):INDIRECT(D1537 &amp; 24)))</f>
        <v/>
      </c>
      <c r="F1537" s="5" t="str">
        <f t="shared" si="48"/>
        <v/>
      </c>
      <c r="G1537" s="5" t="str">
        <f>IF(F1537="", "", IF(B1537&lt;&gt;"", MATCH(B1537, params!$B$2:$R$2, 0), G1536))</f>
        <v/>
      </c>
      <c r="H1537" s="5" t="str">
        <f t="shared" ca="1" si="49"/>
        <v/>
      </c>
      <c r="M1537" s="2"/>
    </row>
    <row r="1538" spans="2:13" ht="15.6" x14ac:dyDescent="0.3">
      <c r="B1538" s="5" t="str">
        <f>IF(COUNTIF(data_val!$E$3:$E$5, sample_log!$E1538), sample_log!$C1538 &amp; "_" &amp; sample_log!$D1538, "")</f>
        <v/>
      </c>
      <c r="C1538" s="5" t="str">
        <f>IF(B1538="", IF(F1538="", "", C1537), IF(sample_log!E1538="Triennial SASS", "tri_params", "params"))</f>
        <v/>
      </c>
      <c r="D1538" s="5" t="str">
        <f>IF(B1538="", "", C1538 &amp; "!" &amp; CHAR(65+MATCH(B1538, params!$B$2:$R$2, 0)))</f>
        <v/>
      </c>
      <c r="E1538" s="5" t="str">
        <f ca="1">IF(B1538="", "", COUNTA(INDIRECT(D1538 &amp; 3):INDIRECT(D1538 &amp; 24)))</f>
        <v/>
      </c>
      <c r="F1538" s="5" t="str">
        <f t="shared" si="48"/>
        <v/>
      </c>
      <c r="G1538" s="5" t="str">
        <f>IF(F1538="", "", IF(B1538&lt;&gt;"", MATCH(B1538, params!$B$2:$R$2, 0), G1537))</f>
        <v/>
      </c>
      <c r="H1538" s="5" t="str">
        <f t="shared" ca="1" si="49"/>
        <v/>
      </c>
      <c r="M1538" s="2"/>
    </row>
    <row r="1539" spans="2:13" ht="15.6" x14ac:dyDescent="0.3">
      <c r="B1539" s="5" t="str">
        <f>IF(COUNTIF(data_val!$E$3:$E$5, sample_log!$E1539), sample_log!$C1539 &amp; "_" &amp; sample_log!$D1539, "")</f>
        <v/>
      </c>
      <c r="C1539" s="5" t="str">
        <f>IF(B1539="", IF(F1539="", "", C1538), IF(sample_log!E1539="Triennial SASS", "tri_params", "params"))</f>
        <v/>
      </c>
      <c r="D1539" s="5" t="str">
        <f>IF(B1539="", "", C1539 &amp; "!" &amp; CHAR(65+MATCH(B1539, params!$B$2:$R$2, 0)))</f>
        <v/>
      </c>
      <c r="E1539" s="5" t="str">
        <f ca="1">IF(B1539="", "", COUNTA(INDIRECT(D1539 &amp; 3):INDIRECT(D1539 &amp; 24)))</f>
        <v/>
      </c>
      <c r="F1539" s="5" t="str">
        <f t="shared" ref="F1539:F1602" si="50">IF(B1539="", IF(NOT(ISNUMBER(F1538)), "", IF(F1538-1&gt;0, F1538-1, "")), E1539)</f>
        <v/>
      </c>
      <c r="G1539" s="5" t="str">
        <f>IF(F1539="", "", IF(B1539&lt;&gt;"", MATCH(B1539, params!$B$2:$R$2, 0), G1538))</f>
        <v/>
      </c>
      <c r="H1539" s="5" t="str">
        <f t="shared" ca="1" si="49"/>
        <v/>
      </c>
      <c r="M1539" s="2"/>
    </row>
    <row r="1540" spans="2:13" ht="15.6" x14ac:dyDescent="0.3">
      <c r="B1540" s="5" t="str">
        <f>IF(COUNTIF(data_val!$E$3:$E$5, sample_log!$E1540), sample_log!$C1540 &amp; "_" &amp; sample_log!$D1540, "")</f>
        <v/>
      </c>
      <c r="C1540" s="5" t="str">
        <f>IF(B1540="", IF(F1540="", "", C1539), IF(sample_log!E1540="Triennial SASS", "tri_params", "params"))</f>
        <v/>
      </c>
      <c r="D1540" s="5" t="str">
        <f>IF(B1540="", "", C1540 &amp; "!" &amp; CHAR(65+MATCH(B1540, params!$B$2:$R$2, 0)))</f>
        <v/>
      </c>
      <c r="E1540" s="5" t="str">
        <f ca="1">IF(B1540="", "", COUNTA(INDIRECT(D1540 &amp; 3):INDIRECT(D1540 &amp; 24)))</f>
        <v/>
      </c>
      <c r="F1540" s="5" t="str">
        <f t="shared" si="50"/>
        <v/>
      </c>
      <c r="G1540" s="5" t="str">
        <f>IF(F1540="", "", IF(B1540&lt;&gt;"", MATCH(B1540, params!$B$2:$R$2, 0), G1539))</f>
        <v/>
      </c>
      <c r="H1540" s="5" t="str">
        <f t="shared" ca="1" si="49"/>
        <v/>
      </c>
      <c r="M1540" s="2"/>
    </row>
    <row r="1541" spans="2:13" ht="15.6" x14ac:dyDescent="0.3">
      <c r="B1541" s="5" t="str">
        <f>IF(COUNTIF(data_val!$E$3:$E$5, sample_log!$E1541), sample_log!$C1541 &amp; "_" &amp; sample_log!$D1541, "")</f>
        <v/>
      </c>
      <c r="C1541" s="5" t="str">
        <f>IF(B1541="", IF(F1541="", "", C1540), IF(sample_log!E1541="Triennial SASS", "tri_params", "params"))</f>
        <v/>
      </c>
      <c r="D1541" s="5" t="str">
        <f>IF(B1541="", "", C1541 &amp; "!" &amp; CHAR(65+MATCH(B1541, params!$B$2:$R$2, 0)))</f>
        <v/>
      </c>
      <c r="E1541" s="5" t="str">
        <f ca="1">IF(B1541="", "", COUNTA(INDIRECT(D1541 &amp; 3):INDIRECT(D1541 &amp; 24)))</f>
        <v/>
      </c>
      <c r="F1541" s="5" t="str">
        <f t="shared" si="50"/>
        <v/>
      </c>
      <c r="G1541" s="5" t="str">
        <f>IF(F1541="", "", IF(B1541&lt;&gt;"", MATCH(B1541, params!$B$2:$R$2, 0), G1540))</f>
        <v/>
      </c>
      <c r="H1541" s="5" t="str">
        <f t="shared" ca="1" si="49"/>
        <v/>
      </c>
      <c r="M1541" s="2"/>
    </row>
    <row r="1542" spans="2:13" ht="15.6" x14ac:dyDescent="0.3">
      <c r="B1542" s="5" t="str">
        <f>IF(COUNTIF(data_val!$E$3:$E$5, sample_log!$E1542), sample_log!$C1542 &amp; "_" &amp; sample_log!$D1542, "")</f>
        <v/>
      </c>
      <c r="C1542" s="5" t="str">
        <f>IF(B1542="", IF(F1542="", "", C1541), IF(sample_log!E1542="Triennial SASS", "tri_params", "params"))</f>
        <v/>
      </c>
      <c r="D1542" s="5" t="str">
        <f>IF(B1542="", "", C1542 &amp; "!" &amp; CHAR(65+MATCH(B1542, params!$B$2:$R$2, 0)))</f>
        <v/>
      </c>
      <c r="E1542" s="5" t="str">
        <f ca="1">IF(B1542="", "", COUNTA(INDIRECT(D1542 &amp; 3):INDIRECT(D1542 &amp; 24)))</f>
        <v/>
      </c>
      <c r="F1542" s="5" t="str">
        <f t="shared" si="50"/>
        <v/>
      </c>
      <c r="G1542" s="5" t="str">
        <f>IF(F1542="", "", IF(B1542&lt;&gt;"", MATCH(B1542, params!$B$2:$R$2, 0), G1541))</f>
        <v/>
      </c>
      <c r="H1542" s="5" t="str">
        <f t="shared" ca="1" si="49"/>
        <v/>
      </c>
      <c r="M1542" s="2"/>
    </row>
    <row r="1543" spans="2:13" ht="15.6" x14ac:dyDescent="0.3">
      <c r="B1543" s="5" t="str">
        <f>IF(COUNTIF(data_val!$E$3:$E$5, sample_log!$E1543), sample_log!$C1543 &amp; "_" &amp; sample_log!$D1543, "")</f>
        <v/>
      </c>
      <c r="C1543" s="5" t="str">
        <f>IF(B1543="", IF(F1543="", "", C1542), IF(sample_log!E1543="Triennial SASS", "tri_params", "params"))</f>
        <v/>
      </c>
      <c r="D1543" s="5" t="str">
        <f>IF(B1543="", "", C1543 &amp; "!" &amp; CHAR(65+MATCH(B1543, params!$B$2:$R$2, 0)))</f>
        <v/>
      </c>
      <c r="E1543" s="5" t="str">
        <f ca="1">IF(B1543="", "", COUNTA(INDIRECT(D1543 &amp; 3):INDIRECT(D1543 &amp; 24)))</f>
        <v/>
      </c>
      <c r="F1543" s="5" t="str">
        <f t="shared" si="50"/>
        <v/>
      </c>
      <c r="G1543" s="5" t="str">
        <f>IF(F1543="", "", IF(B1543&lt;&gt;"", MATCH(B1543, params!$B$2:$R$2, 0), G1542))</f>
        <v/>
      </c>
      <c r="H1543" s="5" t="str">
        <f t="shared" ca="1" si="49"/>
        <v/>
      </c>
      <c r="M1543" s="2"/>
    </row>
    <row r="1544" spans="2:13" ht="15.6" x14ac:dyDescent="0.3">
      <c r="B1544" s="5" t="str">
        <f>IF(COUNTIF(data_val!$E$3:$E$5, sample_log!$E1544), sample_log!$C1544 &amp; "_" &amp; sample_log!$D1544, "")</f>
        <v/>
      </c>
      <c r="C1544" s="5" t="str">
        <f>IF(B1544="", IF(F1544="", "", C1543), IF(sample_log!E1544="Triennial SASS", "tri_params", "params"))</f>
        <v/>
      </c>
      <c r="D1544" s="5" t="str">
        <f>IF(B1544="", "", C1544 &amp; "!" &amp; CHAR(65+MATCH(B1544, params!$B$2:$R$2, 0)))</f>
        <v/>
      </c>
      <c r="E1544" s="5" t="str">
        <f ca="1">IF(B1544="", "", COUNTA(INDIRECT(D1544 &amp; 3):INDIRECT(D1544 &amp; 24)))</f>
        <v/>
      </c>
      <c r="F1544" s="5" t="str">
        <f t="shared" si="50"/>
        <v/>
      </c>
      <c r="G1544" s="5" t="str">
        <f>IF(F1544="", "", IF(B1544&lt;&gt;"", MATCH(B1544, params!$B$2:$R$2, 0), G1543))</f>
        <v/>
      </c>
      <c r="H1544" s="5" t="str">
        <f t="shared" ca="1" si="49"/>
        <v/>
      </c>
      <c r="M1544" s="2"/>
    </row>
    <row r="1545" spans="2:13" ht="15.6" x14ac:dyDescent="0.3">
      <c r="B1545" s="5" t="str">
        <f>IF(COUNTIF(data_val!$E$3:$E$5, sample_log!$E1545), sample_log!$C1545 &amp; "_" &amp; sample_log!$D1545, "")</f>
        <v/>
      </c>
      <c r="C1545" s="5" t="str">
        <f>IF(B1545="", IF(F1545="", "", C1544), IF(sample_log!E1545="Triennial SASS", "tri_params", "params"))</f>
        <v/>
      </c>
      <c r="D1545" s="5" t="str">
        <f>IF(B1545="", "", C1545 &amp; "!" &amp; CHAR(65+MATCH(B1545, params!$B$2:$R$2, 0)))</f>
        <v/>
      </c>
      <c r="E1545" s="5" t="str">
        <f ca="1">IF(B1545="", "", COUNTA(INDIRECT(D1545 &amp; 3):INDIRECT(D1545 &amp; 24)))</f>
        <v/>
      </c>
      <c r="F1545" s="5" t="str">
        <f t="shared" si="50"/>
        <v/>
      </c>
      <c r="G1545" s="5" t="str">
        <f>IF(F1545="", "", IF(B1545&lt;&gt;"", MATCH(B1545, params!$B$2:$R$2, 0), G1544))</f>
        <v/>
      </c>
      <c r="H1545" s="5" t="str">
        <f t="shared" ca="1" si="49"/>
        <v/>
      </c>
      <c r="M1545" s="2"/>
    </row>
    <row r="1546" spans="2:13" ht="15.6" x14ac:dyDescent="0.3">
      <c r="B1546" s="5" t="str">
        <f>IF(COUNTIF(data_val!$E$3:$E$5, sample_log!$E1546), sample_log!$C1546 &amp; "_" &amp; sample_log!$D1546, "")</f>
        <v/>
      </c>
      <c r="C1546" s="5" t="str">
        <f>IF(B1546="", IF(F1546="", "", C1545), IF(sample_log!E1546="Triennial SASS", "tri_params", "params"))</f>
        <v/>
      </c>
      <c r="D1546" s="5" t="str">
        <f>IF(B1546="", "", C1546 &amp; "!" &amp; CHAR(65+MATCH(B1546, params!$B$2:$R$2, 0)))</f>
        <v/>
      </c>
      <c r="E1546" s="5" t="str">
        <f ca="1">IF(B1546="", "", COUNTA(INDIRECT(D1546 &amp; 3):INDIRECT(D1546 &amp; 24)))</f>
        <v/>
      </c>
      <c r="F1546" s="5" t="str">
        <f t="shared" si="50"/>
        <v/>
      </c>
      <c r="G1546" s="5" t="str">
        <f>IF(F1546="", "", IF(B1546&lt;&gt;"", MATCH(B1546, params!$B$2:$R$2, 0), G1545))</f>
        <v/>
      </c>
      <c r="H1546" s="5" t="str">
        <f t="shared" ca="1" si="49"/>
        <v/>
      </c>
      <c r="M1546" s="2"/>
    </row>
    <row r="1547" spans="2:13" ht="15.6" x14ac:dyDescent="0.3">
      <c r="B1547" s="5" t="str">
        <f>IF(COUNTIF(data_val!$E$3:$E$5, sample_log!$E1547), sample_log!$C1547 &amp; "_" &amp; sample_log!$D1547, "")</f>
        <v/>
      </c>
      <c r="C1547" s="5" t="str">
        <f>IF(B1547="", IF(F1547="", "", C1546), IF(sample_log!E1547="Triennial SASS", "tri_params", "params"))</f>
        <v/>
      </c>
      <c r="D1547" s="5" t="str">
        <f>IF(B1547="", "", C1547 &amp; "!" &amp; CHAR(65+MATCH(B1547, params!$B$2:$R$2, 0)))</f>
        <v/>
      </c>
      <c r="E1547" s="5" t="str">
        <f ca="1">IF(B1547="", "", COUNTA(INDIRECT(D1547 &amp; 3):INDIRECT(D1547 &amp; 24)))</f>
        <v/>
      </c>
      <c r="F1547" s="5" t="str">
        <f t="shared" si="50"/>
        <v/>
      </c>
      <c r="G1547" s="5" t="str">
        <f>IF(F1547="", "", IF(B1547&lt;&gt;"", MATCH(B1547, params!$B$2:$R$2, 0), G1546))</f>
        <v/>
      </c>
      <c r="H1547" s="5" t="str">
        <f t="shared" ca="1" si="49"/>
        <v/>
      </c>
      <c r="M1547" s="2"/>
    </row>
    <row r="1548" spans="2:13" ht="15.6" x14ac:dyDescent="0.3">
      <c r="B1548" s="5" t="str">
        <f>IF(COUNTIF(data_val!$E$3:$E$5, sample_log!$E1548), sample_log!$C1548 &amp; "_" &amp; sample_log!$D1548, "")</f>
        <v/>
      </c>
      <c r="C1548" s="5" t="str">
        <f>IF(B1548="", IF(F1548="", "", C1547), IF(sample_log!E1548="Triennial SASS", "tri_params", "params"))</f>
        <v/>
      </c>
      <c r="D1548" s="5" t="str">
        <f>IF(B1548="", "", C1548 &amp; "!" &amp; CHAR(65+MATCH(B1548, params!$B$2:$R$2, 0)))</f>
        <v/>
      </c>
      <c r="E1548" s="5" t="str">
        <f ca="1">IF(B1548="", "", COUNTA(INDIRECT(D1548 &amp; 3):INDIRECT(D1548 &amp; 24)))</f>
        <v/>
      </c>
      <c r="F1548" s="5" t="str">
        <f t="shared" si="50"/>
        <v/>
      </c>
      <c r="G1548" s="5" t="str">
        <f>IF(F1548="", "", IF(B1548&lt;&gt;"", MATCH(B1548, params!$B$2:$R$2, 0), G1547))</f>
        <v/>
      </c>
      <c r="H1548" s="5" t="str">
        <f t="shared" ca="1" si="49"/>
        <v/>
      </c>
      <c r="M1548" s="2"/>
    </row>
    <row r="1549" spans="2:13" ht="15.6" x14ac:dyDescent="0.3">
      <c r="B1549" s="5" t="str">
        <f>IF(COUNTIF(data_val!$E$3:$E$5, sample_log!$E1549), sample_log!$C1549 &amp; "_" &amp; sample_log!$D1549, "")</f>
        <v/>
      </c>
      <c r="C1549" s="5" t="str">
        <f>IF(B1549="", IF(F1549="", "", C1548), IF(sample_log!E1549="Triennial SASS", "tri_params", "params"))</f>
        <v/>
      </c>
      <c r="D1549" s="5" t="str">
        <f>IF(B1549="", "", C1549 &amp; "!" &amp; CHAR(65+MATCH(B1549, params!$B$2:$R$2, 0)))</f>
        <v/>
      </c>
      <c r="E1549" s="5" t="str">
        <f ca="1">IF(B1549="", "", COUNTA(INDIRECT(D1549 &amp; 3):INDIRECT(D1549 &amp; 24)))</f>
        <v/>
      </c>
      <c r="F1549" s="5" t="str">
        <f t="shared" si="50"/>
        <v/>
      </c>
      <c r="G1549" s="5" t="str">
        <f>IF(F1549="", "", IF(B1549&lt;&gt;"", MATCH(B1549, params!$B$2:$R$2, 0), G1548))</f>
        <v/>
      </c>
      <c r="H1549" s="5" t="str">
        <f t="shared" ca="1" si="49"/>
        <v/>
      </c>
      <c r="M1549" s="2"/>
    </row>
    <row r="1550" spans="2:13" ht="15.6" x14ac:dyDescent="0.3">
      <c r="B1550" s="5" t="str">
        <f>IF(COUNTIF(data_val!$E$3:$E$5, sample_log!$E1550), sample_log!$C1550 &amp; "_" &amp; sample_log!$D1550, "")</f>
        <v/>
      </c>
      <c r="C1550" s="5" t="str">
        <f>IF(B1550="", IF(F1550="", "", C1549), IF(sample_log!E1550="Triennial SASS", "tri_params", "params"))</f>
        <v/>
      </c>
      <c r="D1550" s="5" t="str">
        <f>IF(B1550="", "", C1550 &amp; "!" &amp; CHAR(65+MATCH(B1550, params!$B$2:$R$2, 0)))</f>
        <v/>
      </c>
      <c r="E1550" s="5" t="str">
        <f ca="1">IF(B1550="", "", COUNTA(INDIRECT(D1550 &amp; 3):INDIRECT(D1550 &amp; 24)))</f>
        <v/>
      </c>
      <c r="F1550" s="5" t="str">
        <f t="shared" si="50"/>
        <v/>
      </c>
      <c r="G1550" s="5" t="str">
        <f>IF(F1550="", "", IF(B1550&lt;&gt;"", MATCH(B1550, params!$B$2:$R$2, 0), G1549))</f>
        <v/>
      </c>
      <c r="H1550" s="5" t="str">
        <f t="shared" ca="1" si="49"/>
        <v/>
      </c>
      <c r="M1550" s="2"/>
    </row>
    <row r="1551" spans="2:13" ht="15.6" x14ac:dyDescent="0.3">
      <c r="B1551" s="5" t="str">
        <f>IF(COUNTIF(data_val!$E$3:$E$5, sample_log!$E1551), sample_log!$C1551 &amp; "_" &amp; sample_log!$D1551, "")</f>
        <v/>
      </c>
      <c r="C1551" s="5" t="str">
        <f>IF(B1551="", IF(F1551="", "", C1550), IF(sample_log!E1551="Triennial SASS", "tri_params", "params"))</f>
        <v/>
      </c>
      <c r="D1551" s="5" t="str">
        <f>IF(B1551="", "", C1551 &amp; "!" &amp; CHAR(65+MATCH(B1551, params!$B$2:$R$2, 0)))</f>
        <v/>
      </c>
      <c r="E1551" s="5" t="str">
        <f ca="1">IF(B1551="", "", COUNTA(INDIRECT(D1551 &amp; 3):INDIRECT(D1551 &amp; 24)))</f>
        <v/>
      </c>
      <c r="F1551" s="5" t="str">
        <f t="shared" si="50"/>
        <v/>
      </c>
      <c r="G1551" s="5" t="str">
        <f>IF(F1551="", "", IF(B1551&lt;&gt;"", MATCH(B1551, params!$B$2:$R$2, 0), G1550))</f>
        <v/>
      </c>
      <c r="H1551" s="5" t="str">
        <f t="shared" ca="1" si="49"/>
        <v/>
      </c>
      <c r="M1551" s="2"/>
    </row>
    <row r="1552" spans="2:13" ht="15.6" x14ac:dyDescent="0.3">
      <c r="B1552" s="5" t="str">
        <f>IF(COUNTIF(data_val!$E$3:$E$5, sample_log!$E1552), sample_log!$C1552 &amp; "_" &amp; sample_log!$D1552, "")</f>
        <v/>
      </c>
      <c r="C1552" s="5" t="str">
        <f>IF(B1552="", IF(F1552="", "", C1551), IF(sample_log!E1552="Triennial SASS", "tri_params", "params"))</f>
        <v/>
      </c>
      <c r="D1552" s="5" t="str">
        <f>IF(B1552="", "", C1552 &amp; "!" &amp; CHAR(65+MATCH(B1552, params!$B$2:$R$2, 0)))</f>
        <v/>
      </c>
      <c r="E1552" s="5" t="str">
        <f ca="1">IF(B1552="", "", COUNTA(INDIRECT(D1552 &amp; 3):INDIRECT(D1552 &amp; 24)))</f>
        <v/>
      </c>
      <c r="F1552" s="5" t="str">
        <f t="shared" si="50"/>
        <v/>
      </c>
      <c r="G1552" s="5" t="str">
        <f>IF(F1552="", "", IF(B1552&lt;&gt;"", MATCH(B1552, params!$B$2:$R$2, 0), G1551))</f>
        <v/>
      </c>
      <c r="H1552" s="5" t="str">
        <f t="shared" ca="1" si="49"/>
        <v/>
      </c>
      <c r="M1552" s="2"/>
    </row>
    <row r="1553" spans="2:13" ht="15.6" x14ac:dyDescent="0.3">
      <c r="B1553" s="5" t="str">
        <f>IF(COUNTIF(data_val!$E$3:$E$5, sample_log!$E1553), sample_log!$C1553 &amp; "_" &amp; sample_log!$D1553, "")</f>
        <v/>
      </c>
      <c r="C1553" s="5" t="str">
        <f>IF(B1553="", IF(F1553="", "", C1552), IF(sample_log!E1553="Triennial SASS", "tri_params", "params"))</f>
        <v/>
      </c>
      <c r="D1553" s="5" t="str">
        <f>IF(B1553="", "", C1553 &amp; "!" &amp; CHAR(65+MATCH(B1553, params!$B$2:$R$2, 0)))</f>
        <v/>
      </c>
      <c r="E1553" s="5" t="str">
        <f ca="1">IF(B1553="", "", COUNTA(INDIRECT(D1553 &amp; 3):INDIRECT(D1553 &amp; 24)))</f>
        <v/>
      </c>
      <c r="F1553" s="5" t="str">
        <f t="shared" si="50"/>
        <v/>
      </c>
      <c r="G1553" s="5" t="str">
        <f>IF(F1553="", "", IF(B1553&lt;&gt;"", MATCH(B1553, params!$B$2:$R$2, 0), G1552))</f>
        <v/>
      </c>
      <c r="H1553" s="5" t="str">
        <f t="shared" ca="1" si="49"/>
        <v/>
      </c>
      <c r="M1553" s="2"/>
    </row>
    <row r="1554" spans="2:13" ht="15.6" x14ac:dyDescent="0.3">
      <c r="B1554" s="5" t="str">
        <f>IF(COUNTIF(data_val!$E$3:$E$5, sample_log!$E1554), sample_log!$C1554 &amp; "_" &amp; sample_log!$D1554, "")</f>
        <v/>
      </c>
      <c r="C1554" s="5" t="str">
        <f>IF(B1554="", IF(F1554="", "", C1553), IF(sample_log!E1554="Triennial SASS", "tri_params", "params"))</f>
        <v/>
      </c>
      <c r="D1554" s="5" t="str">
        <f>IF(B1554="", "", C1554 &amp; "!" &amp; CHAR(65+MATCH(B1554, params!$B$2:$R$2, 0)))</f>
        <v/>
      </c>
      <c r="E1554" s="5" t="str">
        <f ca="1">IF(B1554="", "", COUNTA(INDIRECT(D1554 &amp; 3):INDIRECT(D1554 &amp; 24)))</f>
        <v/>
      </c>
      <c r="F1554" s="5" t="str">
        <f t="shared" si="50"/>
        <v/>
      </c>
      <c r="G1554" s="5" t="str">
        <f>IF(F1554="", "", IF(B1554&lt;&gt;"", MATCH(B1554, params!$B$2:$R$2, 0), G1553))</f>
        <v/>
      </c>
      <c r="H1554" s="5" t="str">
        <f t="shared" ca="1" si="49"/>
        <v/>
      </c>
      <c r="M1554" s="2"/>
    </row>
    <row r="1555" spans="2:13" ht="15.6" x14ac:dyDescent="0.3">
      <c r="B1555" s="5" t="str">
        <f>IF(COUNTIF(data_val!$E$3:$E$5, sample_log!$E1555), sample_log!$C1555 &amp; "_" &amp; sample_log!$D1555, "")</f>
        <v/>
      </c>
      <c r="C1555" s="5" t="str">
        <f>IF(B1555="", IF(F1555="", "", C1554), IF(sample_log!E1555="Triennial SASS", "tri_params", "params"))</f>
        <v/>
      </c>
      <c r="D1555" s="5" t="str">
        <f>IF(B1555="", "", C1555 &amp; "!" &amp; CHAR(65+MATCH(B1555, params!$B$2:$R$2, 0)))</f>
        <v/>
      </c>
      <c r="E1555" s="5" t="str">
        <f ca="1">IF(B1555="", "", COUNTA(INDIRECT(D1555 &amp; 3):INDIRECT(D1555 &amp; 24)))</f>
        <v/>
      </c>
      <c r="F1555" s="5" t="str">
        <f t="shared" si="50"/>
        <v/>
      </c>
      <c r="G1555" s="5" t="str">
        <f>IF(F1555="", "", IF(B1555&lt;&gt;"", MATCH(B1555, params!$B$2:$R$2, 0), G1554))</f>
        <v/>
      </c>
      <c r="H1555" s="5" t="str">
        <f t="shared" ca="1" si="49"/>
        <v/>
      </c>
      <c r="M1555" s="2"/>
    </row>
    <row r="1556" spans="2:13" ht="15.6" x14ac:dyDescent="0.3">
      <c r="B1556" s="5" t="str">
        <f>IF(COUNTIF(data_val!$E$3:$E$5, sample_log!$E1556), sample_log!$C1556 &amp; "_" &amp; sample_log!$D1556, "")</f>
        <v/>
      </c>
      <c r="C1556" s="5" t="str">
        <f>IF(B1556="", IF(F1556="", "", C1555), IF(sample_log!E1556="Triennial SASS", "tri_params", "params"))</f>
        <v/>
      </c>
      <c r="D1556" s="5" t="str">
        <f>IF(B1556="", "", C1556 &amp; "!" &amp; CHAR(65+MATCH(B1556, params!$B$2:$R$2, 0)))</f>
        <v/>
      </c>
      <c r="E1556" s="5" t="str">
        <f ca="1">IF(B1556="", "", COUNTA(INDIRECT(D1556 &amp; 3):INDIRECT(D1556 &amp; 24)))</f>
        <v/>
      </c>
      <c r="F1556" s="5" t="str">
        <f t="shared" si="50"/>
        <v/>
      </c>
      <c r="G1556" s="5" t="str">
        <f>IF(F1556="", "", IF(B1556&lt;&gt;"", MATCH(B1556, params!$B$2:$R$2, 0), G1555))</f>
        <v/>
      </c>
      <c r="H1556" s="5" t="str">
        <f t="shared" ca="1" si="49"/>
        <v/>
      </c>
      <c r="M1556" s="2"/>
    </row>
    <row r="1557" spans="2:13" ht="15.6" x14ac:dyDescent="0.3">
      <c r="B1557" s="5" t="str">
        <f>IF(COUNTIF(data_val!$E$3:$E$5, sample_log!$E1557), sample_log!$C1557 &amp; "_" &amp; sample_log!$D1557, "")</f>
        <v/>
      </c>
      <c r="C1557" s="5" t="str">
        <f>IF(B1557="", IF(F1557="", "", C1556), IF(sample_log!E1557="Triennial SASS", "tri_params", "params"))</f>
        <v/>
      </c>
      <c r="D1557" s="5" t="str">
        <f>IF(B1557="", "", C1557 &amp; "!" &amp; CHAR(65+MATCH(B1557, params!$B$2:$R$2, 0)))</f>
        <v/>
      </c>
      <c r="E1557" s="5" t="str">
        <f ca="1">IF(B1557="", "", COUNTA(INDIRECT(D1557 &amp; 3):INDIRECT(D1557 &amp; 24)))</f>
        <v/>
      </c>
      <c r="F1557" s="5" t="str">
        <f t="shared" si="50"/>
        <v/>
      </c>
      <c r="G1557" s="5" t="str">
        <f>IF(F1557="", "", IF(B1557&lt;&gt;"", MATCH(B1557, params!$B$2:$R$2, 0), G1556))</f>
        <v/>
      </c>
      <c r="H1557" s="5" t="str">
        <f t="shared" ca="1" si="49"/>
        <v/>
      </c>
      <c r="M1557" s="2"/>
    </row>
    <row r="1558" spans="2:13" ht="15.6" x14ac:dyDescent="0.3">
      <c r="B1558" s="5" t="str">
        <f>IF(COUNTIF(data_val!$E$3:$E$5, sample_log!$E1558), sample_log!$C1558 &amp; "_" &amp; sample_log!$D1558, "")</f>
        <v/>
      </c>
      <c r="C1558" s="5" t="str">
        <f>IF(B1558="", IF(F1558="", "", C1557), IF(sample_log!E1558="Triennial SASS", "tri_params", "params"))</f>
        <v/>
      </c>
      <c r="D1558" s="5" t="str">
        <f>IF(B1558="", "", C1558 &amp; "!" &amp; CHAR(65+MATCH(B1558, params!$B$2:$R$2, 0)))</f>
        <v/>
      </c>
      <c r="E1558" s="5" t="str">
        <f ca="1">IF(B1558="", "", COUNTA(INDIRECT(D1558 &amp; 3):INDIRECT(D1558 &amp; 24)))</f>
        <v/>
      </c>
      <c r="F1558" s="5" t="str">
        <f t="shared" si="50"/>
        <v/>
      </c>
      <c r="G1558" s="5" t="str">
        <f>IF(F1558="", "", IF(B1558&lt;&gt;"", MATCH(B1558, params!$B$2:$R$2, 0), G1557))</f>
        <v/>
      </c>
      <c r="H1558" s="5" t="str">
        <f t="shared" ca="1" si="49"/>
        <v/>
      </c>
      <c r="M1558" s="2"/>
    </row>
    <row r="1559" spans="2:13" ht="15.6" x14ac:dyDescent="0.3">
      <c r="B1559" s="5" t="str">
        <f>IF(COUNTIF(data_val!$E$3:$E$5, sample_log!$E1559), sample_log!$C1559 &amp; "_" &amp; sample_log!$D1559, "")</f>
        <v/>
      </c>
      <c r="C1559" s="5" t="str">
        <f>IF(B1559="", IF(F1559="", "", C1558), IF(sample_log!E1559="Triennial SASS", "tri_params", "params"))</f>
        <v/>
      </c>
      <c r="D1559" s="5" t="str">
        <f>IF(B1559="", "", C1559 &amp; "!" &amp; CHAR(65+MATCH(B1559, params!$B$2:$R$2, 0)))</f>
        <v/>
      </c>
      <c r="E1559" s="5" t="str">
        <f ca="1">IF(B1559="", "", COUNTA(INDIRECT(D1559 &amp; 3):INDIRECT(D1559 &amp; 24)))</f>
        <v/>
      </c>
      <c r="F1559" s="5" t="str">
        <f t="shared" si="50"/>
        <v/>
      </c>
      <c r="G1559" s="5" t="str">
        <f>IF(F1559="", "", IF(B1559&lt;&gt;"", MATCH(B1559, params!$B$2:$R$2, 0), G1558))</f>
        <v/>
      </c>
      <c r="H1559" s="5" t="str">
        <f t="shared" ca="1" si="49"/>
        <v/>
      </c>
      <c r="M1559" s="2"/>
    </row>
    <row r="1560" spans="2:13" ht="15.6" x14ac:dyDescent="0.3">
      <c r="B1560" s="5" t="str">
        <f>IF(COUNTIF(data_val!$E$3:$E$5, sample_log!$E1560), sample_log!$C1560 &amp; "_" &amp; sample_log!$D1560, "")</f>
        <v/>
      </c>
      <c r="C1560" s="5" t="str">
        <f>IF(B1560="", IF(F1560="", "", C1559), IF(sample_log!E1560="Triennial SASS", "tri_params", "params"))</f>
        <v/>
      </c>
      <c r="D1560" s="5" t="str">
        <f>IF(B1560="", "", C1560 &amp; "!" &amp; CHAR(65+MATCH(B1560, params!$B$2:$R$2, 0)))</f>
        <v/>
      </c>
      <c r="E1560" s="5" t="str">
        <f ca="1">IF(B1560="", "", COUNTA(INDIRECT(D1560 &amp; 3):INDIRECT(D1560 &amp; 24)))</f>
        <v/>
      </c>
      <c r="F1560" s="5" t="str">
        <f t="shared" si="50"/>
        <v/>
      </c>
      <c r="G1560" s="5" t="str">
        <f>IF(F1560="", "", IF(B1560&lt;&gt;"", MATCH(B1560, params!$B$2:$R$2, 0), G1559))</f>
        <v/>
      </c>
      <c r="H1560" s="5" t="str">
        <f t="shared" ca="1" si="49"/>
        <v/>
      </c>
      <c r="M1560" s="2"/>
    </row>
    <row r="1561" spans="2:13" ht="15.6" x14ac:dyDescent="0.3">
      <c r="B1561" s="5" t="str">
        <f>IF(COUNTIF(data_val!$E$3:$E$5, sample_log!$E1561), sample_log!$C1561 &amp; "_" &amp; sample_log!$D1561, "")</f>
        <v/>
      </c>
      <c r="C1561" s="5" t="str">
        <f>IF(B1561="", IF(F1561="", "", C1560), IF(sample_log!E1561="Triennial SASS", "tri_params", "params"))</f>
        <v/>
      </c>
      <c r="D1561" s="5" t="str">
        <f>IF(B1561="", "", C1561 &amp; "!" &amp; CHAR(65+MATCH(B1561, params!$B$2:$R$2, 0)))</f>
        <v/>
      </c>
      <c r="E1561" s="5" t="str">
        <f ca="1">IF(B1561="", "", COUNTA(INDIRECT(D1561 &amp; 3):INDIRECT(D1561 &amp; 24)))</f>
        <v/>
      </c>
      <c r="F1561" s="5" t="str">
        <f t="shared" si="50"/>
        <v/>
      </c>
      <c r="G1561" s="5" t="str">
        <f>IF(F1561="", "", IF(B1561&lt;&gt;"", MATCH(B1561, params!$B$2:$R$2, 0), G1560))</f>
        <v/>
      </c>
      <c r="H1561" s="5" t="str">
        <f t="shared" ref="H1561:H1624" ca="1" si="51">IF($F1561="", "", INDEX(INDIRECT("'" &amp; C1561 &amp; "'!$B$3:$R$24"), $F1561, $G1561))</f>
        <v/>
      </c>
      <c r="M1561" s="2"/>
    </row>
    <row r="1562" spans="2:13" ht="15.6" x14ac:dyDescent="0.3">
      <c r="B1562" s="5" t="str">
        <f>IF(COUNTIF(data_val!$E$3:$E$5, sample_log!$E1562), sample_log!$C1562 &amp; "_" &amp; sample_log!$D1562, "")</f>
        <v/>
      </c>
      <c r="C1562" s="5" t="str">
        <f>IF(B1562="", IF(F1562="", "", C1561), IF(sample_log!E1562="Triennial SASS", "tri_params", "params"))</f>
        <v/>
      </c>
      <c r="D1562" s="5" t="str">
        <f>IF(B1562="", "", C1562 &amp; "!" &amp; CHAR(65+MATCH(B1562, params!$B$2:$R$2, 0)))</f>
        <v/>
      </c>
      <c r="E1562" s="5" t="str">
        <f ca="1">IF(B1562="", "", COUNTA(INDIRECT(D1562 &amp; 3):INDIRECT(D1562 &amp; 24)))</f>
        <v/>
      </c>
      <c r="F1562" s="5" t="str">
        <f t="shared" si="50"/>
        <v/>
      </c>
      <c r="G1562" s="5" t="str">
        <f>IF(F1562="", "", IF(B1562&lt;&gt;"", MATCH(B1562, params!$B$2:$R$2, 0), G1561))</f>
        <v/>
      </c>
      <c r="H1562" s="5" t="str">
        <f t="shared" ca="1" si="51"/>
        <v/>
      </c>
      <c r="M1562" s="2"/>
    </row>
    <row r="1563" spans="2:13" ht="15.6" x14ac:dyDescent="0.3">
      <c r="B1563" s="5" t="str">
        <f>IF(COUNTIF(data_val!$E$3:$E$5, sample_log!$E1563), sample_log!$C1563 &amp; "_" &amp; sample_log!$D1563, "")</f>
        <v/>
      </c>
      <c r="C1563" s="5" t="str">
        <f>IF(B1563="", IF(F1563="", "", C1562), IF(sample_log!E1563="Triennial SASS", "tri_params", "params"))</f>
        <v/>
      </c>
      <c r="D1563" s="5" t="str">
        <f>IF(B1563="", "", C1563 &amp; "!" &amp; CHAR(65+MATCH(B1563, params!$B$2:$R$2, 0)))</f>
        <v/>
      </c>
      <c r="E1563" s="5" t="str">
        <f ca="1">IF(B1563="", "", COUNTA(INDIRECT(D1563 &amp; 3):INDIRECT(D1563 &amp; 24)))</f>
        <v/>
      </c>
      <c r="F1563" s="5" t="str">
        <f t="shared" si="50"/>
        <v/>
      </c>
      <c r="G1563" s="5" t="str">
        <f>IF(F1563="", "", IF(B1563&lt;&gt;"", MATCH(B1563, params!$B$2:$R$2, 0), G1562))</f>
        <v/>
      </c>
      <c r="H1563" s="5" t="str">
        <f t="shared" ca="1" si="51"/>
        <v/>
      </c>
      <c r="M1563" s="2"/>
    </row>
    <row r="1564" spans="2:13" ht="15.6" x14ac:dyDescent="0.3">
      <c r="B1564" s="5" t="str">
        <f>IF(COUNTIF(data_val!$E$3:$E$5, sample_log!$E1564), sample_log!$C1564 &amp; "_" &amp; sample_log!$D1564, "")</f>
        <v/>
      </c>
      <c r="C1564" s="5" t="str">
        <f>IF(B1564="", IF(F1564="", "", C1563), IF(sample_log!E1564="Triennial SASS", "tri_params", "params"))</f>
        <v/>
      </c>
      <c r="D1564" s="5" t="str">
        <f>IF(B1564="", "", C1564 &amp; "!" &amp; CHAR(65+MATCH(B1564, params!$B$2:$R$2, 0)))</f>
        <v/>
      </c>
      <c r="E1564" s="5" t="str">
        <f ca="1">IF(B1564="", "", COUNTA(INDIRECT(D1564 &amp; 3):INDIRECT(D1564 &amp; 24)))</f>
        <v/>
      </c>
      <c r="F1564" s="5" t="str">
        <f t="shared" si="50"/>
        <v/>
      </c>
      <c r="G1564" s="5" t="str">
        <f>IF(F1564="", "", IF(B1564&lt;&gt;"", MATCH(B1564, params!$B$2:$R$2, 0), G1563))</f>
        <v/>
      </c>
      <c r="H1564" s="5" t="str">
        <f t="shared" ca="1" si="51"/>
        <v/>
      </c>
      <c r="M1564" s="2"/>
    </row>
    <row r="1565" spans="2:13" ht="15.6" x14ac:dyDescent="0.3">
      <c r="B1565" s="5" t="str">
        <f>IF(COUNTIF(data_val!$E$3:$E$5, sample_log!$E1565), sample_log!$C1565 &amp; "_" &amp; sample_log!$D1565, "")</f>
        <v/>
      </c>
      <c r="C1565" s="5" t="str">
        <f>IF(B1565="", IF(F1565="", "", C1564), IF(sample_log!E1565="Triennial SASS", "tri_params", "params"))</f>
        <v/>
      </c>
      <c r="D1565" s="5" t="str">
        <f>IF(B1565="", "", C1565 &amp; "!" &amp; CHAR(65+MATCH(B1565, params!$B$2:$R$2, 0)))</f>
        <v/>
      </c>
      <c r="E1565" s="5" t="str">
        <f ca="1">IF(B1565="", "", COUNTA(INDIRECT(D1565 &amp; 3):INDIRECT(D1565 &amp; 24)))</f>
        <v/>
      </c>
      <c r="F1565" s="5" t="str">
        <f t="shared" si="50"/>
        <v/>
      </c>
      <c r="G1565" s="5" t="str">
        <f>IF(F1565="", "", IF(B1565&lt;&gt;"", MATCH(B1565, params!$B$2:$R$2, 0), G1564))</f>
        <v/>
      </c>
      <c r="H1565" s="5" t="str">
        <f t="shared" ca="1" si="51"/>
        <v/>
      </c>
      <c r="M1565" s="2"/>
    </row>
    <row r="1566" spans="2:13" ht="15.6" x14ac:dyDescent="0.3">
      <c r="B1566" s="5" t="str">
        <f>IF(COUNTIF(data_val!$E$3:$E$5, sample_log!$E1566), sample_log!$C1566 &amp; "_" &amp; sample_log!$D1566, "")</f>
        <v/>
      </c>
      <c r="C1566" s="5" t="str">
        <f>IF(B1566="", IF(F1566="", "", C1565), IF(sample_log!E1566="Triennial SASS", "tri_params", "params"))</f>
        <v/>
      </c>
      <c r="D1566" s="5" t="str">
        <f>IF(B1566="", "", C1566 &amp; "!" &amp; CHAR(65+MATCH(B1566, params!$B$2:$R$2, 0)))</f>
        <v/>
      </c>
      <c r="E1566" s="5" t="str">
        <f ca="1">IF(B1566="", "", COUNTA(INDIRECT(D1566 &amp; 3):INDIRECT(D1566 &amp; 24)))</f>
        <v/>
      </c>
      <c r="F1566" s="5" t="str">
        <f t="shared" si="50"/>
        <v/>
      </c>
      <c r="G1566" s="5" t="str">
        <f>IF(F1566="", "", IF(B1566&lt;&gt;"", MATCH(B1566, params!$B$2:$R$2, 0), G1565))</f>
        <v/>
      </c>
      <c r="H1566" s="5" t="str">
        <f t="shared" ca="1" si="51"/>
        <v/>
      </c>
      <c r="M1566" s="2"/>
    </row>
    <row r="1567" spans="2:13" ht="15.6" x14ac:dyDescent="0.3">
      <c r="B1567" s="5" t="str">
        <f>IF(COUNTIF(data_val!$E$3:$E$5, sample_log!$E1567), sample_log!$C1567 &amp; "_" &amp; sample_log!$D1567, "")</f>
        <v/>
      </c>
      <c r="C1567" s="5" t="str">
        <f>IF(B1567="", IF(F1567="", "", C1566), IF(sample_log!E1567="Triennial SASS", "tri_params", "params"))</f>
        <v/>
      </c>
      <c r="D1567" s="5" t="str">
        <f>IF(B1567="", "", C1567 &amp; "!" &amp; CHAR(65+MATCH(B1567, params!$B$2:$R$2, 0)))</f>
        <v/>
      </c>
      <c r="E1567" s="5" t="str">
        <f ca="1">IF(B1567="", "", COUNTA(INDIRECT(D1567 &amp; 3):INDIRECT(D1567 &amp; 24)))</f>
        <v/>
      </c>
      <c r="F1567" s="5" t="str">
        <f t="shared" si="50"/>
        <v/>
      </c>
      <c r="G1567" s="5" t="str">
        <f>IF(F1567="", "", IF(B1567&lt;&gt;"", MATCH(B1567, params!$B$2:$R$2, 0), G1566))</f>
        <v/>
      </c>
      <c r="H1567" s="5" t="str">
        <f t="shared" ca="1" si="51"/>
        <v/>
      </c>
      <c r="M1567" s="2"/>
    </row>
    <row r="1568" spans="2:13" ht="15.6" x14ac:dyDescent="0.3">
      <c r="B1568" s="5" t="str">
        <f>IF(COUNTIF(data_val!$E$3:$E$5, sample_log!$E1568), sample_log!$C1568 &amp; "_" &amp; sample_log!$D1568, "")</f>
        <v/>
      </c>
      <c r="C1568" s="5" t="str">
        <f>IF(B1568="", IF(F1568="", "", C1567), IF(sample_log!E1568="Triennial SASS", "tri_params", "params"))</f>
        <v/>
      </c>
      <c r="D1568" s="5" t="str">
        <f>IF(B1568="", "", C1568 &amp; "!" &amp; CHAR(65+MATCH(B1568, params!$B$2:$R$2, 0)))</f>
        <v/>
      </c>
      <c r="E1568" s="5" t="str">
        <f ca="1">IF(B1568="", "", COUNTA(INDIRECT(D1568 &amp; 3):INDIRECT(D1568 &amp; 24)))</f>
        <v/>
      </c>
      <c r="F1568" s="5" t="str">
        <f t="shared" si="50"/>
        <v/>
      </c>
      <c r="G1568" s="5" t="str">
        <f>IF(F1568="", "", IF(B1568&lt;&gt;"", MATCH(B1568, params!$B$2:$R$2, 0), G1567))</f>
        <v/>
      </c>
      <c r="H1568" s="5" t="str">
        <f t="shared" ca="1" si="51"/>
        <v/>
      </c>
      <c r="M1568" s="2"/>
    </row>
    <row r="1569" spans="2:13" ht="15.6" x14ac:dyDescent="0.3">
      <c r="B1569" s="5" t="str">
        <f>IF(COUNTIF(data_val!$E$3:$E$5, sample_log!$E1569), sample_log!$C1569 &amp; "_" &amp; sample_log!$D1569, "")</f>
        <v/>
      </c>
      <c r="C1569" s="5" t="str">
        <f>IF(B1569="", IF(F1569="", "", C1568), IF(sample_log!E1569="Triennial SASS", "tri_params", "params"))</f>
        <v/>
      </c>
      <c r="D1569" s="5" t="str">
        <f>IF(B1569="", "", C1569 &amp; "!" &amp; CHAR(65+MATCH(B1569, params!$B$2:$R$2, 0)))</f>
        <v/>
      </c>
      <c r="E1569" s="5" t="str">
        <f ca="1">IF(B1569="", "", COUNTA(INDIRECT(D1569 &amp; 3):INDIRECT(D1569 &amp; 24)))</f>
        <v/>
      </c>
      <c r="F1569" s="5" t="str">
        <f t="shared" si="50"/>
        <v/>
      </c>
      <c r="G1569" s="5" t="str">
        <f>IF(F1569="", "", IF(B1569&lt;&gt;"", MATCH(B1569, params!$B$2:$R$2, 0), G1568))</f>
        <v/>
      </c>
      <c r="H1569" s="5" t="str">
        <f t="shared" ca="1" si="51"/>
        <v/>
      </c>
      <c r="M1569" s="2"/>
    </row>
    <row r="1570" spans="2:13" ht="15.6" x14ac:dyDescent="0.3">
      <c r="B1570" s="5" t="str">
        <f>IF(COUNTIF(data_val!$E$3:$E$5, sample_log!$E1570), sample_log!$C1570 &amp; "_" &amp; sample_log!$D1570, "")</f>
        <v/>
      </c>
      <c r="C1570" s="5" t="str">
        <f>IF(B1570="", IF(F1570="", "", C1569), IF(sample_log!E1570="Triennial SASS", "tri_params", "params"))</f>
        <v/>
      </c>
      <c r="D1570" s="5" t="str">
        <f>IF(B1570="", "", C1570 &amp; "!" &amp; CHAR(65+MATCH(B1570, params!$B$2:$R$2, 0)))</f>
        <v/>
      </c>
      <c r="E1570" s="5" t="str">
        <f ca="1">IF(B1570="", "", COUNTA(INDIRECT(D1570 &amp; 3):INDIRECT(D1570 &amp; 24)))</f>
        <v/>
      </c>
      <c r="F1570" s="5" t="str">
        <f t="shared" si="50"/>
        <v/>
      </c>
      <c r="G1570" s="5" t="str">
        <f>IF(F1570="", "", IF(B1570&lt;&gt;"", MATCH(B1570, params!$B$2:$R$2, 0), G1569))</f>
        <v/>
      </c>
      <c r="H1570" s="5" t="str">
        <f t="shared" ca="1" si="51"/>
        <v/>
      </c>
      <c r="M1570" s="2"/>
    </row>
    <row r="1571" spans="2:13" ht="15.6" x14ac:dyDescent="0.3">
      <c r="B1571" s="5" t="str">
        <f>IF(COUNTIF(data_val!$E$3:$E$5, sample_log!$E1571), sample_log!$C1571 &amp; "_" &amp; sample_log!$D1571, "")</f>
        <v/>
      </c>
      <c r="C1571" s="5" t="str">
        <f>IF(B1571="", IF(F1571="", "", C1570), IF(sample_log!E1571="Triennial SASS", "tri_params", "params"))</f>
        <v/>
      </c>
      <c r="D1571" s="5" t="str">
        <f>IF(B1571="", "", C1571 &amp; "!" &amp; CHAR(65+MATCH(B1571, params!$B$2:$R$2, 0)))</f>
        <v/>
      </c>
      <c r="E1571" s="5" t="str">
        <f ca="1">IF(B1571="", "", COUNTA(INDIRECT(D1571 &amp; 3):INDIRECT(D1571 &amp; 24)))</f>
        <v/>
      </c>
      <c r="F1571" s="5" t="str">
        <f t="shared" si="50"/>
        <v/>
      </c>
      <c r="G1571" s="5" t="str">
        <f>IF(F1571="", "", IF(B1571&lt;&gt;"", MATCH(B1571, params!$B$2:$R$2, 0), G1570))</f>
        <v/>
      </c>
      <c r="H1571" s="5" t="str">
        <f t="shared" ca="1" si="51"/>
        <v/>
      </c>
      <c r="M1571" s="2"/>
    </row>
    <row r="1572" spans="2:13" ht="15.6" x14ac:dyDescent="0.3">
      <c r="B1572" s="5" t="str">
        <f>IF(COUNTIF(data_val!$E$3:$E$5, sample_log!$E1572), sample_log!$C1572 &amp; "_" &amp; sample_log!$D1572, "")</f>
        <v/>
      </c>
      <c r="C1572" s="5" t="str">
        <f>IF(B1572="", IF(F1572="", "", C1571), IF(sample_log!E1572="Triennial SASS", "tri_params", "params"))</f>
        <v/>
      </c>
      <c r="D1572" s="5" t="str">
        <f>IF(B1572="", "", C1572 &amp; "!" &amp; CHAR(65+MATCH(B1572, params!$B$2:$R$2, 0)))</f>
        <v/>
      </c>
      <c r="E1572" s="5" t="str">
        <f ca="1">IF(B1572="", "", COUNTA(INDIRECT(D1572 &amp; 3):INDIRECT(D1572 &amp; 24)))</f>
        <v/>
      </c>
      <c r="F1572" s="5" t="str">
        <f t="shared" si="50"/>
        <v/>
      </c>
      <c r="G1572" s="5" t="str">
        <f>IF(F1572="", "", IF(B1572&lt;&gt;"", MATCH(B1572, params!$B$2:$R$2, 0), G1571))</f>
        <v/>
      </c>
      <c r="H1572" s="5" t="str">
        <f t="shared" ca="1" si="51"/>
        <v/>
      </c>
      <c r="M1572" s="2"/>
    </row>
    <row r="1573" spans="2:13" ht="15.6" x14ac:dyDescent="0.3">
      <c r="B1573" s="5" t="str">
        <f>IF(COUNTIF(data_val!$E$3:$E$5, sample_log!$E1573), sample_log!$C1573 &amp; "_" &amp; sample_log!$D1573, "")</f>
        <v/>
      </c>
      <c r="C1573" s="5" t="str">
        <f>IF(B1573="", IF(F1573="", "", C1572), IF(sample_log!E1573="Triennial SASS", "tri_params", "params"))</f>
        <v/>
      </c>
      <c r="D1573" s="5" t="str">
        <f>IF(B1573="", "", C1573 &amp; "!" &amp; CHAR(65+MATCH(B1573, params!$B$2:$R$2, 0)))</f>
        <v/>
      </c>
      <c r="E1573" s="5" t="str">
        <f ca="1">IF(B1573="", "", COUNTA(INDIRECT(D1573 &amp; 3):INDIRECT(D1573 &amp; 24)))</f>
        <v/>
      </c>
      <c r="F1573" s="5" t="str">
        <f t="shared" si="50"/>
        <v/>
      </c>
      <c r="G1573" s="5" t="str">
        <f>IF(F1573="", "", IF(B1573&lt;&gt;"", MATCH(B1573, params!$B$2:$R$2, 0), G1572))</f>
        <v/>
      </c>
      <c r="H1573" s="5" t="str">
        <f t="shared" ca="1" si="51"/>
        <v/>
      </c>
      <c r="M1573" s="2"/>
    </row>
    <row r="1574" spans="2:13" ht="15.6" x14ac:dyDescent="0.3">
      <c r="B1574" s="5" t="str">
        <f>IF(COUNTIF(data_val!$E$3:$E$5, sample_log!$E1574), sample_log!$C1574 &amp; "_" &amp; sample_log!$D1574, "")</f>
        <v/>
      </c>
      <c r="C1574" s="5" t="str">
        <f>IF(B1574="", IF(F1574="", "", C1573), IF(sample_log!E1574="Triennial SASS", "tri_params", "params"))</f>
        <v/>
      </c>
      <c r="D1574" s="5" t="str">
        <f>IF(B1574="", "", C1574 &amp; "!" &amp; CHAR(65+MATCH(B1574, params!$B$2:$R$2, 0)))</f>
        <v/>
      </c>
      <c r="E1574" s="5" t="str">
        <f ca="1">IF(B1574="", "", COUNTA(INDIRECT(D1574 &amp; 3):INDIRECT(D1574 &amp; 24)))</f>
        <v/>
      </c>
      <c r="F1574" s="5" t="str">
        <f t="shared" si="50"/>
        <v/>
      </c>
      <c r="G1574" s="5" t="str">
        <f>IF(F1574="", "", IF(B1574&lt;&gt;"", MATCH(B1574, params!$B$2:$R$2, 0), G1573))</f>
        <v/>
      </c>
      <c r="H1574" s="5" t="str">
        <f t="shared" ca="1" si="51"/>
        <v/>
      </c>
      <c r="M1574" s="2"/>
    </row>
    <row r="1575" spans="2:13" ht="15.6" x14ac:dyDescent="0.3">
      <c r="B1575" s="5" t="str">
        <f>IF(COUNTIF(data_val!$E$3:$E$5, sample_log!$E1575), sample_log!$C1575 &amp; "_" &amp; sample_log!$D1575, "")</f>
        <v/>
      </c>
      <c r="C1575" s="5" t="str">
        <f>IF(B1575="", IF(F1575="", "", C1574), IF(sample_log!E1575="Triennial SASS", "tri_params", "params"))</f>
        <v/>
      </c>
      <c r="D1575" s="5" t="str">
        <f>IF(B1575="", "", C1575 &amp; "!" &amp; CHAR(65+MATCH(B1575, params!$B$2:$R$2, 0)))</f>
        <v/>
      </c>
      <c r="E1575" s="5" t="str">
        <f ca="1">IF(B1575="", "", COUNTA(INDIRECT(D1575 &amp; 3):INDIRECT(D1575 &amp; 24)))</f>
        <v/>
      </c>
      <c r="F1575" s="5" t="str">
        <f t="shared" si="50"/>
        <v/>
      </c>
      <c r="G1575" s="5" t="str">
        <f>IF(F1575="", "", IF(B1575&lt;&gt;"", MATCH(B1575, params!$B$2:$R$2, 0), G1574))</f>
        <v/>
      </c>
      <c r="H1575" s="5" t="str">
        <f t="shared" ca="1" si="51"/>
        <v/>
      </c>
      <c r="M1575" s="2"/>
    </row>
    <row r="1576" spans="2:13" ht="15.6" x14ac:dyDescent="0.3">
      <c r="B1576" s="5" t="str">
        <f>IF(COUNTIF(data_val!$E$3:$E$5, sample_log!$E1576), sample_log!$C1576 &amp; "_" &amp; sample_log!$D1576, "")</f>
        <v/>
      </c>
      <c r="C1576" s="5" t="str">
        <f>IF(B1576="", IF(F1576="", "", C1575), IF(sample_log!E1576="Triennial SASS", "tri_params", "params"))</f>
        <v/>
      </c>
      <c r="D1576" s="5" t="str">
        <f>IF(B1576="", "", C1576 &amp; "!" &amp; CHAR(65+MATCH(B1576, params!$B$2:$R$2, 0)))</f>
        <v/>
      </c>
      <c r="E1576" s="5" t="str">
        <f ca="1">IF(B1576="", "", COUNTA(INDIRECT(D1576 &amp; 3):INDIRECT(D1576 &amp; 24)))</f>
        <v/>
      </c>
      <c r="F1576" s="5" t="str">
        <f t="shared" si="50"/>
        <v/>
      </c>
      <c r="G1576" s="5" t="str">
        <f>IF(F1576="", "", IF(B1576&lt;&gt;"", MATCH(B1576, params!$B$2:$R$2, 0), G1575))</f>
        <v/>
      </c>
      <c r="H1576" s="5" t="str">
        <f t="shared" ca="1" si="51"/>
        <v/>
      </c>
      <c r="M1576" s="2"/>
    </row>
    <row r="1577" spans="2:13" ht="15.6" x14ac:dyDescent="0.3">
      <c r="B1577" s="5" t="str">
        <f>IF(COUNTIF(data_val!$E$3:$E$5, sample_log!$E1577), sample_log!$C1577 &amp; "_" &amp; sample_log!$D1577, "")</f>
        <v/>
      </c>
      <c r="C1577" s="5" t="str">
        <f>IF(B1577="", IF(F1577="", "", C1576), IF(sample_log!E1577="Triennial SASS", "tri_params", "params"))</f>
        <v/>
      </c>
      <c r="D1577" s="5" t="str">
        <f>IF(B1577="", "", C1577 &amp; "!" &amp; CHAR(65+MATCH(B1577, params!$B$2:$R$2, 0)))</f>
        <v/>
      </c>
      <c r="E1577" s="5" t="str">
        <f ca="1">IF(B1577="", "", COUNTA(INDIRECT(D1577 &amp; 3):INDIRECT(D1577 &amp; 24)))</f>
        <v/>
      </c>
      <c r="F1577" s="5" t="str">
        <f t="shared" si="50"/>
        <v/>
      </c>
      <c r="G1577" s="5" t="str">
        <f>IF(F1577="", "", IF(B1577&lt;&gt;"", MATCH(B1577, params!$B$2:$R$2, 0), G1576))</f>
        <v/>
      </c>
      <c r="H1577" s="5" t="str">
        <f t="shared" ca="1" si="51"/>
        <v/>
      </c>
      <c r="M1577" s="2"/>
    </row>
    <row r="1578" spans="2:13" ht="15.6" x14ac:dyDescent="0.3">
      <c r="B1578" s="5" t="str">
        <f>IF(COUNTIF(data_val!$E$3:$E$5, sample_log!$E1578), sample_log!$C1578 &amp; "_" &amp; sample_log!$D1578, "")</f>
        <v/>
      </c>
      <c r="C1578" s="5" t="str">
        <f>IF(B1578="", IF(F1578="", "", C1577), IF(sample_log!E1578="Triennial SASS", "tri_params", "params"))</f>
        <v/>
      </c>
      <c r="D1578" s="5" t="str">
        <f>IF(B1578="", "", C1578 &amp; "!" &amp; CHAR(65+MATCH(B1578, params!$B$2:$R$2, 0)))</f>
        <v/>
      </c>
      <c r="E1578" s="5" t="str">
        <f ca="1">IF(B1578="", "", COUNTA(INDIRECT(D1578 &amp; 3):INDIRECT(D1578 &amp; 24)))</f>
        <v/>
      </c>
      <c r="F1578" s="5" t="str">
        <f t="shared" si="50"/>
        <v/>
      </c>
      <c r="G1578" s="5" t="str">
        <f>IF(F1578="", "", IF(B1578&lt;&gt;"", MATCH(B1578, params!$B$2:$R$2, 0), G1577))</f>
        <v/>
      </c>
      <c r="H1578" s="5" t="str">
        <f t="shared" ca="1" si="51"/>
        <v/>
      </c>
      <c r="M1578" s="2"/>
    </row>
    <row r="1579" spans="2:13" ht="15.6" x14ac:dyDescent="0.3">
      <c r="B1579" s="5" t="str">
        <f>IF(COUNTIF(data_val!$E$3:$E$5, sample_log!$E1579), sample_log!$C1579 &amp; "_" &amp; sample_log!$D1579, "")</f>
        <v/>
      </c>
      <c r="C1579" s="5" t="str">
        <f>IF(B1579="", IF(F1579="", "", C1578), IF(sample_log!E1579="Triennial SASS", "tri_params", "params"))</f>
        <v/>
      </c>
      <c r="D1579" s="5" t="str">
        <f>IF(B1579="", "", C1579 &amp; "!" &amp; CHAR(65+MATCH(B1579, params!$B$2:$R$2, 0)))</f>
        <v/>
      </c>
      <c r="E1579" s="5" t="str">
        <f ca="1">IF(B1579="", "", COUNTA(INDIRECT(D1579 &amp; 3):INDIRECT(D1579 &amp; 24)))</f>
        <v/>
      </c>
      <c r="F1579" s="5" t="str">
        <f t="shared" si="50"/>
        <v/>
      </c>
      <c r="G1579" s="5" t="str">
        <f>IF(F1579="", "", IF(B1579&lt;&gt;"", MATCH(B1579, params!$B$2:$R$2, 0), G1578))</f>
        <v/>
      </c>
      <c r="H1579" s="5" t="str">
        <f t="shared" ca="1" si="51"/>
        <v/>
      </c>
      <c r="M1579" s="2"/>
    </row>
    <row r="1580" spans="2:13" ht="15.6" x14ac:dyDescent="0.3">
      <c r="B1580" s="5" t="str">
        <f>IF(COUNTIF(data_val!$E$3:$E$5, sample_log!$E1580), sample_log!$C1580 &amp; "_" &amp; sample_log!$D1580, "")</f>
        <v/>
      </c>
      <c r="C1580" s="5" t="str">
        <f>IF(B1580="", IF(F1580="", "", C1579), IF(sample_log!E1580="Triennial SASS", "tri_params", "params"))</f>
        <v/>
      </c>
      <c r="D1580" s="5" t="str">
        <f>IF(B1580="", "", C1580 &amp; "!" &amp; CHAR(65+MATCH(B1580, params!$B$2:$R$2, 0)))</f>
        <v/>
      </c>
      <c r="E1580" s="5" t="str">
        <f ca="1">IF(B1580="", "", COUNTA(INDIRECT(D1580 &amp; 3):INDIRECT(D1580 &amp; 24)))</f>
        <v/>
      </c>
      <c r="F1580" s="5" t="str">
        <f t="shared" si="50"/>
        <v/>
      </c>
      <c r="G1580" s="5" t="str">
        <f>IF(F1580="", "", IF(B1580&lt;&gt;"", MATCH(B1580, params!$B$2:$R$2, 0), G1579))</f>
        <v/>
      </c>
      <c r="H1580" s="5" t="str">
        <f t="shared" ca="1" si="51"/>
        <v/>
      </c>
      <c r="M1580" s="2"/>
    </row>
    <row r="1581" spans="2:13" ht="15.6" x14ac:dyDescent="0.3">
      <c r="B1581" s="5" t="str">
        <f>IF(COUNTIF(data_val!$E$3:$E$5, sample_log!$E1581), sample_log!$C1581 &amp; "_" &amp; sample_log!$D1581, "")</f>
        <v/>
      </c>
      <c r="C1581" s="5" t="str">
        <f>IF(B1581="", IF(F1581="", "", C1580), IF(sample_log!E1581="Triennial SASS", "tri_params", "params"))</f>
        <v/>
      </c>
      <c r="D1581" s="5" t="str">
        <f>IF(B1581="", "", C1581 &amp; "!" &amp; CHAR(65+MATCH(B1581, params!$B$2:$R$2, 0)))</f>
        <v/>
      </c>
      <c r="E1581" s="5" t="str">
        <f ca="1">IF(B1581="", "", COUNTA(INDIRECT(D1581 &amp; 3):INDIRECT(D1581 &amp; 24)))</f>
        <v/>
      </c>
      <c r="F1581" s="5" t="str">
        <f t="shared" si="50"/>
        <v/>
      </c>
      <c r="G1581" s="5" t="str">
        <f>IF(F1581="", "", IF(B1581&lt;&gt;"", MATCH(B1581, params!$B$2:$R$2, 0), G1580))</f>
        <v/>
      </c>
      <c r="H1581" s="5" t="str">
        <f t="shared" ca="1" si="51"/>
        <v/>
      </c>
      <c r="M1581" s="2"/>
    </row>
    <row r="1582" spans="2:13" ht="15.6" x14ac:dyDescent="0.3">
      <c r="B1582" s="5" t="str">
        <f>IF(COUNTIF(data_val!$E$3:$E$5, sample_log!$E1582), sample_log!$C1582 &amp; "_" &amp; sample_log!$D1582, "")</f>
        <v/>
      </c>
      <c r="C1582" s="5" t="str">
        <f>IF(B1582="", IF(F1582="", "", C1581), IF(sample_log!E1582="Triennial SASS", "tri_params", "params"))</f>
        <v/>
      </c>
      <c r="D1582" s="5" t="str">
        <f>IF(B1582="", "", C1582 &amp; "!" &amp; CHAR(65+MATCH(B1582, params!$B$2:$R$2, 0)))</f>
        <v/>
      </c>
      <c r="E1582" s="5" t="str">
        <f ca="1">IF(B1582="", "", COUNTA(INDIRECT(D1582 &amp; 3):INDIRECT(D1582 &amp; 24)))</f>
        <v/>
      </c>
      <c r="F1582" s="5" t="str">
        <f t="shared" si="50"/>
        <v/>
      </c>
      <c r="G1582" s="5" t="str">
        <f>IF(F1582="", "", IF(B1582&lt;&gt;"", MATCH(B1582, params!$B$2:$R$2, 0), G1581))</f>
        <v/>
      </c>
      <c r="H1582" s="5" t="str">
        <f t="shared" ca="1" si="51"/>
        <v/>
      </c>
      <c r="M1582" s="2"/>
    </row>
    <row r="1583" spans="2:13" ht="15.6" x14ac:dyDescent="0.3">
      <c r="B1583" s="5" t="str">
        <f>IF(COUNTIF(data_val!$E$3:$E$5, sample_log!$E1583), sample_log!$C1583 &amp; "_" &amp; sample_log!$D1583, "")</f>
        <v/>
      </c>
      <c r="C1583" s="5" t="str">
        <f>IF(B1583="", IF(F1583="", "", C1582), IF(sample_log!E1583="Triennial SASS", "tri_params", "params"))</f>
        <v/>
      </c>
      <c r="D1583" s="5" t="str">
        <f>IF(B1583="", "", C1583 &amp; "!" &amp; CHAR(65+MATCH(B1583, params!$B$2:$R$2, 0)))</f>
        <v/>
      </c>
      <c r="E1583" s="5" t="str">
        <f ca="1">IF(B1583="", "", COUNTA(INDIRECT(D1583 &amp; 3):INDIRECT(D1583 &amp; 24)))</f>
        <v/>
      </c>
      <c r="F1583" s="5" t="str">
        <f t="shared" si="50"/>
        <v/>
      </c>
      <c r="G1583" s="5" t="str">
        <f>IF(F1583="", "", IF(B1583&lt;&gt;"", MATCH(B1583, params!$B$2:$R$2, 0), G1582))</f>
        <v/>
      </c>
      <c r="H1583" s="5" t="str">
        <f t="shared" ca="1" si="51"/>
        <v/>
      </c>
      <c r="M1583" s="2"/>
    </row>
    <row r="1584" spans="2:13" ht="15.6" x14ac:dyDescent="0.3">
      <c r="B1584" s="5" t="str">
        <f>IF(COUNTIF(data_val!$E$3:$E$5, sample_log!$E1584), sample_log!$C1584 &amp; "_" &amp; sample_log!$D1584, "")</f>
        <v/>
      </c>
      <c r="C1584" s="5" t="str">
        <f>IF(B1584="", IF(F1584="", "", C1583), IF(sample_log!E1584="Triennial SASS", "tri_params", "params"))</f>
        <v/>
      </c>
      <c r="D1584" s="5" t="str">
        <f>IF(B1584="", "", C1584 &amp; "!" &amp; CHAR(65+MATCH(B1584, params!$B$2:$R$2, 0)))</f>
        <v/>
      </c>
      <c r="E1584" s="5" t="str">
        <f ca="1">IF(B1584="", "", COUNTA(INDIRECT(D1584 &amp; 3):INDIRECT(D1584 &amp; 24)))</f>
        <v/>
      </c>
      <c r="F1584" s="5" t="str">
        <f t="shared" si="50"/>
        <v/>
      </c>
      <c r="G1584" s="5" t="str">
        <f>IF(F1584="", "", IF(B1584&lt;&gt;"", MATCH(B1584, params!$B$2:$R$2, 0), G1583))</f>
        <v/>
      </c>
      <c r="H1584" s="5" t="str">
        <f t="shared" ca="1" si="51"/>
        <v/>
      </c>
      <c r="M1584" s="2"/>
    </row>
    <row r="1585" spans="2:13" ht="15.6" x14ac:dyDescent="0.3">
      <c r="B1585" s="5" t="str">
        <f>IF(COUNTIF(data_val!$E$3:$E$5, sample_log!$E1585), sample_log!$C1585 &amp; "_" &amp; sample_log!$D1585, "")</f>
        <v/>
      </c>
      <c r="C1585" s="5" t="str">
        <f>IF(B1585="", IF(F1585="", "", C1584), IF(sample_log!E1585="Triennial SASS", "tri_params", "params"))</f>
        <v/>
      </c>
      <c r="D1585" s="5" t="str">
        <f>IF(B1585="", "", C1585 &amp; "!" &amp; CHAR(65+MATCH(B1585, params!$B$2:$R$2, 0)))</f>
        <v/>
      </c>
      <c r="E1585" s="5" t="str">
        <f ca="1">IF(B1585="", "", COUNTA(INDIRECT(D1585 &amp; 3):INDIRECT(D1585 &amp; 24)))</f>
        <v/>
      </c>
      <c r="F1585" s="5" t="str">
        <f t="shared" si="50"/>
        <v/>
      </c>
      <c r="G1585" s="5" t="str">
        <f>IF(F1585="", "", IF(B1585&lt;&gt;"", MATCH(B1585, params!$B$2:$R$2, 0), G1584))</f>
        <v/>
      </c>
      <c r="H1585" s="5" t="str">
        <f t="shared" ca="1" si="51"/>
        <v/>
      </c>
      <c r="M1585" s="2"/>
    </row>
    <row r="1586" spans="2:13" ht="15.6" x14ac:dyDescent="0.3">
      <c r="B1586" s="5" t="str">
        <f>IF(COUNTIF(data_val!$E$3:$E$5, sample_log!$E1586), sample_log!$C1586 &amp; "_" &amp; sample_log!$D1586, "")</f>
        <v/>
      </c>
      <c r="C1586" s="5" t="str">
        <f>IF(B1586="", IF(F1586="", "", C1585), IF(sample_log!E1586="Triennial SASS", "tri_params", "params"))</f>
        <v/>
      </c>
      <c r="D1586" s="5" t="str">
        <f>IF(B1586="", "", C1586 &amp; "!" &amp; CHAR(65+MATCH(B1586, params!$B$2:$R$2, 0)))</f>
        <v/>
      </c>
      <c r="E1586" s="5" t="str">
        <f ca="1">IF(B1586="", "", COUNTA(INDIRECT(D1586 &amp; 3):INDIRECT(D1586 &amp; 24)))</f>
        <v/>
      </c>
      <c r="F1586" s="5" t="str">
        <f t="shared" si="50"/>
        <v/>
      </c>
      <c r="G1586" s="5" t="str">
        <f>IF(F1586="", "", IF(B1586&lt;&gt;"", MATCH(B1586, params!$B$2:$R$2, 0), G1585))</f>
        <v/>
      </c>
      <c r="H1586" s="5" t="str">
        <f t="shared" ca="1" si="51"/>
        <v/>
      </c>
      <c r="M1586" s="2"/>
    </row>
    <row r="1587" spans="2:13" ht="15.6" x14ac:dyDescent="0.3">
      <c r="B1587" s="5" t="str">
        <f>IF(COUNTIF(data_val!$E$3:$E$5, sample_log!$E1587), sample_log!$C1587 &amp; "_" &amp; sample_log!$D1587, "")</f>
        <v/>
      </c>
      <c r="C1587" s="5" t="str">
        <f>IF(B1587="", IF(F1587="", "", C1586), IF(sample_log!E1587="Triennial SASS", "tri_params", "params"))</f>
        <v/>
      </c>
      <c r="D1587" s="5" t="str">
        <f>IF(B1587="", "", C1587 &amp; "!" &amp; CHAR(65+MATCH(B1587, params!$B$2:$R$2, 0)))</f>
        <v/>
      </c>
      <c r="E1587" s="5" t="str">
        <f ca="1">IF(B1587="", "", COUNTA(INDIRECT(D1587 &amp; 3):INDIRECT(D1587 &amp; 24)))</f>
        <v/>
      </c>
      <c r="F1587" s="5" t="str">
        <f t="shared" si="50"/>
        <v/>
      </c>
      <c r="G1587" s="5" t="str">
        <f>IF(F1587="", "", IF(B1587&lt;&gt;"", MATCH(B1587, params!$B$2:$R$2, 0), G1586))</f>
        <v/>
      </c>
      <c r="H1587" s="5" t="str">
        <f t="shared" ca="1" si="51"/>
        <v/>
      </c>
      <c r="M1587" s="2"/>
    </row>
    <row r="1588" spans="2:13" ht="15.6" x14ac:dyDescent="0.3">
      <c r="B1588" s="5" t="str">
        <f>IF(COUNTIF(data_val!$E$3:$E$5, sample_log!$E1588), sample_log!$C1588 &amp; "_" &amp; sample_log!$D1588, "")</f>
        <v/>
      </c>
      <c r="C1588" s="5" t="str">
        <f>IF(B1588="", IF(F1588="", "", C1587), IF(sample_log!E1588="Triennial SASS", "tri_params", "params"))</f>
        <v/>
      </c>
      <c r="D1588" s="5" t="str">
        <f>IF(B1588="", "", C1588 &amp; "!" &amp; CHAR(65+MATCH(B1588, params!$B$2:$R$2, 0)))</f>
        <v/>
      </c>
      <c r="E1588" s="5" t="str">
        <f ca="1">IF(B1588="", "", COUNTA(INDIRECT(D1588 &amp; 3):INDIRECT(D1588 &amp; 24)))</f>
        <v/>
      </c>
      <c r="F1588" s="5" t="str">
        <f t="shared" si="50"/>
        <v/>
      </c>
      <c r="G1588" s="5" t="str">
        <f>IF(F1588="", "", IF(B1588&lt;&gt;"", MATCH(B1588, params!$B$2:$R$2, 0), G1587))</f>
        <v/>
      </c>
      <c r="H1588" s="5" t="str">
        <f t="shared" ca="1" si="51"/>
        <v/>
      </c>
      <c r="M1588" s="2"/>
    </row>
    <row r="1589" spans="2:13" ht="15.6" x14ac:dyDescent="0.3">
      <c r="B1589" s="5" t="str">
        <f>IF(COUNTIF(data_val!$E$3:$E$5, sample_log!$E1589), sample_log!$C1589 &amp; "_" &amp; sample_log!$D1589, "")</f>
        <v/>
      </c>
      <c r="C1589" s="5" t="str">
        <f>IF(B1589="", IF(F1589="", "", C1588), IF(sample_log!E1589="Triennial SASS", "tri_params", "params"))</f>
        <v/>
      </c>
      <c r="D1589" s="5" t="str">
        <f>IF(B1589="", "", C1589 &amp; "!" &amp; CHAR(65+MATCH(B1589, params!$B$2:$R$2, 0)))</f>
        <v/>
      </c>
      <c r="E1589" s="5" t="str">
        <f ca="1">IF(B1589="", "", COUNTA(INDIRECT(D1589 &amp; 3):INDIRECT(D1589 &amp; 24)))</f>
        <v/>
      </c>
      <c r="F1589" s="5" t="str">
        <f t="shared" si="50"/>
        <v/>
      </c>
      <c r="G1589" s="5" t="str">
        <f>IF(F1589="", "", IF(B1589&lt;&gt;"", MATCH(B1589, params!$B$2:$R$2, 0), G1588))</f>
        <v/>
      </c>
      <c r="H1589" s="5" t="str">
        <f t="shared" ca="1" si="51"/>
        <v/>
      </c>
      <c r="M1589" s="2"/>
    </row>
    <row r="1590" spans="2:13" ht="15.6" x14ac:dyDescent="0.3">
      <c r="B1590" s="5" t="str">
        <f>IF(COUNTIF(data_val!$E$3:$E$5, sample_log!$E1590), sample_log!$C1590 &amp; "_" &amp; sample_log!$D1590, "")</f>
        <v/>
      </c>
      <c r="C1590" s="5" t="str">
        <f>IF(B1590="", IF(F1590="", "", C1589), IF(sample_log!E1590="Triennial SASS", "tri_params", "params"))</f>
        <v/>
      </c>
      <c r="D1590" s="5" t="str">
        <f>IF(B1590="", "", C1590 &amp; "!" &amp; CHAR(65+MATCH(B1590, params!$B$2:$R$2, 0)))</f>
        <v/>
      </c>
      <c r="E1590" s="5" t="str">
        <f ca="1">IF(B1590="", "", COUNTA(INDIRECT(D1590 &amp; 3):INDIRECT(D1590 &amp; 24)))</f>
        <v/>
      </c>
      <c r="F1590" s="5" t="str">
        <f t="shared" si="50"/>
        <v/>
      </c>
      <c r="G1590" s="5" t="str">
        <f>IF(F1590="", "", IF(B1590&lt;&gt;"", MATCH(B1590, params!$B$2:$R$2, 0), G1589))</f>
        <v/>
      </c>
      <c r="H1590" s="5" t="str">
        <f t="shared" ca="1" si="51"/>
        <v/>
      </c>
      <c r="M1590" s="2"/>
    </row>
    <row r="1591" spans="2:13" ht="15.6" x14ac:dyDescent="0.3">
      <c r="B1591" s="5" t="str">
        <f>IF(COUNTIF(data_val!$E$3:$E$5, sample_log!$E1591), sample_log!$C1591 &amp; "_" &amp; sample_log!$D1591, "")</f>
        <v/>
      </c>
      <c r="C1591" s="5" t="str">
        <f>IF(B1591="", IF(F1591="", "", C1590), IF(sample_log!E1591="Triennial SASS", "tri_params", "params"))</f>
        <v/>
      </c>
      <c r="D1591" s="5" t="str">
        <f>IF(B1591="", "", C1591 &amp; "!" &amp; CHAR(65+MATCH(B1591, params!$B$2:$R$2, 0)))</f>
        <v/>
      </c>
      <c r="E1591" s="5" t="str">
        <f ca="1">IF(B1591="", "", COUNTA(INDIRECT(D1591 &amp; 3):INDIRECT(D1591 &amp; 24)))</f>
        <v/>
      </c>
      <c r="F1591" s="5" t="str">
        <f t="shared" si="50"/>
        <v/>
      </c>
      <c r="G1591" s="5" t="str">
        <f>IF(F1591="", "", IF(B1591&lt;&gt;"", MATCH(B1591, params!$B$2:$R$2, 0), G1590))</f>
        <v/>
      </c>
      <c r="H1591" s="5" t="str">
        <f t="shared" ca="1" si="51"/>
        <v/>
      </c>
      <c r="M1591" s="2"/>
    </row>
    <row r="1592" spans="2:13" ht="15.6" x14ac:dyDescent="0.3">
      <c r="B1592" s="5" t="str">
        <f>IF(COUNTIF(data_val!$E$3:$E$5, sample_log!$E1592), sample_log!$C1592 &amp; "_" &amp; sample_log!$D1592, "")</f>
        <v/>
      </c>
      <c r="C1592" s="5" t="str">
        <f>IF(B1592="", IF(F1592="", "", C1591), IF(sample_log!E1592="Triennial SASS", "tri_params", "params"))</f>
        <v/>
      </c>
      <c r="D1592" s="5" t="str">
        <f>IF(B1592="", "", C1592 &amp; "!" &amp; CHAR(65+MATCH(B1592, params!$B$2:$R$2, 0)))</f>
        <v/>
      </c>
      <c r="E1592" s="5" t="str">
        <f ca="1">IF(B1592="", "", COUNTA(INDIRECT(D1592 &amp; 3):INDIRECT(D1592 &amp; 24)))</f>
        <v/>
      </c>
      <c r="F1592" s="5" t="str">
        <f t="shared" si="50"/>
        <v/>
      </c>
      <c r="G1592" s="5" t="str">
        <f>IF(F1592="", "", IF(B1592&lt;&gt;"", MATCH(B1592, params!$B$2:$R$2, 0), G1591))</f>
        <v/>
      </c>
      <c r="H1592" s="5" t="str">
        <f t="shared" ca="1" si="51"/>
        <v/>
      </c>
      <c r="M1592" s="2"/>
    </row>
    <row r="1593" spans="2:13" ht="15.6" x14ac:dyDescent="0.3">
      <c r="B1593" s="5" t="str">
        <f>IF(COUNTIF(data_val!$E$3:$E$5, sample_log!$E1593), sample_log!$C1593 &amp; "_" &amp; sample_log!$D1593, "")</f>
        <v/>
      </c>
      <c r="C1593" s="5" t="str">
        <f>IF(B1593="", IF(F1593="", "", C1592), IF(sample_log!E1593="Triennial SASS", "tri_params", "params"))</f>
        <v/>
      </c>
      <c r="D1593" s="5" t="str">
        <f>IF(B1593="", "", C1593 &amp; "!" &amp; CHAR(65+MATCH(B1593, params!$B$2:$R$2, 0)))</f>
        <v/>
      </c>
      <c r="E1593" s="5" t="str">
        <f ca="1">IF(B1593="", "", COUNTA(INDIRECT(D1593 &amp; 3):INDIRECT(D1593 &amp; 24)))</f>
        <v/>
      </c>
      <c r="F1593" s="5" t="str">
        <f t="shared" si="50"/>
        <v/>
      </c>
      <c r="G1593" s="5" t="str">
        <f>IF(F1593="", "", IF(B1593&lt;&gt;"", MATCH(B1593, params!$B$2:$R$2, 0), G1592))</f>
        <v/>
      </c>
      <c r="H1593" s="5" t="str">
        <f t="shared" ca="1" si="51"/>
        <v/>
      </c>
      <c r="M1593" s="2"/>
    </row>
    <row r="1594" spans="2:13" ht="15.6" x14ac:dyDescent="0.3">
      <c r="B1594" s="5" t="str">
        <f>IF(COUNTIF(data_val!$E$3:$E$5, sample_log!$E1594), sample_log!$C1594 &amp; "_" &amp; sample_log!$D1594, "")</f>
        <v/>
      </c>
      <c r="C1594" s="5" t="str">
        <f>IF(B1594="", IF(F1594="", "", C1593), IF(sample_log!E1594="Triennial SASS", "tri_params", "params"))</f>
        <v/>
      </c>
      <c r="D1594" s="5" t="str">
        <f>IF(B1594="", "", C1594 &amp; "!" &amp; CHAR(65+MATCH(B1594, params!$B$2:$R$2, 0)))</f>
        <v/>
      </c>
      <c r="E1594" s="5" t="str">
        <f ca="1">IF(B1594="", "", COUNTA(INDIRECT(D1594 &amp; 3):INDIRECT(D1594 &amp; 24)))</f>
        <v/>
      </c>
      <c r="F1594" s="5" t="str">
        <f t="shared" si="50"/>
        <v/>
      </c>
      <c r="G1594" s="5" t="str">
        <f>IF(F1594="", "", IF(B1594&lt;&gt;"", MATCH(B1594, params!$B$2:$R$2, 0), G1593))</f>
        <v/>
      </c>
      <c r="H1594" s="5" t="str">
        <f t="shared" ca="1" si="51"/>
        <v/>
      </c>
      <c r="M1594" s="2"/>
    </row>
    <row r="1595" spans="2:13" ht="15.6" x14ac:dyDescent="0.3">
      <c r="B1595" s="5" t="str">
        <f>IF(COUNTIF(data_val!$E$3:$E$5, sample_log!$E1595), sample_log!$C1595 &amp; "_" &amp; sample_log!$D1595, "")</f>
        <v/>
      </c>
      <c r="C1595" s="5" t="str">
        <f>IF(B1595="", IF(F1595="", "", C1594), IF(sample_log!E1595="Triennial SASS", "tri_params", "params"))</f>
        <v/>
      </c>
      <c r="D1595" s="5" t="str">
        <f>IF(B1595="", "", C1595 &amp; "!" &amp; CHAR(65+MATCH(B1595, params!$B$2:$R$2, 0)))</f>
        <v/>
      </c>
      <c r="E1595" s="5" t="str">
        <f ca="1">IF(B1595="", "", COUNTA(INDIRECT(D1595 &amp; 3):INDIRECT(D1595 &amp; 24)))</f>
        <v/>
      </c>
      <c r="F1595" s="5" t="str">
        <f t="shared" si="50"/>
        <v/>
      </c>
      <c r="G1595" s="5" t="str">
        <f>IF(F1595="", "", IF(B1595&lt;&gt;"", MATCH(B1595, params!$B$2:$R$2, 0), G1594))</f>
        <v/>
      </c>
      <c r="H1595" s="5" t="str">
        <f t="shared" ca="1" si="51"/>
        <v/>
      </c>
      <c r="M1595" s="2"/>
    </row>
    <row r="1596" spans="2:13" ht="15.6" x14ac:dyDescent="0.3">
      <c r="B1596" s="5" t="str">
        <f>IF(COUNTIF(data_val!$E$3:$E$5, sample_log!$E1596), sample_log!$C1596 &amp; "_" &amp; sample_log!$D1596, "")</f>
        <v/>
      </c>
      <c r="C1596" s="5" t="str">
        <f>IF(B1596="", IF(F1596="", "", C1595), IF(sample_log!E1596="Triennial SASS", "tri_params", "params"))</f>
        <v/>
      </c>
      <c r="D1596" s="5" t="str">
        <f>IF(B1596="", "", C1596 &amp; "!" &amp; CHAR(65+MATCH(B1596, params!$B$2:$R$2, 0)))</f>
        <v/>
      </c>
      <c r="E1596" s="5" t="str">
        <f ca="1">IF(B1596="", "", COUNTA(INDIRECT(D1596 &amp; 3):INDIRECT(D1596 &amp; 24)))</f>
        <v/>
      </c>
      <c r="F1596" s="5" t="str">
        <f t="shared" si="50"/>
        <v/>
      </c>
      <c r="G1596" s="5" t="str">
        <f>IF(F1596="", "", IF(B1596&lt;&gt;"", MATCH(B1596, params!$B$2:$R$2, 0), G1595))</f>
        <v/>
      </c>
      <c r="H1596" s="5" t="str">
        <f t="shared" ca="1" si="51"/>
        <v/>
      </c>
      <c r="M1596" s="2"/>
    </row>
    <row r="1597" spans="2:13" ht="15.6" x14ac:dyDescent="0.3">
      <c r="B1597" s="5" t="str">
        <f>IF(COUNTIF(data_val!$E$3:$E$5, sample_log!$E1597), sample_log!$C1597 &amp; "_" &amp; sample_log!$D1597, "")</f>
        <v/>
      </c>
      <c r="C1597" s="5" t="str">
        <f>IF(B1597="", IF(F1597="", "", C1596), IF(sample_log!E1597="Triennial SASS", "tri_params", "params"))</f>
        <v/>
      </c>
      <c r="D1597" s="5" t="str">
        <f>IF(B1597="", "", C1597 &amp; "!" &amp; CHAR(65+MATCH(B1597, params!$B$2:$R$2, 0)))</f>
        <v/>
      </c>
      <c r="E1597" s="5" t="str">
        <f ca="1">IF(B1597="", "", COUNTA(INDIRECT(D1597 &amp; 3):INDIRECT(D1597 &amp; 24)))</f>
        <v/>
      </c>
      <c r="F1597" s="5" t="str">
        <f t="shared" si="50"/>
        <v/>
      </c>
      <c r="G1597" s="5" t="str">
        <f>IF(F1597="", "", IF(B1597&lt;&gt;"", MATCH(B1597, params!$B$2:$R$2, 0), G1596))</f>
        <v/>
      </c>
      <c r="H1597" s="5" t="str">
        <f t="shared" ca="1" si="51"/>
        <v/>
      </c>
      <c r="M1597" s="2"/>
    </row>
    <row r="1598" spans="2:13" ht="15.6" x14ac:dyDescent="0.3">
      <c r="B1598" s="5" t="str">
        <f>IF(COUNTIF(data_val!$E$3:$E$5, sample_log!$E1598), sample_log!$C1598 &amp; "_" &amp; sample_log!$D1598, "")</f>
        <v/>
      </c>
      <c r="C1598" s="5" t="str">
        <f>IF(B1598="", IF(F1598="", "", C1597), IF(sample_log!E1598="Triennial SASS", "tri_params", "params"))</f>
        <v/>
      </c>
      <c r="D1598" s="5" t="str">
        <f>IF(B1598="", "", C1598 &amp; "!" &amp; CHAR(65+MATCH(B1598, params!$B$2:$R$2, 0)))</f>
        <v/>
      </c>
      <c r="E1598" s="5" t="str">
        <f ca="1">IF(B1598="", "", COUNTA(INDIRECT(D1598 &amp; 3):INDIRECT(D1598 &amp; 24)))</f>
        <v/>
      </c>
      <c r="F1598" s="5" t="str">
        <f t="shared" si="50"/>
        <v/>
      </c>
      <c r="G1598" s="5" t="str">
        <f>IF(F1598="", "", IF(B1598&lt;&gt;"", MATCH(B1598, params!$B$2:$R$2, 0), G1597))</f>
        <v/>
      </c>
      <c r="H1598" s="5" t="str">
        <f t="shared" ca="1" si="51"/>
        <v/>
      </c>
      <c r="M1598" s="2"/>
    </row>
    <row r="1599" spans="2:13" ht="15.6" x14ac:dyDescent="0.3">
      <c r="B1599" s="5" t="str">
        <f>IF(COUNTIF(data_val!$E$3:$E$5, sample_log!$E1599), sample_log!$C1599 &amp; "_" &amp; sample_log!$D1599, "")</f>
        <v/>
      </c>
      <c r="C1599" s="5" t="str">
        <f>IF(B1599="", IF(F1599="", "", C1598), IF(sample_log!E1599="Triennial SASS", "tri_params", "params"))</f>
        <v/>
      </c>
      <c r="D1599" s="5" t="str">
        <f>IF(B1599="", "", C1599 &amp; "!" &amp; CHAR(65+MATCH(B1599, params!$B$2:$R$2, 0)))</f>
        <v/>
      </c>
      <c r="E1599" s="5" t="str">
        <f ca="1">IF(B1599="", "", COUNTA(INDIRECT(D1599 &amp; 3):INDIRECT(D1599 &amp; 24)))</f>
        <v/>
      </c>
      <c r="F1599" s="5" t="str">
        <f t="shared" si="50"/>
        <v/>
      </c>
      <c r="G1599" s="5" t="str">
        <f>IF(F1599="", "", IF(B1599&lt;&gt;"", MATCH(B1599, params!$B$2:$R$2, 0), G1598))</f>
        <v/>
      </c>
      <c r="H1599" s="5" t="str">
        <f t="shared" ca="1" si="51"/>
        <v/>
      </c>
      <c r="M1599" s="2"/>
    </row>
    <row r="1600" spans="2:13" ht="15.6" x14ac:dyDescent="0.3">
      <c r="B1600" s="5" t="str">
        <f>IF(COUNTIF(data_val!$E$3:$E$5, sample_log!$E1600), sample_log!$C1600 &amp; "_" &amp; sample_log!$D1600, "")</f>
        <v/>
      </c>
      <c r="C1600" s="5" t="str">
        <f>IF(B1600="", IF(F1600="", "", C1599), IF(sample_log!E1600="Triennial SASS", "tri_params", "params"))</f>
        <v/>
      </c>
      <c r="D1600" s="5" t="str">
        <f>IF(B1600="", "", C1600 &amp; "!" &amp; CHAR(65+MATCH(B1600, params!$B$2:$R$2, 0)))</f>
        <v/>
      </c>
      <c r="E1600" s="5" t="str">
        <f ca="1">IF(B1600="", "", COUNTA(INDIRECT(D1600 &amp; 3):INDIRECT(D1600 &amp; 24)))</f>
        <v/>
      </c>
      <c r="F1600" s="5" t="str">
        <f t="shared" si="50"/>
        <v/>
      </c>
      <c r="G1600" s="5" t="str">
        <f>IF(F1600="", "", IF(B1600&lt;&gt;"", MATCH(B1600, params!$B$2:$R$2, 0), G1599))</f>
        <v/>
      </c>
      <c r="H1600" s="5" t="str">
        <f t="shared" ca="1" si="51"/>
        <v/>
      </c>
      <c r="M1600" s="2"/>
    </row>
    <row r="1601" spans="2:13" ht="15.6" x14ac:dyDescent="0.3">
      <c r="B1601" s="5" t="str">
        <f>IF(COUNTIF(data_val!$E$3:$E$5, sample_log!$E1601), sample_log!$C1601 &amp; "_" &amp; sample_log!$D1601, "")</f>
        <v/>
      </c>
      <c r="C1601" s="5" t="str">
        <f>IF(B1601="", IF(F1601="", "", C1600), IF(sample_log!E1601="Triennial SASS", "tri_params", "params"))</f>
        <v/>
      </c>
      <c r="D1601" s="5" t="str">
        <f>IF(B1601="", "", C1601 &amp; "!" &amp; CHAR(65+MATCH(B1601, params!$B$2:$R$2, 0)))</f>
        <v/>
      </c>
      <c r="E1601" s="5" t="str">
        <f ca="1">IF(B1601="", "", COUNTA(INDIRECT(D1601 &amp; 3):INDIRECT(D1601 &amp; 24)))</f>
        <v/>
      </c>
      <c r="F1601" s="5" t="str">
        <f t="shared" si="50"/>
        <v/>
      </c>
      <c r="G1601" s="5" t="str">
        <f>IF(F1601="", "", IF(B1601&lt;&gt;"", MATCH(B1601, params!$B$2:$R$2, 0), G1600))</f>
        <v/>
      </c>
      <c r="H1601" s="5" t="str">
        <f t="shared" ca="1" si="51"/>
        <v/>
      </c>
      <c r="M1601" s="2"/>
    </row>
    <row r="1602" spans="2:13" ht="15.6" x14ac:dyDescent="0.3">
      <c r="B1602" s="5" t="str">
        <f>IF(COUNTIF(data_val!$E$3:$E$5, sample_log!$E1602), sample_log!$C1602 &amp; "_" &amp; sample_log!$D1602, "")</f>
        <v/>
      </c>
      <c r="C1602" s="5" t="str">
        <f>IF(B1602="", IF(F1602="", "", C1601), IF(sample_log!E1602="Triennial SASS", "tri_params", "params"))</f>
        <v/>
      </c>
      <c r="D1602" s="5" t="str">
        <f>IF(B1602="", "", C1602 &amp; "!" &amp; CHAR(65+MATCH(B1602, params!$B$2:$R$2, 0)))</f>
        <v/>
      </c>
      <c r="E1602" s="5" t="str">
        <f ca="1">IF(B1602="", "", COUNTA(INDIRECT(D1602 &amp; 3):INDIRECT(D1602 &amp; 24)))</f>
        <v/>
      </c>
      <c r="F1602" s="5" t="str">
        <f t="shared" si="50"/>
        <v/>
      </c>
      <c r="G1602" s="5" t="str">
        <f>IF(F1602="", "", IF(B1602&lt;&gt;"", MATCH(B1602, params!$B$2:$R$2, 0), G1601))</f>
        <v/>
      </c>
      <c r="H1602" s="5" t="str">
        <f t="shared" ca="1" si="51"/>
        <v/>
      </c>
      <c r="M1602" s="2"/>
    </row>
    <row r="1603" spans="2:13" ht="15.6" x14ac:dyDescent="0.3">
      <c r="B1603" s="5" t="str">
        <f>IF(COUNTIF(data_val!$E$3:$E$5, sample_log!$E1603), sample_log!$C1603 &amp; "_" &amp; sample_log!$D1603, "")</f>
        <v/>
      </c>
      <c r="C1603" s="5" t="str">
        <f>IF(B1603="", IF(F1603="", "", C1602), IF(sample_log!E1603="Triennial SASS", "tri_params", "params"))</f>
        <v/>
      </c>
      <c r="D1603" s="5" t="str">
        <f>IF(B1603="", "", C1603 &amp; "!" &amp; CHAR(65+MATCH(B1603, params!$B$2:$R$2, 0)))</f>
        <v/>
      </c>
      <c r="E1603" s="5" t="str">
        <f ca="1">IF(B1603="", "", COUNTA(INDIRECT(D1603 &amp; 3):INDIRECT(D1603 &amp; 24)))</f>
        <v/>
      </c>
      <c r="F1603" s="5" t="str">
        <f t="shared" ref="F1603:F1666" si="52">IF(B1603="", IF(NOT(ISNUMBER(F1602)), "", IF(F1602-1&gt;0, F1602-1, "")), E1603)</f>
        <v/>
      </c>
      <c r="G1603" s="5" t="str">
        <f>IF(F1603="", "", IF(B1603&lt;&gt;"", MATCH(B1603, params!$B$2:$R$2, 0), G1602))</f>
        <v/>
      </c>
      <c r="H1603" s="5" t="str">
        <f t="shared" ca="1" si="51"/>
        <v/>
      </c>
      <c r="M1603" s="2"/>
    </row>
    <row r="1604" spans="2:13" ht="15.6" x14ac:dyDescent="0.3">
      <c r="B1604" s="5" t="str">
        <f>IF(COUNTIF(data_val!$E$3:$E$5, sample_log!$E1604), sample_log!$C1604 &amp; "_" &amp; sample_log!$D1604, "")</f>
        <v/>
      </c>
      <c r="C1604" s="5" t="str">
        <f>IF(B1604="", IF(F1604="", "", C1603), IF(sample_log!E1604="Triennial SASS", "tri_params", "params"))</f>
        <v/>
      </c>
      <c r="D1604" s="5" t="str">
        <f>IF(B1604="", "", C1604 &amp; "!" &amp; CHAR(65+MATCH(B1604, params!$B$2:$R$2, 0)))</f>
        <v/>
      </c>
      <c r="E1604" s="5" t="str">
        <f ca="1">IF(B1604="", "", COUNTA(INDIRECT(D1604 &amp; 3):INDIRECT(D1604 &amp; 24)))</f>
        <v/>
      </c>
      <c r="F1604" s="5" t="str">
        <f t="shared" si="52"/>
        <v/>
      </c>
      <c r="G1604" s="5" t="str">
        <f>IF(F1604="", "", IF(B1604&lt;&gt;"", MATCH(B1604, params!$B$2:$R$2, 0), G1603))</f>
        <v/>
      </c>
      <c r="H1604" s="5" t="str">
        <f t="shared" ca="1" si="51"/>
        <v/>
      </c>
      <c r="M1604" s="2"/>
    </row>
    <row r="1605" spans="2:13" ht="15.6" x14ac:dyDescent="0.3">
      <c r="B1605" s="5" t="str">
        <f>IF(COUNTIF(data_val!$E$3:$E$5, sample_log!$E1605), sample_log!$C1605 &amp; "_" &amp; sample_log!$D1605, "")</f>
        <v/>
      </c>
      <c r="C1605" s="5" t="str">
        <f>IF(B1605="", IF(F1605="", "", C1604), IF(sample_log!E1605="Triennial SASS", "tri_params", "params"))</f>
        <v/>
      </c>
      <c r="D1605" s="5" t="str">
        <f>IF(B1605="", "", C1605 &amp; "!" &amp; CHAR(65+MATCH(B1605, params!$B$2:$R$2, 0)))</f>
        <v/>
      </c>
      <c r="E1605" s="5" t="str">
        <f ca="1">IF(B1605="", "", COUNTA(INDIRECT(D1605 &amp; 3):INDIRECT(D1605 &amp; 24)))</f>
        <v/>
      </c>
      <c r="F1605" s="5" t="str">
        <f t="shared" si="52"/>
        <v/>
      </c>
      <c r="G1605" s="5" t="str">
        <f>IF(F1605="", "", IF(B1605&lt;&gt;"", MATCH(B1605, params!$B$2:$R$2, 0), G1604))</f>
        <v/>
      </c>
      <c r="H1605" s="5" t="str">
        <f t="shared" ca="1" si="51"/>
        <v/>
      </c>
      <c r="M1605" s="2"/>
    </row>
    <row r="1606" spans="2:13" ht="15.6" x14ac:dyDescent="0.3">
      <c r="B1606" s="5" t="str">
        <f>IF(COUNTIF(data_val!$E$3:$E$5, sample_log!$E1606), sample_log!$C1606 &amp; "_" &amp; sample_log!$D1606, "")</f>
        <v/>
      </c>
      <c r="C1606" s="5" t="str">
        <f>IF(B1606="", IF(F1606="", "", C1605), IF(sample_log!E1606="Triennial SASS", "tri_params", "params"))</f>
        <v/>
      </c>
      <c r="D1606" s="5" t="str">
        <f>IF(B1606="", "", C1606 &amp; "!" &amp; CHAR(65+MATCH(B1606, params!$B$2:$R$2, 0)))</f>
        <v/>
      </c>
      <c r="E1606" s="5" t="str">
        <f ca="1">IF(B1606="", "", COUNTA(INDIRECT(D1606 &amp; 3):INDIRECT(D1606 &amp; 24)))</f>
        <v/>
      </c>
      <c r="F1606" s="5" t="str">
        <f t="shared" si="52"/>
        <v/>
      </c>
      <c r="G1606" s="5" t="str">
        <f>IF(F1606="", "", IF(B1606&lt;&gt;"", MATCH(B1606, params!$B$2:$R$2, 0), G1605))</f>
        <v/>
      </c>
      <c r="H1606" s="5" t="str">
        <f t="shared" ca="1" si="51"/>
        <v/>
      </c>
      <c r="M1606" s="2"/>
    </row>
    <row r="1607" spans="2:13" ht="15.6" x14ac:dyDescent="0.3">
      <c r="B1607" s="5" t="str">
        <f>IF(COUNTIF(data_val!$E$3:$E$5, sample_log!$E1607), sample_log!$C1607 &amp; "_" &amp; sample_log!$D1607, "")</f>
        <v/>
      </c>
      <c r="C1607" s="5" t="str">
        <f>IF(B1607="", IF(F1607="", "", C1606), IF(sample_log!E1607="Triennial SASS", "tri_params", "params"))</f>
        <v/>
      </c>
      <c r="D1607" s="5" t="str">
        <f>IF(B1607="", "", C1607 &amp; "!" &amp; CHAR(65+MATCH(B1607, params!$B$2:$R$2, 0)))</f>
        <v/>
      </c>
      <c r="E1607" s="5" t="str">
        <f ca="1">IF(B1607="", "", COUNTA(INDIRECT(D1607 &amp; 3):INDIRECT(D1607 &amp; 24)))</f>
        <v/>
      </c>
      <c r="F1607" s="5" t="str">
        <f t="shared" si="52"/>
        <v/>
      </c>
      <c r="G1607" s="5" t="str">
        <f>IF(F1607="", "", IF(B1607&lt;&gt;"", MATCH(B1607, params!$B$2:$R$2, 0), G1606))</f>
        <v/>
      </c>
      <c r="H1607" s="5" t="str">
        <f t="shared" ca="1" si="51"/>
        <v/>
      </c>
      <c r="M1607" s="2"/>
    </row>
    <row r="1608" spans="2:13" ht="15.6" x14ac:dyDescent="0.3">
      <c r="B1608" s="5" t="str">
        <f>IF(COUNTIF(data_val!$E$3:$E$5, sample_log!$E1608), sample_log!$C1608 &amp; "_" &amp; sample_log!$D1608, "")</f>
        <v/>
      </c>
      <c r="C1608" s="5" t="str">
        <f>IF(B1608="", IF(F1608="", "", C1607), IF(sample_log!E1608="Triennial SASS", "tri_params", "params"))</f>
        <v/>
      </c>
      <c r="D1608" s="5" t="str">
        <f>IF(B1608="", "", C1608 &amp; "!" &amp; CHAR(65+MATCH(B1608, params!$B$2:$R$2, 0)))</f>
        <v/>
      </c>
      <c r="E1608" s="5" t="str">
        <f ca="1">IF(B1608="", "", COUNTA(INDIRECT(D1608 &amp; 3):INDIRECT(D1608 &amp; 24)))</f>
        <v/>
      </c>
      <c r="F1608" s="5" t="str">
        <f t="shared" si="52"/>
        <v/>
      </c>
      <c r="G1608" s="5" t="str">
        <f>IF(F1608="", "", IF(B1608&lt;&gt;"", MATCH(B1608, params!$B$2:$R$2, 0), G1607))</f>
        <v/>
      </c>
      <c r="H1608" s="5" t="str">
        <f t="shared" ca="1" si="51"/>
        <v/>
      </c>
      <c r="M1608" s="2"/>
    </row>
    <row r="1609" spans="2:13" ht="15.6" x14ac:dyDescent="0.3">
      <c r="B1609" s="5" t="str">
        <f>IF(COUNTIF(data_val!$E$3:$E$5, sample_log!$E1609), sample_log!$C1609 &amp; "_" &amp; sample_log!$D1609, "")</f>
        <v/>
      </c>
      <c r="C1609" s="5" t="str">
        <f>IF(B1609="", IF(F1609="", "", C1608), IF(sample_log!E1609="Triennial SASS", "tri_params", "params"))</f>
        <v/>
      </c>
      <c r="D1609" s="5" t="str">
        <f>IF(B1609="", "", C1609 &amp; "!" &amp; CHAR(65+MATCH(B1609, params!$B$2:$R$2, 0)))</f>
        <v/>
      </c>
      <c r="E1609" s="5" t="str">
        <f ca="1">IF(B1609="", "", COUNTA(INDIRECT(D1609 &amp; 3):INDIRECT(D1609 &amp; 24)))</f>
        <v/>
      </c>
      <c r="F1609" s="5" t="str">
        <f t="shared" si="52"/>
        <v/>
      </c>
      <c r="G1609" s="5" t="str">
        <f>IF(F1609="", "", IF(B1609&lt;&gt;"", MATCH(B1609, params!$B$2:$R$2, 0), G1608))</f>
        <v/>
      </c>
      <c r="H1609" s="5" t="str">
        <f t="shared" ca="1" si="51"/>
        <v/>
      </c>
      <c r="M1609" s="2"/>
    </row>
    <row r="1610" spans="2:13" ht="15.6" x14ac:dyDescent="0.3">
      <c r="B1610" s="5" t="str">
        <f>IF(COUNTIF(data_val!$E$3:$E$5, sample_log!$E1610), sample_log!$C1610 &amp; "_" &amp; sample_log!$D1610, "")</f>
        <v/>
      </c>
      <c r="C1610" s="5" t="str">
        <f>IF(B1610="", IF(F1610="", "", C1609), IF(sample_log!E1610="Triennial SASS", "tri_params", "params"))</f>
        <v/>
      </c>
      <c r="D1610" s="5" t="str">
        <f>IF(B1610="", "", C1610 &amp; "!" &amp; CHAR(65+MATCH(B1610, params!$B$2:$R$2, 0)))</f>
        <v/>
      </c>
      <c r="E1610" s="5" t="str">
        <f ca="1">IF(B1610="", "", COUNTA(INDIRECT(D1610 &amp; 3):INDIRECT(D1610 &amp; 24)))</f>
        <v/>
      </c>
      <c r="F1610" s="5" t="str">
        <f t="shared" si="52"/>
        <v/>
      </c>
      <c r="G1610" s="5" t="str">
        <f>IF(F1610="", "", IF(B1610&lt;&gt;"", MATCH(B1610, params!$B$2:$R$2, 0), G1609))</f>
        <v/>
      </c>
      <c r="H1610" s="5" t="str">
        <f t="shared" ca="1" si="51"/>
        <v/>
      </c>
      <c r="M1610" s="2"/>
    </row>
    <row r="1611" spans="2:13" ht="15.6" x14ac:dyDescent="0.3">
      <c r="B1611" s="5" t="str">
        <f>IF(COUNTIF(data_val!$E$3:$E$5, sample_log!$E1611), sample_log!$C1611 &amp; "_" &amp; sample_log!$D1611, "")</f>
        <v/>
      </c>
      <c r="C1611" s="5" t="str">
        <f>IF(B1611="", IF(F1611="", "", C1610), IF(sample_log!E1611="Triennial SASS", "tri_params", "params"))</f>
        <v/>
      </c>
      <c r="D1611" s="5" t="str">
        <f>IF(B1611="", "", C1611 &amp; "!" &amp; CHAR(65+MATCH(B1611, params!$B$2:$R$2, 0)))</f>
        <v/>
      </c>
      <c r="E1611" s="5" t="str">
        <f ca="1">IF(B1611="", "", COUNTA(INDIRECT(D1611 &amp; 3):INDIRECT(D1611 &amp; 24)))</f>
        <v/>
      </c>
      <c r="F1611" s="5" t="str">
        <f t="shared" si="52"/>
        <v/>
      </c>
      <c r="G1611" s="5" t="str">
        <f>IF(F1611="", "", IF(B1611&lt;&gt;"", MATCH(B1611, params!$B$2:$R$2, 0), G1610))</f>
        <v/>
      </c>
      <c r="H1611" s="5" t="str">
        <f t="shared" ca="1" si="51"/>
        <v/>
      </c>
      <c r="M1611" s="2"/>
    </row>
    <row r="1612" spans="2:13" ht="15.6" x14ac:dyDescent="0.3">
      <c r="B1612" s="5" t="str">
        <f>IF(COUNTIF(data_val!$E$3:$E$5, sample_log!$E1612), sample_log!$C1612 &amp; "_" &amp; sample_log!$D1612, "")</f>
        <v/>
      </c>
      <c r="C1612" s="5" t="str">
        <f>IF(B1612="", IF(F1612="", "", C1611), IF(sample_log!E1612="Triennial SASS", "tri_params", "params"))</f>
        <v/>
      </c>
      <c r="D1612" s="5" t="str">
        <f>IF(B1612="", "", C1612 &amp; "!" &amp; CHAR(65+MATCH(B1612, params!$B$2:$R$2, 0)))</f>
        <v/>
      </c>
      <c r="E1612" s="5" t="str">
        <f ca="1">IF(B1612="", "", COUNTA(INDIRECT(D1612 &amp; 3):INDIRECT(D1612 &amp; 24)))</f>
        <v/>
      </c>
      <c r="F1612" s="5" t="str">
        <f t="shared" si="52"/>
        <v/>
      </c>
      <c r="G1612" s="5" t="str">
        <f>IF(F1612="", "", IF(B1612&lt;&gt;"", MATCH(B1612, params!$B$2:$R$2, 0), G1611))</f>
        <v/>
      </c>
      <c r="H1612" s="5" t="str">
        <f t="shared" ca="1" si="51"/>
        <v/>
      </c>
      <c r="M1612" s="2"/>
    </row>
    <row r="1613" spans="2:13" ht="15.6" x14ac:dyDescent="0.3">
      <c r="B1613" s="5" t="str">
        <f>IF(COUNTIF(data_val!$E$3:$E$5, sample_log!$E1613), sample_log!$C1613 &amp; "_" &amp; sample_log!$D1613, "")</f>
        <v/>
      </c>
      <c r="C1613" s="5" t="str">
        <f>IF(B1613="", IF(F1613="", "", C1612), IF(sample_log!E1613="Triennial SASS", "tri_params", "params"))</f>
        <v/>
      </c>
      <c r="D1613" s="5" t="str">
        <f>IF(B1613="", "", C1613 &amp; "!" &amp; CHAR(65+MATCH(B1613, params!$B$2:$R$2, 0)))</f>
        <v/>
      </c>
      <c r="E1613" s="5" t="str">
        <f ca="1">IF(B1613="", "", COUNTA(INDIRECT(D1613 &amp; 3):INDIRECT(D1613 &amp; 24)))</f>
        <v/>
      </c>
      <c r="F1613" s="5" t="str">
        <f t="shared" si="52"/>
        <v/>
      </c>
      <c r="G1613" s="5" t="str">
        <f>IF(F1613="", "", IF(B1613&lt;&gt;"", MATCH(B1613, params!$B$2:$R$2, 0), G1612))</f>
        <v/>
      </c>
      <c r="H1613" s="5" t="str">
        <f t="shared" ca="1" si="51"/>
        <v/>
      </c>
      <c r="M1613" s="2"/>
    </row>
    <row r="1614" spans="2:13" ht="15.6" x14ac:dyDescent="0.3">
      <c r="B1614" s="5" t="str">
        <f>IF(COUNTIF(data_val!$E$3:$E$5, sample_log!$E1614), sample_log!$C1614 &amp; "_" &amp; sample_log!$D1614, "")</f>
        <v/>
      </c>
      <c r="C1614" s="5" t="str">
        <f>IF(B1614="", IF(F1614="", "", C1613), IF(sample_log!E1614="Triennial SASS", "tri_params", "params"))</f>
        <v/>
      </c>
      <c r="D1614" s="5" t="str">
        <f>IF(B1614="", "", C1614 &amp; "!" &amp; CHAR(65+MATCH(B1614, params!$B$2:$R$2, 0)))</f>
        <v/>
      </c>
      <c r="E1614" s="5" t="str">
        <f ca="1">IF(B1614="", "", COUNTA(INDIRECT(D1614 &amp; 3):INDIRECT(D1614 &amp; 24)))</f>
        <v/>
      </c>
      <c r="F1614" s="5" t="str">
        <f t="shared" si="52"/>
        <v/>
      </c>
      <c r="G1614" s="5" t="str">
        <f>IF(F1614="", "", IF(B1614&lt;&gt;"", MATCH(B1614, params!$B$2:$R$2, 0), G1613))</f>
        <v/>
      </c>
      <c r="H1614" s="5" t="str">
        <f t="shared" ca="1" si="51"/>
        <v/>
      </c>
      <c r="M1614" s="2"/>
    </row>
    <row r="1615" spans="2:13" ht="15.6" x14ac:dyDescent="0.3">
      <c r="B1615" s="5" t="str">
        <f>IF(COUNTIF(data_val!$E$3:$E$5, sample_log!$E1615), sample_log!$C1615 &amp; "_" &amp; sample_log!$D1615, "")</f>
        <v/>
      </c>
      <c r="C1615" s="5" t="str">
        <f>IF(B1615="", IF(F1615="", "", C1614), IF(sample_log!E1615="Triennial SASS", "tri_params", "params"))</f>
        <v/>
      </c>
      <c r="D1615" s="5" t="str">
        <f>IF(B1615="", "", C1615 &amp; "!" &amp; CHAR(65+MATCH(B1615, params!$B$2:$R$2, 0)))</f>
        <v/>
      </c>
      <c r="E1615" s="5" t="str">
        <f ca="1">IF(B1615="", "", COUNTA(INDIRECT(D1615 &amp; 3):INDIRECT(D1615 &amp; 24)))</f>
        <v/>
      </c>
      <c r="F1615" s="5" t="str">
        <f t="shared" si="52"/>
        <v/>
      </c>
      <c r="G1615" s="5" t="str">
        <f>IF(F1615="", "", IF(B1615&lt;&gt;"", MATCH(B1615, params!$B$2:$R$2, 0), G1614))</f>
        <v/>
      </c>
      <c r="H1615" s="5" t="str">
        <f t="shared" ca="1" si="51"/>
        <v/>
      </c>
      <c r="M1615" s="2"/>
    </row>
    <row r="1616" spans="2:13" ht="15.6" x14ac:dyDescent="0.3">
      <c r="B1616" s="5" t="str">
        <f>IF(COUNTIF(data_val!$E$3:$E$5, sample_log!$E1616), sample_log!$C1616 &amp; "_" &amp; sample_log!$D1616, "")</f>
        <v/>
      </c>
      <c r="C1616" s="5" t="str">
        <f>IF(B1616="", IF(F1616="", "", C1615), IF(sample_log!E1616="Triennial SASS", "tri_params", "params"))</f>
        <v/>
      </c>
      <c r="D1616" s="5" t="str">
        <f>IF(B1616="", "", C1616 &amp; "!" &amp; CHAR(65+MATCH(B1616, params!$B$2:$R$2, 0)))</f>
        <v/>
      </c>
      <c r="E1616" s="5" t="str">
        <f ca="1">IF(B1616="", "", COUNTA(INDIRECT(D1616 &amp; 3):INDIRECT(D1616 &amp; 24)))</f>
        <v/>
      </c>
      <c r="F1616" s="5" t="str">
        <f t="shared" si="52"/>
        <v/>
      </c>
      <c r="G1616" s="5" t="str">
        <f>IF(F1616="", "", IF(B1616&lt;&gt;"", MATCH(B1616, params!$B$2:$R$2, 0), G1615))</f>
        <v/>
      </c>
      <c r="H1616" s="5" t="str">
        <f t="shared" ca="1" si="51"/>
        <v/>
      </c>
      <c r="M1616" s="2"/>
    </row>
    <row r="1617" spans="2:13" ht="15.6" x14ac:dyDescent="0.3">
      <c r="B1617" s="5" t="str">
        <f>IF(COUNTIF(data_val!$E$3:$E$5, sample_log!$E1617), sample_log!$C1617 &amp; "_" &amp; sample_log!$D1617, "")</f>
        <v/>
      </c>
      <c r="C1617" s="5" t="str">
        <f>IF(B1617="", IF(F1617="", "", C1616), IF(sample_log!E1617="Triennial SASS", "tri_params", "params"))</f>
        <v/>
      </c>
      <c r="D1617" s="5" t="str">
        <f>IF(B1617="", "", C1617 &amp; "!" &amp; CHAR(65+MATCH(B1617, params!$B$2:$R$2, 0)))</f>
        <v/>
      </c>
      <c r="E1617" s="5" t="str">
        <f ca="1">IF(B1617="", "", COUNTA(INDIRECT(D1617 &amp; 3):INDIRECT(D1617 &amp; 24)))</f>
        <v/>
      </c>
      <c r="F1617" s="5" t="str">
        <f t="shared" si="52"/>
        <v/>
      </c>
      <c r="G1617" s="5" t="str">
        <f>IF(F1617="", "", IF(B1617&lt;&gt;"", MATCH(B1617, params!$B$2:$R$2, 0), G1616))</f>
        <v/>
      </c>
      <c r="H1617" s="5" t="str">
        <f t="shared" ca="1" si="51"/>
        <v/>
      </c>
      <c r="M1617" s="2"/>
    </row>
    <row r="1618" spans="2:13" ht="15.6" x14ac:dyDescent="0.3">
      <c r="B1618" s="5" t="str">
        <f>IF(COUNTIF(data_val!$E$3:$E$5, sample_log!$E1618), sample_log!$C1618 &amp; "_" &amp; sample_log!$D1618, "")</f>
        <v/>
      </c>
      <c r="C1618" s="5" t="str">
        <f>IF(B1618="", IF(F1618="", "", C1617), IF(sample_log!E1618="Triennial SASS", "tri_params", "params"))</f>
        <v/>
      </c>
      <c r="D1618" s="5" t="str">
        <f>IF(B1618="", "", C1618 &amp; "!" &amp; CHAR(65+MATCH(B1618, params!$B$2:$R$2, 0)))</f>
        <v/>
      </c>
      <c r="E1618" s="5" t="str">
        <f ca="1">IF(B1618="", "", COUNTA(INDIRECT(D1618 &amp; 3):INDIRECT(D1618 &amp; 24)))</f>
        <v/>
      </c>
      <c r="F1618" s="5" t="str">
        <f t="shared" si="52"/>
        <v/>
      </c>
      <c r="G1618" s="5" t="str">
        <f>IF(F1618="", "", IF(B1618&lt;&gt;"", MATCH(B1618, params!$B$2:$R$2, 0), G1617))</f>
        <v/>
      </c>
      <c r="H1618" s="5" t="str">
        <f t="shared" ca="1" si="51"/>
        <v/>
      </c>
      <c r="M1618" s="2"/>
    </row>
    <row r="1619" spans="2:13" ht="15.6" x14ac:dyDescent="0.3">
      <c r="B1619" s="5" t="str">
        <f>IF(COUNTIF(data_val!$E$3:$E$5, sample_log!$E1619), sample_log!$C1619 &amp; "_" &amp; sample_log!$D1619, "")</f>
        <v/>
      </c>
      <c r="C1619" s="5" t="str">
        <f>IF(B1619="", IF(F1619="", "", C1618), IF(sample_log!E1619="Triennial SASS", "tri_params", "params"))</f>
        <v/>
      </c>
      <c r="D1619" s="5" t="str">
        <f>IF(B1619="", "", C1619 &amp; "!" &amp; CHAR(65+MATCH(B1619, params!$B$2:$R$2, 0)))</f>
        <v/>
      </c>
      <c r="E1619" s="5" t="str">
        <f ca="1">IF(B1619="", "", COUNTA(INDIRECT(D1619 &amp; 3):INDIRECT(D1619 &amp; 24)))</f>
        <v/>
      </c>
      <c r="F1619" s="5" t="str">
        <f t="shared" si="52"/>
        <v/>
      </c>
      <c r="G1619" s="5" t="str">
        <f>IF(F1619="", "", IF(B1619&lt;&gt;"", MATCH(B1619, params!$B$2:$R$2, 0), G1618))</f>
        <v/>
      </c>
      <c r="H1619" s="5" t="str">
        <f t="shared" ca="1" si="51"/>
        <v/>
      </c>
      <c r="M1619" s="2"/>
    </row>
    <row r="1620" spans="2:13" ht="15.6" x14ac:dyDescent="0.3">
      <c r="B1620" s="5" t="str">
        <f>IF(COUNTIF(data_val!$E$3:$E$5, sample_log!$E1620), sample_log!$C1620 &amp; "_" &amp; sample_log!$D1620, "")</f>
        <v/>
      </c>
      <c r="C1620" s="5" t="str">
        <f>IF(B1620="", IF(F1620="", "", C1619), IF(sample_log!E1620="Triennial SASS", "tri_params", "params"))</f>
        <v/>
      </c>
      <c r="D1620" s="5" t="str">
        <f>IF(B1620="", "", C1620 &amp; "!" &amp; CHAR(65+MATCH(B1620, params!$B$2:$R$2, 0)))</f>
        <v/>
      </c>
      <c r="E1620" s="5" t="str">
        <f ca="1">IF(B1620="", "", COUNTA(INDIRECT(D1620 &amp; 3):INDIRECT(D1620 &amp; 24)))</f>
        <v/>
      </c>
      <c r="F1620" s="5" t="str">
        <f t="shared" si="52"/>
        <v/>
      </c>
      <c r="G1620" s="5" t="str">
        <f>IF(F1620="", "", IF(B1620&lt;&gt;"", MATCH(B1620, params!$B$2:$R$2, 0), G1619))</f>
        <v/>
      </c>
      <c r="H1620" s="5" t="str">
        <f t="shared" ca="1" si="51"/>
        <v/>
      </c>
      <c r="M1620" s="2"/>
    </row>
    <row r="1621" spans="2:13" ht="15.6" x14ac:dyDescent="0.3">
      <c r="B1621" s="5" t="str">
        <f>IF(COUNTIF(data_val!$E$3:$E$5, sample_log!$E1621), sample_log!$C1621 &amp; "_" &amp; sample_log!$D1621, "")</f>
        <v/>
      </c>
      <c r="C1621" s="5" t="str">
        <f>IF(B1621="", IF(F1621="", "", C1620), IF(sample_log!E1621="Triennial SASS", "tri_params", "params"))</f>
        <v/>
      </c>
      <c r="D1621" s="5" t="str">
        <f>IF(B1621="", "", C1621 &amp; "!" &amp; CHAR(65+MATCH(B1621, params!$B$2:$R$2, 0)))</f>
        <v/>
      </c>
      <c r="E1621" s="5" t="str">
        <f ca="1">IF(B1621="", "", COUNTA(INDIRECT(D1621 &amp; 3):INDIRECT(D1621 &amp; 24)))</f>
        <v/>
      </c>
      <c r="F1621" s="5" t="str">
        <f t="shared" si="52"/>
        <v/>
      </c>
      <c r="G1621" s="5" t="str">
        <f>IF(F1621="", "", IF(B1621&lt;&gt;"", MATCH(B1621, params!$B$2:$R$2, 0), G1620))</f>
        <v/>
      </c>
      <c r="H1621" s="5" t="str">
        <f t="shared" ca="1" si="51"/>
        <v/>
      </c>
      <c r="M1621" s="2"/>
    </row>
    <row r="1622" spans="2:13" ht="15.6" x14ac:dyDescent="0.3">
      <c r="B1622" s="5" t="str">
        <f>IF(COUNTIF(data_val!$E$3:$E$5, sample_log!$E1622), sample_log!$C1622 &amp; "_" &amp; sample_log!$D1622, "")</f>
        <v/>
      </c>
      <c r="C1622" s="5" t="str">
        <f>IF(B1622="", IF(F1622="", "", C1621), IF(sample_log!E1622="Triennial SASS", "tri_params", "params"))</f>
        <v/>
      </c>
      <c r="D1622" s="5" t="str">
        <f>IF(B1622="", "", C1622 &amp; "!" &amp; CHAR(65+MATCH(B1622, params!$B$2:$R$2, 0)))</f>
        <v/>
      </c>
      <c r="E1622" s="5" t="str">
        <f ca="1">IF(B1622="", "", COUNTA(INDIRECT(D1622 &amp; 3):INDIRECT(D1622 &amp; 24)))</f>
        <v/>
      </c>
      <c r="F1622" s="5" t="str">
        <f t="shared" si="52"/>
        <v/>
      </c>
      <c r="G1622" s="5" t="str">
        <f>IF(F1622="", "", IF(B1622&lt;&gt;"", MATCH(B1622, params!$B$2:$R$2, 0), G1621))</f>
        <v/>
      </c>
      <c r="H1622" s="5" t="str">
        <f t="shared" ca="1" si="51"/>
        <v/>
      </c>
      <c r="M1622" s="2"/>
    </row>
    <row r="1623" spans="2:13" ht="15.6" x14ac:dyDescent="0.3">
      <c r="B1623" s="5" t="str">
        <f>IF(COUNTIF(data_val!$E$3:$E$5, sample_log!$E1623), sample_log!$C1623 &amp; "_" &amp; sample_log!$D1623, "")</f>
        <v/>
      </c>
      <c r="C1623" s="5" t="str">
        <f>IF(B1623="", IF(F1623="", "", C1622), IF(sample_log!E1623="Triennial SASS", "tri_params", "params"))</f>
        <v/>
      </c>
      <c r="D1623" s="5" t="str">
        <f>IF(B1623="", "", C1623 &amp; "!" &amp; CHAR(65+MATCH(B1623, params!$B$2:$R$2, 0)))</f>
        <v/>
      </c>
      <c r="E1623" s="5" t="str">
        <f ca="1">IF(B1623="", "", COUNTA(INDIRECT(D1623 &amp; 3):INDIRECT(D1623 &amp; 24)))</f>
        <v/>
      </c>
      <c r="F1623" s="5" t="str">
        <f t="shared" si="52"/>
        <v/>
      </c>
      <c r="G1623" s="5" t="str">
        <f>IF(F1623="", "", IF(B1623&lt;&gt;"", MATCH(B1623, params!$B$2:$R$2, 0), G1622))</f>
        <v/>
      </c>
      <c r="H1623" s="5" t="str">
        <f t="shared" ca="1" si="51"/>
        <v/>
      </c>
      <c r="M1623" s="2"/>
    </row>
    <row r="1624" spans="2:13" ht="15.6" x14ac:dyDescent="0.3">
      <c r="B1624" s="5" t="str">
        <f>IF(COUNTIF(data_val!$E$3:$E$5, sample_log!$E1624), sample_log!$C1624 &amp; "_" &amp; sample_log!$D1624, "")</f>
        <v/>
      </c>
      <c r="C1624" s="5" t="str">
        <f>IF(B1624="", IF(F1624="", "", C1623), IF(sample_log!E1624="Triennial SASS", "tri_params", "params"))</f>
        <v/>
      </c>
      <c r="D1624" s="5" t="str">
        <f>IF(B1624="", "", C1624 &amp; "!" &amp; CHAR(65+MATCH(B1624, params!$B$2:$R$2, 0)))</f>
        <v/>
      </c>
      <c r="E1624" s="5" t="str">
        <f ca="1">IF(B1624="", "", COUNTA(INDIRECT(D1624 &amp; 3):INDIRECT(D1624 &amp; 24)))</f>
        <v/>
      </c>
      <c r="F1624" s="5" t="str">
        <f t="shared" si="52"/>
        <v/>
      </c>
      <c r="G1624" s="5" t="str">
        <f>IF(F1624="", "", IF(B1624&lt;&gt;"", MATCH(B1624, params!$B$2:$R$2, 0), G1623))</f>
        <v/>
      </c>
      <c r="H1624" s="5" t="str">
        <f t="shared" ca="1" si="51"/>
        <v/>
      </c>
      <c r="M1624" s="2"/>
    </row>
    <row r="1625" spans="2:13" ht="15.6" x14ac:dyDescent="0.3">
      <c r="B1625" s="5" t="str">
        <f>IF(COUNTIF(data_val!$E$3:$E$5, sample_log!$E1625), sample_log!$C1625 &amp; "_" &amp; sample_log!$D1625, "")</f>
        <v/>
      </c>
      <c r="C1625" s="5" t="str">
        <f>IF(B1625="", IF(F1625="", "", C1624), IF(sample_log!E1625="Triennial SASS", "tri_params", "params"))</f>
        <v/>
      </c>
      <c r="D1625" s="5" t="str">
        <f>IF(B1625="", "", C1625 &amp; "!" &amp; CHAR(65+MATCH(B1625, params!$B$2:$R$2, 0)))</f>
        <v/>
      </c>
      <c r="E1625" s="5" t="str">
        <f ca="1">IF(B1625="", "", COUNTA(INDIRECT(D1625 &amp; 3):INDIRECT(D1625 &amp; 24)))</f>
        <v/>
      </c>
      <c r="F1625" s="5" t="str">
        <f t="shared" si="52"/>
        <v/>
      </c>
      <c r="G1625" s="5" t="str">
        <f>IF(F1625="", "", IF(B1625&lt;&gt;"", MATCH(B1625, params!$B$2:$R$2, 0), G1624))</f>
        <v/>
      </c>
      <c r="H1625" s="5" t="str">
        <f t="shared" ref="H1625:H1688" ca="1" si="53">IF($F1625="", "", INDEX(INDIRECT("'" &amp; C1625 &amp; "'!$B$3:$R$24"), $F1625, $G1625))</f>
        <v/>
      </c>
      <c r="M1625" s="2"/>
    </row>
    <row r="1626" spans="2:13" ht="15.6" x14ac:dyDescent="0.3">
      <c r="B1626" s="5" t="str">
        <f>IF(COUNTIF(data_val!$E$3:$E$5, sample_log!$E1626), sample_log!$C1626 &amp; "_" &amp; sample_log!$D1626, "")</f>
        <v/>
      </c>
      <c r="C1626" s="5" t="str">
        <f>IF(B1626="", IF(F1626="", "", C1625), IF(sample_log!E1626="Triennial SASS", "tri_params", "params"))</f>
        <v/>
      </c>
      <c r="D1626" s="5" t="str">
        <f>IF(B1626="", "", C1626 &amp; "!" &amp; CHAR(65+MATCH(B1626, params!$B$2:$R$2, 0)))</f>
        <v/>
      </c>
      <c r="E1626" s="5" t="str">
        <f ca="1">IF(B1626="", "", COUNTA(INDIRECT(D1626 &amp; 3):INDIRECT(D1626 &amp; 24)))</f>
        <v/>
      </c>
      <c r="F1626" s="5" t="str">
        <f t="shared" si="52"/>
        <v/>
      </c>
      <c r="G1626" s="5" t="str">
        <f>IF(F1626="", "", IF(B1626&lt;&gt;"", MATCH(B1626, params!$B$2:$R$2, 0), G1625))</f>
        <v/>
      </c>
      <c r="H1626" s="5" t="str">
        <f t="shared" ca="1" si="53"/>
        <v/>
      </c>
      <c r="M1626" s="2"/>
    </row>
    <row r="1627" spans="2:13" ht="15.6" x14ac:dyDescent="0.3">
      <c r="B1627" s="5" t="str">
        <f>IF(COUNTIF(data_val!$E$3:$E$5, sample_log!$E1627), sample_log!$C1627 &amp; "_" &amp; sample_log!$D1627, "")</f>
        <v/>
      </c>
      <c r="C1627" s="5" t="str">
        <f>IF(B1627="", IF(F1627="", "", C1626), IF(sample_log!E1627="Triennial SASS", "tri_params", "params"))</f>
        <v/>
      </c>
      <c r="D1627" s="5" t="str">
        <f>IF(B1627="", "", C1627 &amp; "!" &amp; CHAR(65+MATCH(B1627, params!$B$2:$R$2, 0)))</f>
        <v/>
      </c>
      <c r="E1627" s="5" t="str">
        <f ca="1">IF(B1627="", "", COUNTA(INDIRECT(D1627 &amp; 3):INDIRECT(D1627 &amp; 24)))</f>
        <v/>
      </c>
      <c r="F1627" s="5" t="str">
        <f t="shared" si="52"/>
        <v/>
      </c>
      <c r="G1627" s="5" t="str">
        <f>IF(F1627="", "", IF(B1627&lt;&gt;"", MATCH(B1627, params!$B$2:$R$2, 0), G1626))</f>
        <v/>
      </c>
      <c r="H1627" s="5" t="str">
        <f t="shared" ca="1" si="53"/>
        <v/>
      </c>
      <c r="M1627" s="2"/>
    </row>
    <row r="1628" spans="2:13" ht="15.6" x14ac:dyDescent="0.3">
      <c r="B1628" s="5" t="str">
        <f>IF(COUNTIF(data_val!$E$3:$E$5, sample_log!$E1628), sample_log!$C1628 &amp; "_" &amp; sample_log!$D1628, "")</f>
        <v/>
      </c>
      <c r="C1628" s="5" t="str">
        <f>IF(B1628="", IF(F1628="", "", C1627), IF(sample_log!E1628="Triennial SASS", "tri_params", "params"))</f>
        <v/>
      </c>
      <c r="D1628" s="5" t="str">
        <f>IF(B1628="", "", C1628 &amp; "!" &amp; CHAR(65+MATCH(B1628, params!$B$2:$R$2, 0)))</f>
        <v/>
      </c>
      <c r="E1628" s="5" t="str">
        <f ca="1">IF(B1628="", "", COUNTA(INDIRECT(D1628 &amp; 3):INDIRECT(D1628 &amp; 24)))</f>
        <v/>
      </c>
      <c r="F1628" s="5" t="str">
        <f t="shared" si="52"/>
        <v/>
      </c>
      <c r="G1628" s="5" t="str">
        <f>IF(F1628="", "", IF(B1628&lt;&gt;"", MATCH(B1628, params!$B$2:$R$2, 0), G1627))</f>
        <v/>
      </c>
      <c r="H1628" s="5" t="str">
        <f t="shared" ca="1" si="53"/>
        <v/>
      </c>
      <c r="M1628" s="2"/>
    </row>
    <row r="1629" spans="2:13" ht="15.6" x14ac:dyDescent="0.3">
      <c r="B1629" s="5" t="str">
        <f>IF(COUNTIF(data_val!$E$3:$E$5, sample_log!$E1629), sample_log!$C1629 &amp; "_" &amp; sample_log!$D1629, "")</f>
        <v/>
      </c>
      <c r="C1629" s="5" t="str">
        <f>IF(B1629="", IF(F1629="", "", C1628), IF(sample_log!E1629="Triennial SASS", "tri_params", "params"))</f>
        <v/>
      </c>
      <c r="D1629" s="5" t="str">
        <f>IF(B1629="", "", C1629 &amp; "!" &amp; CHAR(65+MATCH(B1629, params!$B$2:$R$2, 0)))</f>
        <v/>
      </c>
      <c r="E1629" s="5" t="str">
        <f ca="1">IF(B1629="", "", COUNTA(INDIRECT(D1629 &amp; 3):INDIRECT(D1629 &amp; 24)))</f>
        <v/>
      </c>
      <c r="F1629" s="5" t="str">
        <f t="shared" si="52"/>
        <v/>
      </c>
      <c r="G1629" s="5" t="str">
        <f>IF(F1629="", "", IF(B1629&lt;&gt;"", MATCH(B1629, params!$B$2:$R$2, 0), G1628))</f>
        <v/>
      </c>
      <c r="H1629" s="5" t="str">
        <f t="shared" ca="1" si="53"/>
        <v/>
      </c>
      <c r="M1629" s="2"/>
    </row>
    <row r="1630" spans="2:13" ht="15.6" x14ac:dyDescent="0.3">
      <c r="B1630" s="5" t="str">
        <f>IF(COUNTIF(data_val!$E$3:$E$5, sample_log!$E1630), sample_log!$C1630 &amp; "_" &amp; sample_log!$D1630, "")</f>
        <v/>
      </c>
      <c r="C1630" s="5" t="str">
        <f>IF(B1630="", IF(F1630="", "", C1629), IF(sample_log!E1630="Triennial SASS", "tri_params", "params"))</f>
        <v/>
      </c>
      <c r="D1630" s="5" t="str">
        <f>IF(B1630="", "", C1630 &amp; "!" &amp; CHAR(65+MATCH(B1630, params!$B$2:$R$2, 0)))</f>
        <v/>
      </c>
      <c r="E1630" s="5" t="str">
        <f ca="1">IF(B1630="", "", COUNTA(INDIRECT(D1630 &amp; 3):INDIRECT(D1630 &amp; 24)))</f>
        <v/>
      </c>
      <c r="F1630" s="5" t="str">
        <f t="shared" si="52"/>
        <v/>
      </c>
      <c r="G1630" s="5" t="str">
        <f>IF(F1630="", "", IF(B1630&lt;&gt;"", MATCH(B1630, params!$B$2:$R$2, 0), G1629))</f>
        <v/>
      </c>
      <c r="H1630" s="5" t="str">
        <f t="shared" ca="1" si="53"/>
        <v/>
      </c>
      <c r="M1630" s="2"/>
    </row>
    <row r="1631" spans="2:13" ht="15.6" x14ac:dyDescent="0.3">
      <c r="B1631" s="5" t="str">
        <f>IF(COUNTIF(data_val!$E$3:$E$5, sample_log!$E1631), sample_log!$C1631 &amp; "_" &amp; sample_log!$D1631, "")</f>
        <v/>
      </c>
      <c r="C1631" s="5" t="str">
        <f>IF(B1631="", IF(F1631="", "", C1630), IF(sample_log!E1631="Triennial SASS", "tri_params", "params"))</f>
        <v/>
      </c>
      <c r="D1631" s="5" t="str">
        <f>IF(B1631="", "", C1631 &amp; "!" &amp; CHAR(65+MATCH(B1631, params!$B$2:$R$2, 0)))</f>
        <v/>
      </c>
      <c r="E1631" s="5" t="str">
        <f ca="1">IF(B1631="", "", COUNTA(INDIRECT(D1631 &amp; 3):INDIRECT(D1631 &amp; 24)))</f>
        <v/>
      </c>
      <c r="F1631" s="5" t="str">
        <f t="shared" si="52"/>
        <v/>
      </c>
      <c r="G1631" s="5" t="str">
        <f>IF(F1631="", "", IF(B1631&lt;&gt;"", MATCH(B1631, params!$B$2:$R$2, 0), G1630))</f>
        <v/>
      </c>
      <c r="H1631" s="5" t="str">
        <f t="shared" ca="1" si="53"/>
        <v/>
      </c>
      <c r="M1631" s="2"/>
    </row>
    <row r="1632" spans="2:13" ht="15.6" x14ac:dyDescent="0.3">
      <c r="B1632" s="5" t="str">
        <f>IF(COUNTIF(data_val!$E$3:$E$5, sample_log!$E1632), sample_log!$C1632 &amp; "_" &amp; sample_log!$D1632, "")</f>
        <v/>
      </c>
      <c r="C1632" s="5" t="str">
        <f>IF(B1632="", IF(F1632="", "", C1631), IF(sample_log!E1632="Triennial SASS", "tri_params", "params"))</f>
        <v/>
      </c>
      <c r="D1632" s="5" t="str">
        <f>IF(B1632="", "", C1632 &amp; "!" &amp; CHAR(65+MATCH(B1632, params!$B$2:$R$2, 0)))</f>
        <v/>
      </c>
      <c r="E1632" s="5" t="str">
        <f ca="1">IF(B1632="", "", COUNTA(INDIRECT(D1632 &amp; 3):INDIRECT(D1632 &amp; 24)))</f>
        <v/>
      </c>
      <c r="F1632" s="5" t="str">
        <f t="shared" si="52"/>
        <v/>
      </c>
      <c r="G1632" s="5" t="str">
        <f>IF(F1632="", "", IF(B1632&lt;&gt;"", MATCH(B1632, params!$B$2:$R$2, 0), G1631))</f>
        <v/>
      </c>
      <c r="H1632" s="5" t="str">
        <f t="shared" ca="1" si="53"/>
        <v/>
      </c>
      <c r="M1632" s="2"/>
    </row>
    <row r="1633" spans="2:13" ht="15.6" x14ac:dyDescent="0.3">
      <c r="B1633" s="5" t="str">
        <f>IF(COUNTIF(data_val!$E$3:$E$5, sample_log!$E1633), sample_log!$C1633 &amp; "_" &amp; sample_log!$D1633, "")</f>
        <v/>
      </c>
      <c r="C1633" s="5" t="str">
        <f>IF(B1633="", IF(F1633="", "", C1632), IF(sample_log!E1633="Triennial SASS", "tri_params", "params"))</f>
        <v/>
      </c>
      <c r="D1633" s="5" t="str">
        <f>IF(B1633="", "", C1633 &amp; "!" &amp; CHAR(65+MATCH(B1633, params!$B$2:$R$2, 0)))</f>
        <v/>
      </c>
      <c r="E1633" s="5" t="str">
        <f ca="1">IF(B1633="", "", COUNTA(INDIRECT(D1633 &amp; 3):INDIRECT(D1633 &amp; 24)))</f>
        <v/>
      </c>
      <c r="F1633" s="5" t="str">
        <f t="shared" si="52"/>
        <v/>
      </c>
      <c r="G1633" s="5" t="str">
        <f>IF(F1633="", "", IF(B1633&lt;&gt;"", MATCH(B1633, params!$B$2:$R$2, 0), G1632))</f>
        <v/>
      </c>
      <c r="H1633" s="5" t="str">
        <f t="shared" ca="1" si="53"/>
        <v/>
      </c>
      <c r="M1633" s="2"/>
    </row>
    <row r="1634" spans="2:13" ht="15.6" x14ac:dyDescent="0.3">
      <c r="B1634" s="5" t="str">
        <f>IF(COUNTIF(data_val!$E$3:$E$5, sample_log!$E1634), sample_log!$C1634 &amp; "_" &amp; sample_log!$D1634, "")</f>
        <v/>
      </c>
      <c r="C1634" s="5" t="str">
        <f>IF(B1634="", IF(F1634="", "", C1633), IF(sample_log!E1634="Triennial SASS", "tri_params", "params"))</f>
        <v/>
      </c>
      <c r="D1634" s="5" t="str">
        <f>IF(B1634="", "", C1634 &amp; "!" &amp; CHAR(65+MATCH(B1634, params!$B$2:$R$2, 0)))</f>
        <v/>
      </c>
      <c r="E1634" s="5" t="str">
        <f ca="1">IF(B1634="", "", COUNTA(INDIRECT(D1634 &amp; 3):INDIRECT(D1634 &amp; 24)))</f>
        <v/>
      </c>
      <c r="F1634" s="5" t="str">
        <f t="shared" si="52"/>
        <v/>
      </c>
      <c r="G1634" s="5" t="str">
        <f>IF(F1634="", "", IF(B1634&lt;&gt;"", MATCH(B1634, params!$B$2:$R$2, 0), G1633))</f>
        <v/>
      </c>
      <c r="H1634" s="5" t="str">
        <f t="shared" ca="1" si="53"/>
        <v/>
      </c>
      <c r="M1634" s="2"/>
    </row>
    <row r="1635" spans="2:13" ht="15.6" x14ac:dyDescent="0.3">
      <c r="B1635" s="5" t="str">
        <f>IF(COUNTIF(data_val!$E$3:$E$5, sample_log!$E1635), sample_log!$C1635 &amp; "_" &amp; sample_log!$D1635, "")</f>
        <v/>
      </c>
      <c r="C1635" s="5" t="str">
        <f>IF(B1635="", IF(F1635="", "", C1634), IF(sample_log!E1635="Triennial SASS", "tri_params", "params"))</f>
        <v/>
      </c>
      <c r="D1635" s="5" t="str">
        <f>IF(B1635="", "", C1635 &amp; "!" &amp; CHAR(65+MATCH(B1635, params!$B$2:$R$2, 0)))</f>
        <v/>
      </c>
      <c r="E1635" s="5" t="str">
        <f ca="1">IF(B1635="", "", COUNTA(INDIRECT(D1635 &amp; 3):INDIRECT(D1635 &amp; 24)))</f>
        <v/>
      </c>
      <c r="F1635" s="5" t="str">
        <f t="shared" si="52"/>
        <v/>
      </c>
      <c r="G1635" s="5" t="str">
        <f>IF(F1635="", "", IF(B1635&lt;&gt;"", MATCH(B1635, params!$B$2:$R$2, 0), G1634))</f>
        <v/>
      </c>
      <c r="H1635" s="5" t="str">
        <f t="shared" ca="1" si="53"/>
        <v/>
      </c>
      <c r="M1635" s="2"/>
    </row>
    <row r="1636" spans="2:13" ht="15.6" x14ac:dyDescent="0.3">
      <c r="B1636" s="5" t="str">
        <f>IF(COUNTIF(data_val!$E$3:$E$5, sample_log!$E1636), sample_log!$C1636 &amp; "_" &amp; sample_log!$D1636, "")</f>
        <v/>
      </c>
      <c r="C1636" s="5" t="str">
        <f>IF(B1636="", IF(F1636="", "", C1635), IF(sample_log!E1636="Triennial SASS", "tri_params", "params"))</f>
        <v/>
      </c>
      <c r="D1636" s="5" t="str">
        <f>IF(B1636="", "", C1636 &amp; "!" &amp; CHAR(65+MATCH(B1636, params!$B$2:$R$2, 0)))</f>
        <v/>
      </c>
      <c r="E1636" s="5" t="str">
        <f ca="1">IF(B1636="", "", COUNTA(INDIRECT(D1636 &amp; 3):INDIRECT(D1636 &amp; 24)))</f>
        <v/>
      </c>
      <c r="F1636" s="5" t="str">
        <f t="shared" si="52"/>
        <v/>
      </c>
      <c r="G1636" s="5" t="str">
        <f>IF(F1636="", "", IF(B1636&lt;&gt;"", MATCH(B1636, params!$B$2:$R$2, 0), G1635))</f>
        <v/>
      </c>
      <c r="H1636" s="5" t="str">
        <f t="shared" ca="1" si="53"/>
        <v/>
      </c>
      <c r="M1636" s="2"/>
    </row>
    <row r="1637" spans="2:13" ht="15.6" x14ac:dyDescent="0.3">
      <c r="B1637" s="5" t="str">
        <f>IF(COUNTIF(data_val!$E$3:$E$5, sample_log!$E1637), sample_log!$C1637 &amp; "_" &amp; sample_log!$D1637, "")</f>
        <v/>
      </c>
      <c r="C1637" s="5" t="str">
        <f>IF(B1637="", IF(F1637="", "", C1636), IF(sample_log!E1637="Triennial SASS", "tri_params", "params"))</f>
        <v/>
      </c>
      <c r="D1637" s="5" t="str">
        <f>IF(B1637="", "", C1637 &amp; "!" &amp; CHAR(65+MATCH(B1637, params!$B$2:$R$2, 0)))</f>
        <v/>
      </c>
      <c r="E1637" s="5" t="str">
        <f ca="1">IF(B1637="", "", COUNTA(INDIRECT(D1637 &amp; 3):INDIRECT(D1637 &amp; 24)))</f>
        <v/>
      </c>
      <c r="F1637" s="5" t="str">
        <f t="shared" si="52"/>
        <v/>
      </c>
      <c r="G1637" s="5" t="str">
        <f>IF(F1637="", "", IF(B1637&lt;&gt;"", MATCH(B1637, params!$B$2:$R$2, 0), G1636))</f>
        <v/>
      </c>
      <c r="H1637" s="5" t="str">
        <f t="shared" ca="1" si="53"/>
        <v/>
      </c>
      <c r="M1637" s="2"/>
    </row>
    <row r="1638" spans="2:13" ht="15.6" x14ac:dyDescent="0.3">
      <c r="B1638" s="5" t="str">
        <f>IF(COUNTIF(data_val!$E$3:$E$5, sample_log!$E1638), sample_log!$C1638 &amp; "_" &amp; sample_log!$D1638, "")</f>
        <v/>
      </c>
      <c r="C1638" s="5" t="str">
        <f>IF(B1638="", IF(F1638="", "", C1637), IF(sample_log!E1638="Triennial SASS", "tri_params", "params"))</f>
        <v/>
      </c>
      <c r="D1638" s="5" t="str">
        <f>IF(B1638="", "", C1638 &amp; "!" &amp; CHAR(65+MATCH(B1638, params!$B$2:$R$2, 0)))</f>
        <v/>
      </c>
      <c r="E1638" s="5" t="str">
        <f ca="1">IF(B1638="", "", COUNTA(INDIRECT(D1638 &amp; 3):INDIRECT(D1638 &amp; 24)))</f>
        <v/>
      </c>
      <c r="F1638" s="5" t="str">
        <f t="shared" si="52"/>
        <v/>
      </c>
      <c r="G1638" s="5" t="str">
        <f>IF(F1638="", "", IF(B1638&lt;&gt;"", MATCH(B1638, params!$B$2:$R$2, 0), G1637))</f>
        <v/>
      </c>
      <c r="H1638" s="5" t="str">
        <f t="shared" ca="1" si="53"/>
        <v/>
      </c>
      <c r="M1638" s="2"/>
    </row>
    <row r="1639" spans="2:13" ht="15.6" x14ac:dyDescent="0.3">
      <c r="B1639" s="5" t="str">
        <f>IF(COUNTIF(data_val!$E$3:$E$5, sample_log!$E1639), sample_log!$C1639 &amp; "_" &amp; sample_log!$D1639, "")</f>
        <v/>
      </c>
      <c r="C1639" s="5" t="str">
        <f>IF(B1639="", IF(F1639="", "", C1638), IF(sample_log!E1639="Triennial SASS", "tri_params", "params"))</f>
        <v/>
      </c>
      <c r="D1639" s="5" t="str">
        <f>IF(B1639="", "", C1639 &amp; "!" &amp; CHAR(65+MATCH(B1639, params!$B$2:$R$2, 0)))</f>
        <v/>
      </c>
      <c r="E1639" s="5" t="str">
        <f ca="1">IF(B1639="", "", COUNTA(INDIRECT(D1639 &amp; 3):INDIRECT(D1639 &amp; 24)))</f>
        <v/>
      </c>
      <c r="F1639" s="5" t="str">
        <f t="shared" si="52"/>
        <v/>
      </c>
      <c r="G1639" s="5" t="str">
        <f>IF(F1639="", "", IF(B1639&lt;&gt;"", MATCH(B1639, params!$B$2:$R$2, 0), G1638))</f>
        <v/>
      </c>
      <c r="H1639" s="5" t="str">
        <f t="shared" ca="1" si="53"/>
        <v/>
      </c>
      <c r="M1639" s="2"/>
    </row>
    <row r="1640" spans="2:13" ht="15.6" x14ac:dyDescent="0.3">
      <c r="B1640" s="5" t="str">
        <f>IF(COUNTIF(data_val!$E$3:$E$5, sample_log!$E1640), sample_log!$C1640 &amp; "_" &amp; sample_log!$D1640, "")</f>
        <v/>
      </c>
      <c r="C1640" s="5" t="str">
        <f>IF(B1640="", IF(F1640="", "", C1639), IF(sample_log!E1640="Triennial SASS", "tri_params", "params"))</f>
        <v/>
      </c>
      <c r="D1640" s="5" t="str">
        <f>IF(B1640="", "", C1640 &amp; "!" &amp; CHAR(65+MATCH(B1640, params!$B$2:$R$2, 0)))</f>
        <v/>
      </c>
      <c r="E1640" s="5" t="str">
        <f ca="1">IF(B1640="", "", COUNTA(INDIRECT(D1640 &amp; 3):INDIRECT(D1640 &amp; 24)))</f>
        <v/>
      </c>
      <c r="F1640" s="5" t="str">
        <f t="shared" si="52"/>
        <v/>
      </c>
      <c r="G1640" s="5" t="str">
        <f>IF(F1640="", "", IF(B1640&lt;&gt;"", MATCH(B1640, params!$B$2:$R$2, 0), G1639))</f>
        <v/>
      </c>
      <c r="H1640" s="5" t="str">
        <f t="shared" ca="1" si="53"/>
        <v/>
      </c>
      <c r="M1640" s="2"/>
    </row>
    <row r="1641" spans="2:13" ht="15.6" x14ac:dyDescent="0.3">
      <c r="B1641" s="5" t="str">
        <f>IF(COUNTIF(data_val!$E$3:$E$5, sample_log!$E1641), sample_log!$C1641 &amp; "_" &amp; sample_log!$D1641, "")</f>
        <v/>
      </c>
      <c r="C1641" s="5" t="str">
        <f>IF(B1641="", IF(F1641="", "", C1640), IF(sample_log!E1641="Triennial SASS", "tri_params", "params"))</f>
        <v/>
      </c>
      <c r="D1641" s="5" t="str">
        <f>IF(B1641="", "", C1641 &amp; "!" &amp; CHAR(65+MATCH(B1641, params!$B$2:$R$2, 0)))</f>
        <v/>
      </c>
      <c r="E1641" s="5" t="str">
        <f ca="1">IF(B1641="", "", COUNTA(INDIRECT(D1641 &amp; 3):INDIRECT(D1641 &amp; 24)))</f>
        <v/>
      </c>
      <c r="F1641" s="5" t="str">
        <f t="shared" si="52"/>
        <v/>
      </c>
      <c r="G1641" s="5" t="str">
        <f>IF(F1641="", "", IF(B1641&lt;&gt;"", MATCH(B1641, params!$B$2:$R$2, 0), G1640))</f>
        <v/>
      </c>
      <c r="H1641" s="5" t="str">
        <f t="shared" ca="1" si="53"/>
        <v/>
      </c>
      <c r="M1641" s="2"/>
    </row>
    <row r="1642" spans="2:13" ht="15.6" x14ac:dyDescent="0.3">
      <c r="B1642" s="5" t="str">
        <f>IF(COUNTIF(data_val!$E$3:$E$5, sample_log!$E1642), sample_log!$C1642 &amp; "_" &amp; sample_log!$D1642, "")</f>
        <v/>
      </c>
      <c r="C1642" s="5" t="str">
        <f>IF(B1642="", IF(F1642="", "", C1641), IF(sample_log!E1642="Triennial SASS", "tri_params", "params"))</f>
        <v/>
      </c>
      <c r="D1642" s="5" t="str">
        <f>IF(B1642="", "", C1642 &amp; "!" &amp; CHAR(65+MATCH(B1642, params!$B$2:$R$2, 0)))</f>
        <v/>
      </c>
      <c r="E1642" s="5" t="str">
        <f ca="1">IF(B1642="", "", COUNTA(INDIRECT(D1642 &amp; 3):INDIRECT(D1642 &amp; 24)))</f>
        <v/>
      </c>
      <c r="F1642" s="5" t="str">
        <f t="shared" si="52"/>
        <v/>
      </c>
      <c r="G1642" s="5" t="str">
        <f>IF(F1642="", "", IF(B1642&lt;&gt;"", MATCH(B1642, params!$B$2:$R$2, 0), G1641))</f>
        <v/>
      </c>
      <c r="H1642" s="5" t="str">
        <f t="shared" ca="1" si="53"/>
        <v/>
      </c>
      <c r="M1642" s="2"/>
    </row>
    <row r="1643" spans="2:13" ht="15.6" x14ac:dyDescent="0.3">
      <c r="B1643" s="5" t="str">
        <f>IF(COUNTIF(data_val!$E$3:$E$5, sample_log!$E1643), sample_log!$C1643 &amp; "_" &amp; sample_log!$D1643, "")</f>
        <v/>
      </c>
      <c r="C1643" s="5" t="str">
        <f>IF(B1643="", IF(F1643="", "", C1642), IF(sample_log!E1643="Triennial SASS", "tri_params", "params"))</f>
        <v/>
      </c>
      <c r="D1643" s="5" t="str">
        <f>IF(B1643="", "", C1643 &amp; "!" &amp; CHAR(65+MATCH(B1643, params!$B$2:$R$2, 0)))</f>
        <v/>
      </c>
      <c r="E1643" s="5" t="str">
        <f ca="1">IF(B1643="", "", COUNTA(INDIRECT(D1643 &amp; 3):INDIRECT(D1643 &amp; 24)))</f>
        <v/>
      </c>
      <c r="F1643" s="5" t="str">
        <f t="shared" si="52"/>
        <v/>
      </c>
      <c r="G1643" s="5" t="str">
        <f>IF(F1643="", "", IF(B1643&lt;&gt;"", MATCH(B1643, params!$B$2:$R$2, 0), G1642))</f>
        <v/>
      </c>
      <c r="H1643" s="5" t="str">
        <f t="shared" ca="1" si="53"/>
        <v/>
      </c>
      <c r="M1643" s="2"/>
    </row>
    <row r="1644" spans="2:13" ht="15.6" x14ac:dyDescent="0.3">
      <c r="B1644" s="5" t="str">
        <f>IF(COUNTIF(data_val!$E$3:$E$5, sample_log!$E1644), sample_log!$C1644 &amp; "_" &amp; sample_log!$D1644, "")</f>
        <v/>
      </c>
      <c r="C1644" s="5" t="str">
        <f>IF(B1644="", IF(F1644="", "", C1643), IF(sample_log!E1644="Triennial SASS", "tri_params", "params"))</f>
        <v/>
      </c>
      <c r="D1644" s="5" t="str">
        <f>IF(B1644="", "", C1644 &amp; "!" &amp; CHAR(65+MATCH(B1644, params!$B$2:$R$2, 0)))</f>
        <v/>
      </c>
      <c r="E1644" s="5" t="str">
        <f ca="1">IF(B1644="", "", COUNTA(INDIRECT(D1644 &amp; 3):INDIRECT(D1644 &amp; 24)))</f>
        <v/>
      </c>
      <c r="F1644" s="5" t="str">
        <f t="shared" si="52"/>
        <v/>
      </c>
      <c r="G1644" s="5" t="str">
        <f>IF(F1644="", "", IF(B1644&lt;&gt;"", MATCH(B1644, params!$B$2:$R$2, 0), G1643))</f>
        <v/>
      </c>
      <c r="H1644" s="5" t="str">
        <f t="shared" ca="1" si="53"/>
        <v/>
      </c>
      <c r="M1644" s="2"/>
    </row>
    <row r="1645" spans="2:13" ht="15.6" x14ac:dyDescent="0.3">
      <c r="B1645" s="5" t="str">
        <f>IF(COUNTIF(data_val!$E$3:$E$5, sample_log!$E1645), sample_log!$C1645 &amp; "_" &amp; sample_log!$D1645, "")</f>
        <v/>
      </c>
      <c r="C1645" s="5" t="str">
        <f>IF(B1645="", IF(F1645="", "", C1644), IF(sample_log!E1645="Triennial SASS", "tri_params", "params"))</f>
        <v/>
      </c>
      <c r="D1645" s="5" t="str">
        <f>IF(B1645="", "", C1645 &amp; "!" &amp; CHAR(65+MATCH(B1645, params!$B$2:$R$2, 0)))</f>
        <v/>
      </c>
      <c r="E1645" s="5" t="str">
        <f ca="1">IF(B1645="", "", COUNTA(INDIRECT(D1645 &amp; 3):INDIRECT(D1645 &amp; 24)))</f>
        <v/>
      </c>
      <c r="F1645" s="5" t="str">
        <f t="shared" si="52"/>
        <v/>
      </c>
      <c r="G1645" s="5" t="str">
        <f>IF(F1645="", "", IF(B1645&lt;&gt;"", MATCH(B1645, params!$B$2:$R$2, 0), G1644))</f>
        <v/>
      </c>
      <c r="H1645" s="5" t="str">
        <f t="shared" ca="1" si="53"/>
        <v/>
      </c>
      <c r="M1645" s="2"/>
    </row>
    <row r="1646" spans="2:13" ht="15.6" x14ac:dyDescent="0.3">
      <c r="B1646" s="5" t="str">
        <f>IF(COUNTIF(data_val!$E$3:$E$5, sample_log!$E1646), sample_log!$C1646 &amp; "_" &amp; sample_log!$D1646, "")</f>
        <v/>
      </c>
      <c r="C1646" s="5" t="str">
        <f>IF(B1646="", IF(F1646="", "", C1645), IF(sample_log!E1646="Triennial SASS", "tri_params", "params"))</f>
        <v/>
      </c>
      <c r="D1646" s="5" t="str">
        <f>IF(B1646="", "", C1646 &amp; "!" &amp; CHAR(65+MATCH(B1646, params!$B$2:$R$2, 0)))</f>
        <v/>
      </c>
      <c r="E1646" s="5" t="str">
        <f ca="1">IF(B1646="", "", COUNTA(INDIRECT(D1646 &amp; 3):INDIRECT(D1646 &amp; 24)))</f>
        <v/>
      </c>
      <c r="F1646" s="5" t="str">
        <f t="shared" si="52"/>
        <v/>
      </c>
      <c r="G1646" s="5" t="str">
        <f>IF(F1646="", "", IF(B1646&lt;&gt;"", MATCH(B1646, params!$B$2:$R$2, 0), G1645))</f>
        <v/>
      </c>
      <c r="H1646" s="5" t="str">
        <f t="shared" ca="1" si="53"/>
        <v/>
      </c>
      <c r="M1646" s="2"/>
    </row>
    <row r="1647" spans="2:13" ht="15.6" x14ac:dyDescent="0.3">
      <c r="B1647" s="5" t="str">
        <f>IF(COUNTIF(data_val!$E$3:$E$5, sample_log!$E1647), sample_log!$C1647 &amp; "_" &amp; sample_log!$D1647, "")</f>
        <v/>
      </c>
      <c r="C1647" s="5" t="str">
        <f>IF(B1647="", IF(F1647="", "", C1646), IF(sample_log!E1647="Triennial SASS", "tri_params", "params"))</f>
        <v/>
      </c>
      <c r="D1647" s="5" t="str">
        <f>IF(B1647="", "", C1647 &amp; "!" &amp; CHAR(65+MATCH(B1647, params!$B$2:$R$2, 0)))</f>
        <v/>
      </c>
      <c r="E1647" s="5" t="str">
        <f ca="1">IF(B1647="", "", COUNTA(INDIRECT(D1647 &amp; 3):INDIRECT(D1647 &amp; 24)))</f>
        <v/>
      </c>
      <c r="F1647" s="5" t="str">
        <f t="shared" si="52"/>
        <v/>
      </c>
      <c r="G1647" s="5" t="str">
        <f>IF(F1647="", "", IF(B1647&lt;&gt;"", MATCH(B1647, params!$B$2:$R$2, 0), G1646))</f>
        <v/>
      </c>
      <c r="H1647" s="5" t="str">
        <f t="shared" ca="1" si="53"/>
        <v/>
      </c>
      <c r="M1647" s="2"/>
    </row>
    <row r="1648" spans="2:13" ht="15.6" x14ac:dyDescent="0.3">
      <c r="B1648" s="5" t="str">
        <f>IF(COUNTIF(data_val!$E$3:$E$5, sample_log!$E1648), sample_log!$C1648 &amp; "_" &amp; sample_log!$D1648, "")</f>
        <v/>
      </c>
      <c r="C1648" s="5" t="str">
        <f>IF(B1648="", IF(F1648="", "", C1647), IF(sample_log!E1648="Triennial SASS", "tri_params", "params"))</f>
        <v/>
      </c>
      <c r="D1648" s="5" t="str">
        <f>IF(B1648="", "", C1648 &amp; "!" &amp; CHAR(65+MATCH(B1648, params!$B$2:$R$2, 0)))</f>
        <v/>
      </c>
      <c r="E1648" s="5" t="str">
        <f ca="1">IF(B1648="", "", COUNTA(INDIRECT(D1648 &amp; 3):INDIRECT(D1648 &amp; 24)))</f>
        <v/>
      </c>
      <c r="F1648" s="5" t="str">
        <f t="shared" si="52"/>
        <v/>
      </c>
      <c r="G1648" s="5" t="str">
        <f>IF(F1648="", "", IF(B1648&lt;&gt;"", MATCH(B1648, params!$B$2:$R$2, 0), G1647))</f>
        <v/>
      </c>
      <c r="H1648" s="5" t="str">
        <f t="shared" ca="1" si="53"/>
        <v/>
      </c>
      <c r="M1648" s="2"/>
    </row>
    <row r="1649" spans="2:13" ht="15.6" x14ac:dyDescent="0.3">
      <c r="B1649" s="5" t="str">
        <f>IF(COUNTIF(data_val!$E$3:$E$5, sample_log!$E1649), sample_log!$C1649 &amp; "_" &amp; sample_log!$D1649, "")</f>
        <v/>
      </c>
      <c r="C1649" s="5" t="str">
        <f>IF(B1649="", IF(F1649="", "", C1648), IF(sample_log!E1649="Triennial SASS", "tri_params", "params"))</f>
        <v/>
      </c>
      <c r="D1649" s="5" t="str">
        <f>IF(B1649="", "", C1649 &amp; "!" &amp; CHAR(65+MATCH(B1649, params!$B$2:$R$2, 0)))</f>
        <v/>
      </c>
      <c r="E1649" s="5" t="str">
        <f ca="1">IF(B1649="", "", COUNTA(INDIRECT(D1649 &amp; 3):INDIRECT(D1649 &amp; 24)))</f>
        <v/>
      </c>
      <c r="F1649" s="5" t="str">
        <f t="shared" si="52"/>
        <v/>
      </c>
      <c r="G1649" s="5" t="str">
        <f>IF(F1649="", "", IF(B1649&lt;&gt;"", MATCH(B1649, params!$B$2:$R$2, 0), G1648))</f>
        <v/>
      </c>
      <c r="H1649" s="5" t="str">
        <f t="shared" ca="1" si="53"/>
        <v/>
      </c>
      <c r="M1649" s="2"/>
    </row>
    <row r="1650" spans="2:13" ht="15.6" x14ac:dyDescent="0.3">
      <c r="B1650" s="5" t="str">
        <f>IF(COUNTIF(data_val!$E$3:$E$5, sample_log!$E1650), sample_log!$C1650 &amp; "_" &amp; sample_log!$D1650, "")</f>
        <v/>
      </c>
      <c r="C1650" s="5" t="str">
        <f>IF(B1650="", IF(F1650="", "", C1649), IF(sample_log!E1650="Triennial SASS", "tri_params", "params"))</f>
        <v/>
      </c>
      <c r="D1650" s="5" t="str">
        <f>IF(B1650="", "", C1650 &amp; "!" &amp; CHAR(65+MATCH(B1650, params!$B$2:$R$2, 0)))</f>
        <v/>
      </c>
      <c r="E1650" s="5" t="str">
        <f ca="1">IF(B1650="", "", COUNTA(INDIRECT(D1650 &amp; 3):INDIRECT(D1650 &amp; 24)))</f>
        <v/>
      </c>
      <c r="F1650" s="5" t="str">
        <f t="shared" si="52"/>
        <v/>
      </c>
      <c r="G1650" s="5" t="str">
        <f>IF(F1650="", "", IF(B1650&lt;&gt;"", MATCH(B1650, params!$B$2:$R$2, 0), G1649))</f>
        <v/>
      </c>
      <c r="H1650" s="5" t="str">
        <f t="shared" ca="1" si="53"/>
        <v/>
      </c>
      <c r="M1650" s="2"/>
    </row>
    <row r="1651" spans="2:13" ht="15.6" x14ac:dyDescent="0.3">
      <c r="B1651" s="5" t="str">
        <f>IF(COUNTIF(data_val!$E$3:$E$5, sample_log!$E1651), sample_log!$C1651 &amp; "_" &amp; sample_log!$D1651, "")</f>
        <v/>
      </c>
      <c r="C1651" s="5" t="str">
        <f>IF(B1651="", IF(F1651="", "", C1650), IF(sample_log!E1651="Triennial SASS", "tri_params", "params"))</f>
        <v/>
      </c>
      <c r="D1651" s="5" t="str">
        <f>IF(B1651="", "", C1651 &amp; "!" &amp; CHAR(65+MATCH(B1651, params!$B$2:$R$2, 0)))</f>
        <v/>
      </c>
      <c r="E1651" s="5" t="str">
        <f ca="1">IF(B1651="", "", COUNTA(INDIRECT(D1651 &amp; 3):INDIRECT(D1651 &amp; 24)))</f>
        <v/>
      </c>
      <c r="F1651" s="5" t="str">
        <f t="shared" si="52"/>
        <v/>
      </c>
      <c r="G1651" s="5" t="str">
        <f>IF(F1651="", "", IF(B1651&lt;&gt;"", MATCH(B1651, params!$B$2:$R$2, 0), G1650))</f>
        <v/>
      </c>
      <c r="H1651" s="5" t="str">
        <f t="shared" ca="1" si="53"/>
        <v/>
      </c>
      <c r="M1651" s="2"/>
    </row>
    <row r="1652" spans="2:13" ht="15.6" x14ac:dyDescent="0.3">
      <c r="B1652" s="5" t="str">
        <f>IF(COUNTIF(data_val!$E$3:$E$5, sample_log!$E1652), sample_log!$C1652 &amp; "_" &amp; sample_log!$D1652, "")</f>
        <v/>
      </c>
      <c r="C1652" s="5" t="str">
        <f>IF(B1652="", IF(F1652="", "", C1651), IF(sample_log!E1652="Triennial SASS", "tri_params", "params"))</f>
        <v/>
      </c>
      <c r="D1652" s="5" t="str">
        <f>IF(B1652="", "", C1652 &amp; "!" &amp; CHAR(65+MATCH(B1652, params!$B$2:$R$2, 0)))</f>
        <v/>
      </c>
      <c r="E1652" s="5" t="str">
        <f ca="1">IF(B1652="", "", COUNTA(INDIRECT(D1652 &amp; 3):INDIRECT(D1652 &amp; 24)))</f>
        <v/>
      </c>
      <c r="F1652" s="5" t="str">
        <f t="shared" si="52"/>
        <v/>
      </c>
      <c r="G1652" s="5" t="str">
        <f>IF(F1652="", "", IF(B1652&lt;&gt;"", MATCH(B1652, params!$B$2:$R$2, 0), G1651))</f>
        <v/>
      </c>
      <c r="H1652" s="5" t="str">
        <f t="shared" ca="1" si="53"/>
        <v/>
      </c>
      <c r="M1652" s="2"/>
    </row>
    <row r="1653" spans="2:13" ht="15.6" x14ac:dyDescent="0.3">
      <c r="B1653" s="5" t="str">
        <f>IF(COUNTIF(data_val!$E$3:$E$5, sample_log!$E1653), sample_log!$C1653 &amp; "_" &amp; sample_log!$D1653, "")</f>
        <v/>
      </c>
      <c r="C1653" s="5" t="str">
        <f>IF(B1653="", IF(F1653="", "", C1652), IF(sample_log!E1653="Triennial SASS", "tri_params", "params"))</f>
        <v/>
      </c>
      <c r="D1653" s="5" t="str">
        <f>IF(B1653="", "", C1653 &amp; "!" &amp; CHAR(65+MATCH(B1653, params!$B$2:$R$2, 0)))</f>
        <v/>
      </c>
      <c r="E1653" s="5" t="str">
        <f ca="1">IF(B1653="", "", COUNTA(INDIRECT(D1653 &amp; 3):INDIRECT(D1653 &amp; 24)))</f>
        <v/>
      </c>
      <c r="F1653" s="5" t="str">
        <f t="shared" si="52"/>
        <v/>
      </c>
      <c r="G1653" s="5" t="str">
        <f>IF(F1653="", "", IF(B1653&lt;&gt;"", MATCH(B1653, params!$B$2:$R$2, 0), G1652))</f>
        <v/>
      </c>
      <c r="H1653" s="5" t="str">
        <f t="shared" ca="1" si="53"/>
        <v/>
      </c>
      <c r="M1653" s="2"/>
    </row>
    <row r="1654" spans="2:13" ht="15.6" x14ac:dyDescent="0.3">
      <c r="B1654" s="5" t="str">
        <f>IF(COUNTIF(data_val!$E$3:$E$5, sample_log!$E1654), sample_log!$C1654 &amp; "_" &amp; sample_log!$D1654, "")</f>
        <v/>
      </c>
      <c r="C1654" s="5" t="str">
        <f>IF(B1654="", IF(F1654="", "", C1653), IF(sample_log!E1654="Triennial SASS", "tri_params", "params"))</f>
        <v/>
      </c>
      <c r="D1654" s="5" t="str">
        <f>IF(B1654="", "", C1654 &amp; "!" &amp; CHAR(65+MATCH(B1654, params!$B$2:$R$2, 0)))</f>
        <v/>
      </c>
      <c r="E1654" s="5" t="str">
        <f ca="1">IF(B1654="", "", COUNTA(INDIRECT(D1654 &amp; 3):INDIRECT(D1654 &amp; 24)))</f>
        <v/>
      </c>
      <c r="F1654" s="5" t="str">
        <f t="shared" si="52"/>
        <v/>
      </c>
      <c r="G1654" s="5" t="str">
        <f>IF(F1654="", "", IF(B1654&lt;&gt;"", MATCH(B1654, params!$B$2:$R$2, 0), G1653))</f>
        <v/>
      </c>
      <c r="H1654" s="5" t="str">
        <f t="shared" ca="1" si="53"/>
        <v/>
      </c>
      <c r="M1654" s="2"/>
    </row>
    <row r="1655" spans="2:13" ht="15.6" x14ac:dyDescent="0.3">
      <c r="B1655" s="5" t="str">
        <f>IF(COUNTIF(data_val!$E$3:$E$5, sample_log!$E1655), sample_log!$C1655 &amp; "_" &amp; sample_log!$D1655, "")</f>
        <v/>
      </c>
      <c r="C1655" s="5" t="str">
        <f>IF(B1655="", IF(F1655="", "", C1654), IF(sample_log!E1655="Triennial SASS", "tri_params", "params"))</f>
        <v/>
      </c>
      <c r="D1655" s="5" t="str">
        <f>IF(B1655="", "", C1655 &amp; "!" &amp; CHAR(65+MATCH(B1655, params!$B$2:$R$2, 0)))</f>
        <v/>
      </c>
      <c r="E1655" s="5" t="str">
        <f ca="1">IF(B1655="", "", COUNTA(INDIRECT(D1655 &amp; 3):INDIRECT(D1655 &amp; 24)))</f>
        <v/>
      </c>
      <c r="F1655" s="5" t="str">
        <f t="shared" si="52"/>
        <v/>
      </c>
      <c r="G1655" s="5" t="str">
        <f>IF(F1655="", "", IF(B1655&lt;&gt;"", MATCH(B1655, params!$B$2:$R$2, 0), G1654))</f>
        <v/>
      </c>
      <c r="H1655" s="5" t="str">
        <f t="shared" ca="1" si="53"/>
        <v/>
      </c>
      <c r="M1655" s="2"/>
    </row>
    <row r="1656" spans="2:13" ht="15.6" x14ac:dyDescent="0.3">
      <c r="B1656" s="5" t="str">
        <f>IF(COUNTIF(data_val!$E$3:$E$5, sample_log!$E1656), sample_log!$C1656 &amp; "_" &amp; sample_log!$D1656, "")</f>
        <v/>
      </c>
      <c r="C1656" s="5" t="str">
        <f>IF(B1656="", IF(F1656="", "", C1655), IF(sample_log!E1656="Triennial SASS", "tri_params", "params"))</f>
        <v/>
      </c>
      <c r="D1656" s="5" t="str">
        <f>IF(B1656="", "", C1656 &amp; "!" &amp; CHAR(65+MATCH(B1656, params!$B$2:$R$2, 0)))</f>
        <v/>
      </c>
      <c r="E1656" s="5" t="str">
        <f ca="1">IF(B1656="", "", COUNTA(INDIRECT(D1656 &amp; 3):INDIRECT(D1656 &amp; 24)))</f>
        <v/>
      </c>
      <c r="F1656" s="5" t="str">
        <f t="shared" si="52"/>
        <v/>
      </c>
      <c r="G1656" s="5" t="str">
        <f>IF(F1656="", "", IF(B1656&lt;&gt;"", MATCH(B1656, params!$B$2:$R$2, 0), G1655))</f>
        <v/>
      </c>
      <c r="H1656" s="5" t="str">
        <f t="shared" ca="1" si="53"/>
        <v/>
      </c>
      <c r="M1656" s="2"/>
    </row>
    <row r="1657" spans="2:13" ht="15.6" x14ac:dyDescent="0.3">
      <c r="B1657" s="5" t="str">
        <f>IF(COUNTIF(data_val!$E$3:$E$5, sample_log!$E1657), sample_log!$C1657 &amp; "_" &amp; sample_log!$D1657, "")</f>
        <v/>
      </c>
      <c r="C1657" s="5" t="str">
        <f>IF(B1657="", IF(F1657="", "", C1656), IF(sample_log!E1657="Triennial SASS", "tri_params", "params"))</f>
        <v/>
      </c>
      <c r="D1657" s="5" t="str">
        <f>IF(B1657="", "", C1657 &amp; "!" &amp; CHAR(65+MATCH(B1657, params!$B$2:$R$2, 0)))</f>
        <v/>
      </c>
      <c r="E1657" s="5" t="str">
        <f ca="1">IF(B1657="", "", COUNTA(INDIRECT(D1657 &amp; 3):INDIRECT(D1657 &amp; 24)))</f>
        <v/>
      </c>
      <c r="F1657" s="5" t="str">
        <f t="shared" si="52"/>
        <v/>
      </c>
      <c r="G1657" s="5" t="str">
        <f>IF(F1657="", "", IF(B1657&lt;&gt;"", MATCH(B1657, params!$B$2:$R$2, 0), G1656))</f>
        <v/>
      </c>
      <c r="H1657" s="5" t="str">
        <f t="shared" ca="1" si="53"/>
        <v/>
      </c>
      <c r="M1657" s="2"/>
    </row>
    <row r="1658" spans="2:13" ht="15.6" x14ac:dyDescent="0.3">
      <c r="B1658" s="5" t="str">
        <f>IF(COUNTIF(data_val!$E$3:$E$5, sample_log!$E1658), sample_log!$C1658 &amp; "_" &amp; sample_log!$D1658, "")</f>
        <v/>
      </c>
      <c r="C1658" s="5" t="str">
        <f>IF(B1658="", IF(F1658="", "", C1657), IF(sample_log!E1658="Triennial SASS", "tri_params", "params"))</f>
        <v/>
      </c>
      <c r="D1658" s="5" t="str">
        <f>IF(B1658="", "", C1658 &amp; "!" &amp; CHAR(65+MATCH(B1658, params!$B$2:$R$2, 0)))</f>
        <v/>
      </c>
      <c r="E1658" s="5" t="str">
        <f ca="1">IF(B1658="", "", COUNTA(INDIRECT(D1658 &amp; 3):INDIRECT(D1658 &amp; 24)))</f>
        <v/>
      </c>
      <c r="F1658" s="5" t="str">
        <f t="shared" si="52"/>
        <v/>
      </c>
      <c r="G1658" s="5" t="str">
        <f>IF(F1658="", "", IF(B1658&lt;&gt;"", MATCH(B1658, params!$B$2:$R$2, 0), G1657))</f>
        <v/>
      </c>
      <c r="H1658" s="5" t="str">
        <f t="shared" ca="1" si="53"/>
        <v/>
      </c>
      <c r="M1658" s="2"/>
    </row>
    <row r="1659" spans="2:13" ht="15.6" x14ac:dyDescent="0.3">
      <c r="B1659" s="5" t="str">
        <f>IF(COUNTIF(data_val!$E$3:$E$5, sample_log!$E1659), sample_log!$C1659 &amp; "_" &amp; sample_log!$D1659, "")</f>
        <v/>
      </c>
      <c r="C1659" s="5" t="str">
        <f>IF(B1659="", IF(F1659="", "", C1658), IF(sample_log!E1659="Triennial SASS", "tri_params", "params"))</f>
        <v/>
      </c>
      <c r="D1659" s="5" t="str">
        <f>IF(B1659="", "", C1659 &amp; "!" &amp; CHAR(65+MATCH(B1659, params!$B$2:$R$2, 0)))</f>
        <v/>
      </c>
      <c r="E1659" s="5" t="str">
        <f ca="1">IF(B1659="", "", COUNTA(INDIRECT(D1659 &amp; 3):INDIRECT(D1659 &amp; 24)))</f>
        <v/>
      </c>
      <c r="F1659" s="5" t="str">
        <f t="shared" si="52"/>
        <v/>
      </c>
      <c r="G1659" s="5" t="str">
        <f>IF(F1659="", "", IF(B1659&lt;&gt;"", MATCH(B1659, params!$B$2:$R$2, 0), G1658))</f>
        <v/>
      </c>
      <c r="H1659" s="5" t="str">
        <f t="shared" ca="1" si="53"/>
        <v/>
      </c>
      <c r="M1659" s="2"/>
    </row>
    <row r="1660" spans="2:13" ht="15.6" x14ac:dyDescent="0.3">
      <c r="B1660" s="5" t="str">
        <f>IF(COUNTIF(data_val!$E$3:$E$5, sample_log!$E1660), sample_log!$C1660 &amp; "_" &amp; sample_log!$D1660, "")</f>
        <v/>
      </c>
      <c r="C1660" s="5" t="str">
        <f>IF(B1660="", IF(F1660="", "", C1659), IF(sample_log!E1660="Triennial SASS", "tri_params", "params"))</f>
        <v/>
      </c>
      <c r="D1660" s="5" t="str">
        <f>IF(B1660="", "", C1660 &amp; "!" &amp; CHAR(65+MATCH(B1660, params!$B$2:$R$2, 0)))</f>
        <v/>
      </c>
      <c r="E1660" s="5" t="str">
        <f ca="1">IF(B1660="", "", COUNTA(INDIRECT(D1660 &amp; 3):INDIRECT(D1660 &amp; 24)))</f>
        <v/>
      </c>
      <c r="F1660" s="5" t="str">
        <f t="shared" si="52"/>
        <v/>
      </c>
      <c r="G1660" s="5" t="str">
        <f>IF(F1660="", "", IF(B1660&lt;&gt;"", MATCH(B1660, params!$B$2:$R$2, 0), G1659))</f>
        <v/>
      </c>
      <c r="H1660" s="5" t="str">
        <f t="shared" ca="1" si="53"/>
        <v/>
      </c>
      <c r="M1660" s="2"/>
    </row>
    <row r="1661" spans="2:13" ht="15.6" x14ac:dyDescent="0.3">
      <c r="B1661" s="5" t="str">
        <f>IF(COUNTIF(data_val!$E$3:$E$5, sample_log!$E1661), sample_log!$C1661 &amp; "_" &amp; sample_log!$D1661, "")</f>
        <v/>
      </c>
      <c r="C1661" s="5" t="str">
        <f>IF(B1661="", IF(F1661="", "", C1660), IF(sample_log!E1661="Triennial SASS", "tri_params", "params"))</f>
        <v/>
      </c>
      <c r="D1661" s="5" t="str">
        <f>IF(B1661="", "", C1661 &amp; "!" &amp; CHAR(65+MATCH(B1661, params!$B$2:$R$2, 0)))</f>
        <v/>
      </c>
      <c r="E1661" s="5" t="str">
        <f ca="1">IF(B1661="", "", COUNTA(INDIRECT(D1661 &amp; 3):INDIRECT(D1661 &amp; 24)))</f>
        <v/>
      </c>
      <c r="F1661" s="5" t="str">
        <f t="shared" si="52"/>
        <v/>
      </c>
      <c r="G1661" s="5" t="str">
        <f>IF(F1661="", "", IF(B1661&lt;&gt;"", MATCH(B1661, params!$B$2:$R$2, 0), G1660))</f>
        <v/>
      </c>
      <c r="H1661" s="5" t="str">
        <f t="shared" ca="1" si="53"/>
        <v/>
      </c>
      <c r="M1661" s="2"/>
    </row>
    <row r="1662" spans="2:13" ht="15.6" x14ac:dyDescent="0.3">
      <c r="B1662" s="5" t="str">
        <f>IF(COUNTIF(data_val!$E$3:$E$5, sample_log!$E1662), sample_log!$C1662 &amp; "_" &amp; sample_log!$D1662, "")</f>
        <v/>
      </c>
      <c r="C1662" s="5" t="str">
        <f>IF(B1662="", IF(F1662="", "", C1661), IF(sample_log!E1662="Triennial SASS", "tri_params", "params"))</f>
        <v/>
      </c>
      <c r="D1662" s="5" t="str">
        <f>IF(B1662="", "", C1662 &amp; "!" &amp; CHAR(65+MATCH(B1662, params!$B$2:$R$2, 0)))</f>
        <v/>
      </c>
      <c r="E1662" s="5" t="str">
        <f ca="1">IF(B1662="", "", COUNTA(INDIRECT(D1662 &amp; 3):INDIRECT(D1662 &amp; 24)))</f>
        <v/>
      </c>
      <c r="F1662" s="5" t="str">
        <f t="shared" si="52"/>
        <v/>
      </c>
      <c r="G1662" s="5" t="str">
        <f>IF(F1662="", "", IF(B1662&lt;&gt;"", MATCH(B1662, params!$B$2:$R$2, 0), G1661))</f>
        <v/>
      </c>
      <c r="H1662" s="5" t="str">
        <f t="shared" ca="1" si="53"/>
        <v/>
      </c>
      <c r="M1662" s="2"/>
    </row>
    <row r="1663" spans="2:13" ht="15.6" x14ac:dyDescent="0.3">
      <c r="B1663" s="5" t="str">
        <f>IF(COUNTIF(data_val!$E$3:$E$5, sample_log!$E1663), sample_log!$C1663 &amp; "_" &amp; sample_log!$D1663, "")</f>
        <v/>
      </c>
      <c r="C1663" s="5" t="str">
        <f>IF(B1663="", IF(F1663="", "", C1662), IF(sample_log!E1663="Triennial SASS", "tri_params", "params"))</f>
        <v/>
      </c>
      <c r="D1663" s="5" t="str">
        <f>IF(B1663="", "", C1663 &amp; "!" &amp; CHAR(65+MATCH(B1663, params!$B$2:$R$2, 0)))</f>
        <v/>
      </c>
      <c r="E1663" s="5" t="str">
        <f ca="1">IF(B1663="", "", COUNTA(INDIRECT(D1663 &amp; 3):INDIRECT(D1663 &amp; 24)))</f>
        <v/>
      </c>
      <c r="F1663" s="5" t="str">
        <f t="shared" si="52"/>
        <v/>
      </c>
      <c r="G1663" s="5" t="str">
        <f>IF(F1663="", "", IF(B1663&lt;&gt;"", MATCH(B1663, params!$B$2:$R$2, 0), G1662))</f>
        <v/>
      </c>
      <c r="H1663" s="5" t="str">
        <f t="shared" ca="1" si="53"/>
        <v/>
      </c>
      <c r="M1663" s="2"/>
    </row>
    <row r="1664" spans="2:13" ht="15.6" x14ac:dyDescent="0.3">
      <c r="B1664" s="5" t="str">
        <f>IF(COUNTIF(data_val!$E$3:$E$5, sample_log!$E1664), sample_log!$C1664 &amp; "_" &amp; sample_log!$D1664, "")</f>
        <v/>
      </c>
      <c r="C1664" s="5" t="str">
        <f>IF(B1664="", IF(F1664="", "", C1663), IF(sample_log!E1664="Triennial SASS", "tri_params", "params"))</f>
        <v/>
      </c>
      <c r="D1664" s="5" t="str">
        <f>IF(B1664="", "", C1664 &amp; "!" &amp; CHAR(65+MATCH(B1664, params!$B$2:$R$2, 0)))</f>
        <v/>
      </c>
      <c r="E1664" s="5" t="str">
        <f ca="1">IF(B1664="", "", COUNTA(INDIRECT(D1664 &amp; 3):INDIRECT(D1664 &amp; 24)))</f>
        <v/>
      </c>
      <c r="F1664" s="5" t="str">
        <f t="shared" si="52"/>
        <v/>
      </c>
      <c r="G1664" s="5" t="str">
        <f>IF(F1664="", "", IF(B1664&lt;&gt;"", MATCH(B1664, params!$B$2:$R$2, 0), G1663))</f>
        <v/>
      </c>
      <c r="H1664" s="5" t="str">
        <f t="shared" ca="1" si="53"/>
        <v/>
      </c>
      <c r="M1664" s="2"/>
    </row>
    <row r="1665" spans="2:13" ht="15.6" x14ac:dyDescent="0.3">
      <c r="B1665" s="5" t="str">
        <f>IF(COUNTIF(data_val!$E$3:$E$5, sample_log!$E1665), sample_log!$C1665 &amp; "_" &amp; sample_log!$D1665, "")</f>
        <v/>
      </c>
      <c r="C1665" s="5" t="str">
        <f>IF(B1665="", IF(F1665="", "", C1664), IF(sample_log!E1665="Triennial SASS", "tri_params", "params"))</f>
        <v/>
      </c>
      <c r="D1665" s="5" t="str">
        <f>IF(B1665="", "", C1665 &amp; "!" &amp; CHAR(65+MATCH(B1665, params!$B$2:$R$2, 0)))</f>
        <v/>
      </c>
      <c r="E1665" s="5" t="str">
        <f ca="1">IF(B1665="", "", COUNTA(INDIRECT(D1665 &amp; 3):INDIRECT(D1665 &amp; 24)))</f>
        <v/>
      </c>
      <c r="F1665" s="5" t="str">
        <f t="shared" si="52"/>
        <v/>
      </c>
      <c r="G1665" s="5" t="str">
        <f>IF(F1665="", "", IF(B1665&lt;&gt;"", MATCH(B1665, params!$B$2:$R$2, 0), G1664))</f>
        <v/>
      </c>
      <c r="H1665" s="5" t="str">
        <f t="shared" ca="1" si="53"/>
        <v/>
      </c>
      <c r="M1665" s="2"/>
    </row>
    <row r="1666" spans="2:13" ht="15.6" x14ac:dyDescent="0.3">
      <c r="B1666" s="5" t="str">
        <f>IF(COUNTIF(data_val!$E$3:$E$5, sample_log!$E1666), sample_log!$C1666 &amp; "_" &amp; sample_log!$D1666, "")</f>
        <v/>
      </c>
      <c r="C1666" s="5" t="str">
        <f>IF(B1666="", IF(F1666="", "", C1665), IF(sample_log!E1666="Triennial SASS", "tri_params", "params"))</f>
        <v/>
      </c>
      <c r="D1666" s="5" t="str">
        <f>IF(B1666="", "", C1666 &amp; "!" &amp; CHAR(65+MATCH(B1666, params!$B$2:$R$2, 0)))</f>
        <v/>
      </c>
      <c r="E1666" s="5" t="str">
        <f ca="1">IF(B1666="", "", COUNTA(INDIRECT(D1666 &amp; 3):INDIRECT(D1666 &amp; 24)))</f>
        <v/>
      </c>
      <c r="F1666" s="5" t="str">
        <f t="shared" si="52"/>
        <v/>
      </c>
      <c r="G1666" s="5" t="str">
        <f>IF(F1666="", "", IF(B1666&lt;&gt;"", MATCH(B1666, params!$B$2:$R$2, 0), G1665))</f>
        <v/>
      </c>
      <c r="H1666" s="5" t="str">
        <f t="shared" ca="1" si="53"/>
        <v/>
      </c>
      <c r="M1666" s="2"/>
    </row>
    <row r="1667" spans="2:13" ht="15.6" x14ac:dyDescent="0.3">
      <c r="B1667" s="5" t="str">
        <f>IF(COUNTIF(data_val!$E$3:$E$5, sample_log!$E1667), sample_log!$C1667 &amp; "_" &amp; sample_log!$D1667, "")</f>
        <v/>
      </c>
      <c r="C1667" s="5" t="str">
        <f>IF(B1667="", IF(F1667="", "", C1666), IF(sample_log!E1667="Triennial SASS", "tri_params", "params"))</f>
        <v/>
      </c>
      <c r="D1667" s="5" t="str">
        <f>IF(B1667="", "", C1667 &amp; "!" &amp; CHAR(65+MATCH(B1667, params!$B$2:$R$2, 0)))</f>
        <v/>
      </c>
      <c r="E1667" s="5" t="str">
        <f ca="1">IF(B1667="", "", COUNTA(INDIRECT(D1667 &amp; 3):INDIRECT(D1667 &amp; 24)))</f>
        <v/>
      </c>
      <c r="F1667" s="5" t="str">
        <f t="shared" ref="F1667:F1730" si="54">IF(B1667="", IF(NOT(ISNUMBER(F1666)), "", IF(F1666-1&gt;0, F1666-1, "")), E1667)</f>
        <v/>
      </c>
      <c r="G1667" s="5" t="str">
        <f>IF(F1667="", "", IF(B1667&lt;&gt;"", MATCH(B1667, params!$B$2:$R$2, 0), G1666))</f>
        <v/>
      </c>
      <c r="H1667" s="5" t="str">
        <f t="shared" ca="1" si="53"/>
        <v/>
      </c>
      <c r="M1667" s="2"/>
    </row>
    <row r="1668" spans="2:13" ht="15.6" x14ac:dyDescent="0.3">
      <c r="B1668" s="5" t="str">
        <f>IF(COUNTIF(data_val!$E$3:$E$5, sample_log!$E1668), sample_log!$C1668 &amp; "_" &amp; sample_log!$D1668, "")</f>
        <v/>
      </c>
      <c r="C1668" s="5" t="str">
        <f>IF(B1668="", IF(F1668="", "", C1667), IF(sample_log!E1668="Triennial SASS", "tri_params", "params"))</f>
        <v/>
      </c>
      <c r="D1668" s="5" t="str">
        <f>IF(B1668="", "", C1668 &amp; "!" &amp; CHAR(65+MATCH(B1668, params!$B$2:$R$2, 0)))</f>
        <v/>
      </c>
      <c r="E1668" s="5" t="str">
        <f ca="1">IF(B1668="", "", COUNTA(INDIRECT(D1668 &amp; 3):INDIRECT(D1668 &amp; 24)))</f>
        <v/>
      </c>
      <c r="F1668" s="5" t="str">
        <f t="shared" si="54"/>
        <v/>
      </c>
      <c r="G1668" s="5" t="str">
        <f>IF(F1668="", "", IF(B1668&lt;&gt;"", MATCH(B1668, params!$B$2:$R$2, 0), G1667))</f>
        <v/>
      </c>
      <c r="H1668" s="5" t="str">
        <f t="shared" ca="1" si="53"/>
        <v/>
      </c>
      <c r="M1668" s="2"/>
    </row>
    <row r="1669" spans="2:13" ht="15.6" x14ac:dyDescent="0.3">
      <c r="B1669" s="5" t="str">
        <f>IF(COUNTIF(data_val!$E$3:$E$5, sample_log!$E1669), sample_log!$C1669 &amp; "_" &amp; sample_log!$D1669, "")</f>
        <v/>
      </c>
      <c r="C1669" s="5" t="str">
        <f>IF(B1669="", IF(F1669="", "", C1668), IF(sample_log!E1669="Triennial SASS", "tri_params", "params"))</f>
        <v/>
      </c>
      <c r="D1669" s="5" t="str">
        <f>IF(B1669="", "", C1669 &amp; "!" &amp; CHAR(65+MATCH(B1669, params!$B$2:$R$2, 0)))</f>
        <v/>
      </c>
      <c r="E1669" s="5" t="str">
        <f ca="1">IF(B1669="", "", COUNTA(INDIRECT(D1669 &amp; 3):INDIRECT(D1669 &amp; 24)))</f>
        <v/>
      </c>
      <c r="F1669" s="5" t="str">
        <f t="shared" si="54"/>
        <v/>
      </c>
      <c r="G1669" s="5" t="str">
        <f>IF(F1669="", "", IF(B1669&lt;&gt;"", MATCH(B1669, params!$B$2:$R$2, 0), G1668))</f>
        <v/>
      </c>
      <c r="H1669" s="5" t="str">
        <f t="shared" ca="1" si="53"/>
        <v/>
      </c>
      <c r="M1669" s="2"/>
    </row>
    <row r="1670" spans="2:13" ht="15.6" x14ac:dyDescent="0.3">
      <c r="B1670" s="5" t="str">
        <f>IF(COUNTIF(data_val!$E$3:$E$5, sample_log!$E1670), sample_log!$C1670 &amp; "_" &amp; sample_log!$D1670, "")</f>
        <v/>
      </c>
      <c r="C1670" s="5" t="str">
        <f>IF(B1670="", IF(F1670="", "", C1669), IF(sample_log!E1670="Triennial SASS", "tri_params", "params"))</f>
        <v/>
      </c>
      <c r="D1670" s="5" t="str">
        <f>IF(B1670="", "", C1670 &amp; "!" &amp; CHAR(65+MATCH(B1670, params!$B$2:$R$2, 0)))</f>
        <v/>
      </c>
      <c r="E1670" s="5" t="str">
        <f ca="1">IF(B1670="", "", COUNTA(INDIRECT(D1670 &amp; 3):INDIRECT(D1670 &amp; 24)))</f>
        <v/>
      </c>
      <c r="F1670" s="5" t="str">
        <f t="shared" si="54"/>
        <v/>
      </c>
      <c r="G1670" s="5" t="str">
        <f>IF(F1670="", "", IF(B1670&lt;&gt;"", MATCH(B1670, params!$B$2:$R$2, 0), G1669))</f>
        <v/>
      </c>
      <c r="H1670" s="5" t="str">
        <f t="shared" ca="1" si="53"/>
        <v/>
      </c>
      <c r="M1670" s="2"/>
    </row>
    <row r="1671" spans="2:13" ht="15.6" x14ac:dyDescent="0.3">
      <c r="B1671" s="5" t="str">
        <f>IF(COUNTIF(data_val!$E$3:$E$5, sample_log!$E1671), sample_log!$C1671 &amp; "_" &amp; sample_log!$D1671, "")</f>
        <v/>
      </c>
      <c r="C1671" s="5" t="str">
        <f>IF(B1671="", IF(F1671="", "", C1670), IF(sample_log!E1671="Triennial SASS", "tri_params", "params"))</f>
        <v/>
      </c>
      <c r="D1671" s="5" t="str">
        <f>IF(B1671="", "", C1671 &amp; "!" &amp; CHAR(65+MATCH(B1671, params!$B$2:$R$2, 0)))</f>
        <v/>
      </c>
      <c r="E1671" s="5" t="str">
        <f ca="1">IF(B1671="", "", COUNTA(INDIRECT(D1671 &amp; 3):INDIRECT(D1671 &amp; 24)))</f>
        <v/>
      </c>
      <c r="F1671" s="5" t="str">
        <f t="shared" si="54"/>
        <v/>
      </c>
      <c r="G1671" s="5" t="str">
        <f>IF(F1671="", "", IF(B1671&lt;&gt;"", MATCH(B1671, params!$B$2:$R$2, 0), G1670))</f>
        <v/>
      </c>
      <c r="H1671" s="5" t="str">
        <f t="shared" ca="1" si="53"/>
        <v/>
      </c>
      <c r="M1671" s="2"/>
    </row>
    <row r="1672" spans="2:13" ht="15.6" x14ac:dyDescent="0.3">
      <c r="B1672" s="5" t="str">
        <f>IF(COUNTIF(data_val!$E$3:$E$5, sample_log!$E1672), sample_log!$C1672 &amp; "_" &amp; sample_log!$D1672, "")</f>
        <v/>
      </c>
      <c r="C1672" s="5" t="str">
        <f>IF(B1672="", IF(F1672="", "", C1671), IF(sample_log!E1672="Triennial SASS", "tri_params", "params"))</f>
        <v/>
      </c>
      <c r="D1672" s="5" t="str">
        <f>IF(B1672="", "", C1672 &amp; "!" &amp; CHAR(65+MATCH(B1672, params!$B$2:$R$2, 0)))</f>
        <v/>
      </c>
      <c r="E1672" s="5" t="str">
        <f ca="1">IF(B1672="", "", COUNTA(INDIRECT(D1672 &amp; 3):INDIRECT(D1672 &amp; 24)))</f>
        <v/>
      </c>
      <c r="F1672" s="5" t="str">
        <f t="shared" si="54"/>
        <v/>
      </c>
      <c r="G1672" s="5" t="str">
        <f>IF(F1672="", "", IF(B1672&lt;&gt;"", MATCH(B1672, params!$B$2:$R$2, 0), G1671))</f>
        <v/>
      </c>
      <c r="H1672" s="5" t="str">
        <f t="shared" ca="1" si="53"/>
        <v/>
      </c>
      <c r="M1672" s="2"/>
    </row>
    <row r="1673" spans="2:13" ht="15.6" x14ac:dyDescent="0.3">
      <c r="B1673" s="5" t="str">
        <f>IF(COUNTIF(data_val!$E$3:$E$5, sample_log!$E1673), sample_log!$C1673 &amp; "_" &amp; sample_log!$D1673, "")</f>
        <v/>
      </c>
      <c r="C1673" s="5" t="str">
        <f>IF(B1673="", IF(F1673="", "", C1672), IF(sample_log!E1673="Triennial SASS", "tri_params", "params"))</f>
        <v/>
      </c>
      <c r="D1673" s="5" t="str">
        <f>IF(B1673="", "", C1673 &amp; "!" &amp; CHAR(65+MATCH(B1673, params!$B$2:$R$2, 0)))</f>
        <v/>
      </c>
      <c r="E1673" s="5" t="str">
        <f ca="1">IF(B1673="", "", COUNTA(INDIRECT(D1673 &amp; 3):INDIRECT(D1673 &amp; 24)))</f>
        <v/>
      </c>
      <c r="F1673" s="5" t="str">
        <f t="shared" si="54"/>
        <v/>
      </c>
      <c r="G1673" s="5" t="str">
        <f>IF(F1673="", "", IF(B1673&lt;&gt;"", MATCH(B1673, params!$B$2:$R$2, 0), G1672))</f>
        <v/>
      </c>
      <c r="H1673" s="5" t="str">
        <f t="shared" ca="1" si="53"/>
        <v/>
      </c>
      <c r="M1673" s="2"/>
    </row>
    <row r="1674" spans="2:13" ht="15.6" x14ac:dyDescent="0.3">
      <c r="B1674" s="5" t="str">
        <f>IF(COUNTIF(data_val!$E$3:$E$5, sample_log!$E1674), sample_log!$C1674 &amp; "_" &amp; sample_log!$D1674, "")</f>
        <v/>
      </c>
      <c r="C1674" s="5" t="str">
        <f>IF(B1674="", IF(F1674="", "", C1673), IF(sample_log!E1674="Triennial SASS", "tri_params", "params"))</f>
        <v/>
      </c>
      <c r="D1674" s="5" t="str">
        <f>IF(B1674="", "", C1674 &amp; "!" &amp; CHAR(65+MATCH(B1674, params!$B$2:$R$2, 0)))</f>
        <v/>
      </c>
      <c r="E1674" s="5" t="str">
        <f ca="1">IF(B1674="", "", COUNTA(INDIRECT(D1674 &amp; 3):INDIRECT(D1674 &amp; 24)))</f>
        <v/>
      </c>
      <c r="F1674" s="5" t="str">
        <f t="shared" si="54"/>
        <v/>
      </c>
      <c r="G1674" s="5" t="str">
        <f>IF(F1674="", "", IF(B1674&lt;&gt;"", MATCH(B1674, params!$B$2:$R$2, 0), G1673))</f>
        <v/>
      </c>
      <c r="H1674" s="5" t="str">
        <f t="shared" ca="1" si="53"/>
        <v/>
      </c>
      <c r="M1674" s="2"/>
    </row>
    <row r="1675" spans="2:13" ht="15.6" x14ac:dyDescent="0.3">
      <c r="B1675" s="5" t="str">
        <f>IF(COUNTIF(data_val!$E$3:$E$5, sample_log!$E1675), sample_log!$C1675 &amp; "_" &amp; sample_log!$D1675, "")</f>
        <v/>
      </c>
      <c r="C1675" s="5" t="str">
        <f>IF(B1675="", IF(F1675="", "", C1674), IF(sample_log!E1675="Triennial SASS", "tri_params", "params"))</f>
        <v/>
      </c>
      <c r="D1675" s="5" t="str">
        <f>IF(B1675="", "", C1675 &amp; "!" &amp; CHAR(65+MATCH(B1675, params!$B$2:$R$2, 0)))</f>
        <v/>
      </c>
      <c r="E1675" s="5" t="str">
        <f ca="1">IF(B1675="", "", COUNTA(INDIRECT(D1675 &amp; 3):INDIRECT(D1675 &amp; 24)))</f>
        <v/>
      </c>
      <c r="F1675" s="5" t="str">
        <f t="shared" si="54"/>
        <v/>
      </c>
      <c r="G1675" s="5" t="str">
        <f>IF(F1675="", "", IF(B1675&lt;&gt;"", MATCH(B1675, params!$B$2:$R$2, 0), G1674))</f>
        <v/>
      </c>
      <c r="H1675" s="5" t="str">
        <f t="shared" ca="1" si="53"/>
        <v/>
      </c>
      <c r="M1675" s="2"/>
    </row>
    <row r="1676" spans="2:13" ht="15.6" x14ac:dyDescent="0.3">
      <c r="B1676" s="5" t="str">
        <f>IF(COUNTIF(data_val!$E$3:$E$5, sample_log!$E1676), sample_log!$C1676 &amp; "_" &amp; sample_log!$D1676, "")</f>
        <v/>
      </c>
      <c r="C1676" s="5" t="str">
        <f>IF(B1676="", IF(F1676="", "", C1675), IF(sample_log!E1676="Triennial SASS", "tri_params", "params"))</f>
        <v/>
      </c>
      <c r="D1676" s="5" t="str">
        <f>IF(B1676="", "", C1676 &amp; "!" &amp; CHAR(65+MATCH(B1676, params!$B$2:$R$2, 0)))</f>
        <v/>
      </c>
      <c r="E1676" s="5" t="str">
        <f ca="1">IF(B1676="", "", COUNTA(INDIRECT(D1676 &amp; 3):INDIRECT(D1676 &amp; 24)))</f>
        <v/>
      </c>
      <c r="F1676" s="5" t="str">
        <f t="shared" si="54"/>
        <v/>
      </c>
      <c r="G1676" s="5" t="str">
        <f>IF(F1676="", "", IF(B1676&lt;&gt;"", MATCH(B1676, params!$B$2:$R$2, 0), G1675))</f>
        <v/>
      </c>
      <c r="H1676" s="5" t="str">
        <f t="shared" ca="1" si="53"/>
        <v/>
      </c>
      <c r="M1676" s="2"/>
    </row>
    <row r="1677" spans="2:13" ht="15.6" x14ac:dyDescent="0.3">
      <c r="B1677" s="5" t="str">
        <f>IF(COUNTIF(data_val!$E$3:$E$5, sample_log!$E1677), sample_log!$C1677 &amp; "_" &amp; sample_log!$D1677, "")</f>
        <v/>
      </c>
      <c r="C1677" s="5" t="str">
        <f>IF(B1677="", IF(F1677="", "", C1676), IF(sample_log!E1677="Triennial SASS", "tri_params", "params"))</f>
        <v/>
      </c>
      <c r="D1677" s="5" t="str">
        <f>IF(B1677="", "", C1677 &amp; "!" &amp; CHAR(65+MATCH(B1677, params!$B$2:$R$2, 0)))</f>
        <v/>
      </c>
      <c r="E1677" s="5" t="str">
        <f ca="1">IF(B1677="", "", COUNTA(INDIRECT(D1677 &amp; 3):INDIRECT(D1677 &amp; 24)))</f>
        <v/>
      </c>
      <c r="F1677" s="5" t="str">
        <f t="shared" si="54"/>
        <v/>
      </c>
      <c r="G1677" s="5" t="str">
        <f>IF(F1677="", "", IF(B1677&lt;&gt;"", MATCH(B1677, params!$B$2:$R$2, 0), G1676))</f>
        <v/>
      </c>
      <c r="H1677" s="5" t="str">
        <f t="shared" ca="1" si="53"/>
        <v/>
      </c>
      <c r="M1677" s="2"/>
    </row>
    <row r="1678" spans="2:13" ht="15.6" x14ac:dyDescent="0.3">
      <c r="B1678" s="5" t="str">
        <f>IF(COUNTIF(data_val!$E$3:$E$5, sample_log!$E1678), sample_log!$C1678 &amp; "_" &amp; sample_log!$D1678, "")</f>
        <v/>
      </c>
      <c r="C1678" s="5" t="str">
        <f>IF(B1678="", IF(F1678="", "", C1677), IF(sample_log!E1678="Triennial SASS", "tri_params", "params"))</f>
        <v/>
      </c>
      <c r="D1678" s="5" t="str">
        <f>IF(B1678="", "", C1678 &amp; "!" &amp; CHAR(65+MATCH(B1678, params!$B$2:$R$2, 0)))</f>
        <v/>
      </c>
      <c r="E1678" s="5" t="str">
        <f ca="1">IF(B1678="", "", COUNTA(INDIRECT(D1678 &amp; 3):INDIRECT(D1678 &amp; 24)))</f>
        <v/>
      </c>
      <c r="F1678" s="5" t="str">
        <f t="shared" si="54"/>
        <v/>
      </c>
      <c r="G1678" s="5" t="str">
        <f>IF(F1678="", "", IF(B1678&lt;&gt;"", MATCH(B1678, params!$B$2:$R$2, 0), G1677))</f>
        <v/>
      </c>
      <c r="H1678" s="5" t="str">
        <f t="shared" ca="1" si="53"/>
        <v/>
      </c>
      <c r="M1678" s="2"/>
    </row>
    <row r="1679" spans="2:13" ht="15.6" x14ac:dyDescent="0.3">
      <c r="B1679" s="5" t="str">
        <f>IF(COUNTIF(data_val!$E$3:$E$5, sample_log!$E1679), sample_log!$C1679 &amp; "_" &amp; sample_log!$D1679, "")</f>
        <v/>
      </c>
      <c r="C1679" s="5" t="str">
        <f>IF(B1679="", IF(F1679="", "", C1678), IF(sample_log!E1679="Triennial SASS", "tri_params", "params"))</f>
        <v/>
      </c>
      <c r="D1679" s="5" t="str">
        <f>IF(B1679="", "", C1679 &amp; "!" &amp; CHAR(65+MATCH(B1679, params!$B$2:$R$2, 0)))</f>
        <v/>
      </c>
      <c r="E1679" s="5" t="str">
        <f ca="1">IF(B1679="", "", COUNTA(INDIRECT(D1679 &amp; 3):INDIRECT(D1679 &amp; 24)))</f>
        <v/>
      </c>
      <c r="F1679" s="5" t="str">
        <f t="shared" si="54"/>
        <v/>
      </c>
      <c r="G1679" s="5" t="str">
        <f>IF(F1679="", "", IF(B1679&lt;&gt;"", MATCH(B1679, params!$B$2:$R$2, 0), G1678))</f>
        <v/>
      </c>
      <c r="H1679" s="5" t="str">
        <f t="shared" ca="1" si="53"/>
        <v/>
      </c>
      <c r="M1679" s="2"/>
    </row>
    <row r="1680" spans="2:13" ht="15.6" x14ac:dyDescent="0.3">
      <c r="B1680" s="5" t="str">
        <f>IF(COUNTIF(data_val!$E$3:$E$5, sample_log!$E1680), sample_log!$C1680 &amp; "_" &amp; sample_log!$D1680, "")</f>
        <v/>
      </c>
      <c r="C1680" s="5" t="str">
        <f>IF(B1680="", IF(F1680="", "", C1679), IF(sample_log!E1680="Triennial SASS", "tri_params", "params"))</f>
        <v/>
      </c>
      <c r="D1680" s="5" t="str">
        <f>IF(B1680="", "", C1680 &amp; "!" &amp; CHAR(65+MATCH(B1680, params!$B$2:$R$2, 0)))</f>
        <v/>
      </c>
      <c r="E1680" s="5" t="str">
        <f ca="1">IF(B1680="", "", COUNTA(INDIRECT(D1680 &amp; 3):INDIRECT(D1680 &amp; 24)))</f>
        <v/>
      </c>
      <c r="F1680" s="5" t="str">
        <f t="shared" si="54"/>
        <v/>
      </c>
      <c r="G1680" s="5" t="str">
        <f>IF(F1680="", "", IF(B1680&lt;&gt;"", MATCH(B1680, params!$B$2:$R$2, 0), G1679))</f>
        <v/>
      </c>
      <c r="H1680" s="5" t="str">
        <f t="shared" ca="1" si="53"/>
        <v/>
      </c>
      <c r="M1680" s="2"/>
    </row>
    <row r="1681" spans="2:13" ht="15.6" x14ac:dyDescent="0.3">
      <c r="B1681" s="5" t="str">
        <f>IF(COUNTIF(data_val!$E$3:$E$5, sample_log!$E1681), sample_log!$C1681 &amp; "_" &amp; sample_log!$D1681, "")</f>
        <v/>
      </c>
      <c r="C1681" s="5" t="str">
        <f>IF(B1681="", IF(F1681="", "", C1680), IF(sample_log!E1681="Triennial SASS", "tri_params", "params"))</f>
        <v/>
      </c>
      <c r="D1681" s="5" t="str">
        <f>IF(B1681="", "", C1681 &amp; "!" &amp; CHAR(65+MATCH(B1681, params!$B$2:$R$2, 0)))</f>
        <v/>
      </c>
      <c r="E1681" s="5" t="str">
        <f ca="1">IF(B1681="", "", COUNTA(INDIRECT(D1681 &amp; 3):INDIRECT(D1681 &amp; 24)))</f>
        <v/>
      </c>
      <c r="F1681" s="5" t="str">
        <f t="shared" si="54"/>
        <v/>
      </c>
      <c r="G1681" s="5" t="str">
        <f>IF(F1681="", "", IF(B1681&lt;&gt;"", MATCH(B1681, params!$B$2:$R$2, 0), G1680))</f>
        <v/>
      </c>
      <c r="H1681" s="5" t="str">
        <f t="shared" ca="1" si="53"/>
        <v/>
      </c>
      <c r="M1681" s="2"/>
    </row>
    <row r="1682" spans="2:13" ht="15.6" x14ac:dyDescent="0.3">
      <c r="B1682" s="5" t="str">
        <f>IF(COUNTIF(data_val!$E$3:$E$5, sample_log!$E1682), sample_log!$C1682 &amp; "_" &amp; sample_log!$D1682, "")</f>
        <v/>
      </c>
      <c r="C1682" s="5" t="str">
        <f>IF(B1682="", IF(F1682="", "", C1681), IF(sample_log!E1682="Triennial SASS", "tri_params", "params"))</f>
        <v/>
      </c>
      <c r="D1682" s="5" t="str">
        <f>IF(B1682="", "", C1682 &amp; "!" &amp; CHAR(65+MATCH(B1682, params!$B$2:$R$2, 0)))</f>
        <v/>
      </c>
      <c r="E1682" s="5" t="str">
        <f ca="1">IF(B1682="", "", COUNTA(INDIRECT(D1682 &amp; 3):INDIRECT(D1682 &amp; 24)))</f>
        <v/>
      </c>
      <c r="F1682" s="5" t="str">
        <f t="shared" si="54"/>
        <v/>
      </c>
      <c r="G1682" s="5" t="str">
        <f>IF(F1682="", "", IF(B1682&lt;&gt;"", MATCH(B1682, params!$B$2:$R$2, 0), G1681))</f>
        <v/>
      </c>
      <c r="H1682" s="5" t="str">
        <f t="shared" ca="1" si="53"/>
        <v/>
      </c>
      <c r="M1682" s="2"/>
    </row>
    <row r="1683" spans="2:13" ht="15.6" x14ac:dyDescent="0.3">
      <c r="B1683" s="5" t="str">
        <f>IF(COUNTIF(data_val!$E$3:$E$5, sample_log!$E1683), sample_log!$C1683 &amp; "_" &amp; sample_log!$D1683, "")</f>
        <v/>
      </c>
      <c r="C1683" s="5" t="str">
        <f>IF(B1683="", IF(F1683="", "", C1682), IF(sample_log!E1683="Triennial SASS", "tri_params", "params"))</f>
        <v/>
      </c>
      <c r="D1683" s="5" t="str">
        <f>IF(B1683="", "", C1683 &amp; "!" &amp; CHAR(65+MATCH(B1683, params!$B$2:$R$2, 0)))</f>
        <v/>
      </c>
      <c r="E1683" s="5" t="str">
        <f ca="1">IF(B1683="", "", COUNTA(INDIRECT(D1683 &amp; 3):INDIRECT(D1683 &amp; 24)))</f>
        <v/>
      </c>
      <c r="F1683" s="5" t="str">
        <f t="shared" si="54"/>
        <v/>
      </c>
      <c r="G1683" s="5" t="str">
        <f>IF(F1683="", "", IF(B1683&lt;&gt;"", MATCH(B1683, params!$B$2:$R$2, 0), G1682))</f>
        <v/>
      </c>
      <c r="H1683" s="5" t="str">
        <f t="shared" ca="1" si="53"/>
        <v/>
      </c>
      <c r="M1683" s="2"/>
    </row>
    <row r="1684" spans="2:13" ht="15.6" x14ac:dyDescent="0.3">
      <c r="B1684" s="5" t="str">
        <f>IF(COUNTIF(data_val!$E$3:$E$5, sample_log!$E1684), sample_log!$C1684 &amp; "_" &amp; sample_log!$D1684, "")</f>
        <v/>
      </c>
      <c r="C1684" s="5" t="str">
        <f>IF(B1684="", IF(F1684="", "", C1683), IF(sample_log!E1684="Triennial SASS", "tri_params", "params"))</f>
        <v/>
      </c>
      <c r="D1684" s="5" t="str">
        <f>IF(B1684="", "", C1684 &amp; "!" &amp; CHAR(65+MATCH(B1684, params!$B$2:$R$2, 0)))</f>
        <v/>
      </c>
      <c r="E1684" s="5" t="str">
        <f ca="1">IF(B1684="", "", COUNTA(INDIRECT(D1684 &amp; 3):INDIRECT(D1684 &amp; 24)))</f>
        <v/>
      </c>
      <c r="F1684" s="5" t="str">
        <f t="shared" si="54"/>
        <v/>
      </c>
      <c r="G1684" s="5" t="str">
        <f>IF(F1684="", "", IF(B1684&lt;&gt;"", MATCH(B1684, params!$B$2:$R$2, 0), G1683))</f>
        <v/>
      </c>
      <c r="H1684" s="5" t="str">
        <f t="shared" ca="1" si="53"/>
        <v/>
      </c>
      <c r="M1684" s="2"/>
    </row>
    <row r="1685" spans="2:13" ht="15.6" x14ac:dyDescent="0.3">
      <c r="B1685" s="5" t="str">
        <f>IF(COUNTIF(data_val!$E$3:$E$5, sample_log!$E1685), sample_log!$C1685 &amp; "_" &amp; sample_log!$D1685, "")</f>
        <v/>
      </c>
      <c r="C1685" s="5" t="str">
        <f>IF(B1685="", IF(F1685="", "", C1684), IF(sample_log!E1685="Triennial SASS", "tri_params", "params"))</f>
        <v/>
      </c>
      <c r="D1685" s="5" t="str">
        <f>IF(B1685="", "", C1685 &amp; "!" &amp; CHAR(65+MATCH(B1685, params!$B$2:$R$2, 0)))</f>
        <v/>
      </c>
      <c r="E1685" s="5" t="str">
        <f ca="1">IF(B1685="", "", COUNTA(INDIRECT(D1685 &amp; 3):INDIRECT(D1685 &amp; 24)))</f>
        <v/>
      </c>
      <c r="F1685" s="5" t="str">
        <f t="shared" si="54"/>
        <v/>
      </c>
      <c r="G1685" s="5" t="str">
        <f>IF(F1685="", "", IF(B1685&lt;&gt;"", MATCH(B1685, params!$B$2:$R$2, 0), G1684))</f>
        <v/>
      </c>
      <c r="H1685" s="5" t="str">
        <f t="shared" ca="1" si="53"/>
        <v/>
      </c>
      <c r="M1685" s="2"/>
    </row>
    <row r="1686" spans="2:13" ht="15.6" x14ac:dyDescent="0.3">
      <c r="B1686" s="5" t="str">
        <f>IF(COUNTIF(data_val!$E$3:$E$5, sample_log!$E1686), sample_log!$C1686 &amp; "_" &amp; sample_log!$D1686, "")</f>
        <v/>
      </c>
      <c r="C1686" s="5" t="str">
        <f>IF(B1686="", IF(F1686="", "", C1685), IF(sample_log!E1686="Triennial SASS", "tri_params", "params"))</f>
        <v/>
      </c>
      <c r="D1686" s="5" t="str">
        <f>IF(B1686="", "", C1686 &amp; "!" &amp; CHAR(65+MATCH(B1686, params!$B$2:$R$2, 0)))</f>
        <v/>
      </c>
      <c r="E1686" s="5" t="str">
        <f ca="1">IF(B1686="", "", COUNTA(INDIRECT(D1686 &amp; 3):INDIRECT(D1686 &amp; 24)))</f>
        <v/>
      </c>
      <c r="F1686" s="5" t="str">
        <f t="shared" si="54"/>
        <v/>
      </c>
      <c r="G1686" s="5" t="str">
        <f>IF(F1686="", "", IF(B1686&lt;&gt;"", MATCH(B1686, params!$B$2:$R$2, 0), G1685))</f>
        <v/>
      </c>
      <c r="H1686" s="5" t="str">
        <f t="shared" ca="1" si="53"/>
        <v/>
      </c>
      <c r="M1686" s="2"/>
    </row>
    <row r="1687" spans="2:13" ht="15.6" x14ac:dyDescent="0.3">
      <c r="B1687" s="5" t="str">
        <f>IF(COUNTIF(data_val!$E$3:$E$5, sample_log!$E1687), sample_log!$C1687 &amp; "_" &amp; sample_log!$D1687, "")</f>
        <v/>
      </c>
      <c r="C1687" s="5" t="str">
        <f>IF(B1687="", IF(F1687="", "", C1686), IF(sample_log!E1687="Triennial SASS", "tri_params", "params"))</f>
        <v/>
      </c>
      <c r="D1687" s="5" t="str">
        <f>IF(B1687="", "", C1687 &amp; "!" &amp; CHAR(65+MATCH(B1687, params!$B$2:$R$2, 0)))</f>
        <v/>
      </c>
      <c r="E1687" s="5" t="str">
        <f ca="1">IF(B1687="", "", COUNTA(INDIRECT(D1687 &amp; 3):INDIRECT(D1687 &amp; 24)))</f>
        <v/>
      </c>
      <c r="F1687" s="5" t="str">
        <f t="shared" si="54"/>
        <v/>
      </c>
      <c r="G1687" s="5" t="str">
        <f>IF(F1687="", "", IF(B1687&lt;&gt;"", MATCH(B1687, params!$B$2:$R$2, 0), G1686))</f>
        <v/>
      </c>
      <c r="H1687" s="5" t="str">
        <f t="shared" ca="1" si="53"/>
        <v/>
      </c>
      <c r="M1687" s="2"/>
    </row>
    <row r="1688" spans="2:13" ht="15.6" x14ac:dyDescent="0.3">
      <c r="B1688" s="5" t="str">
        <f>IF(COUNTIF(data_val!$E$3:$E$5, sample_log!$E1688), sample_log!$C1688 &amp; "_" &amp; sample_log!$D1688, "")</f>
        <v/>
      </c>
      <c r="C1688" s="5" t="str">
        <f>IF(B1688="", IF(F1688="", "", C1687), IF(sample_log!E1688="Triennial SASS", "tri_params", "params"))</f>
        <v/>
      </c>
      <c r="D1688" s="5" t="str">
        <f>IF(B1688="", "", C1688 &amp; "!" &amp; CHAR(65+MATCH(B1688, params!$B$2:$R$2, 0)))</f>
        <v/>
      </c>
      <c r="E1688" s="5" t="str">
        <f ca="1">IF(B1688="", "", COUNTA(INDIRECT(D1688 &amp; 3):INDIRECT(D1688 &amp; 24)))</f>
        <v/>
      </c>
      <c r="F1688" s="5" t="str">
        <f t="shared" si="54"/>
        <v/>
      </c>
      <c r="G1688" s="5" t="str">
        <f>IF(F1688="", "", IF(B1688&lt;&gt;"", MATCH(B1688, params!$B$2:$R$2, 0), G1687))</f>
        <v/>
      </c>
      <c r="H1688" s="5" t="str">
        <f t="shared" ca="1" si="53"/>
        <v/>
      </c>
      <c r="M1688" s="2"/>
    </row>
    <row r="1689" spans="2:13" ht="15.6" x14ac:dyDescent="0.3">
      <c r="B1689" s="5" t="str">
        <f>IF(COUNTIF(data_val!$E$3:$E$5, sample_log!$E1689), sample_log!$C1689 &amp; "_" &amp; sample_log!$D1689, "")</f>
        <v/>
      </c>
      <c r="C1689" s="5" t="str">
        <f>IF(B1689="", IF(F1689="", "", C1688), IF(sample_log!E1689="Triennial SASS", "tri_params", "params"))</f>
        <v/>
      </c>
      <c r="D1689" s="5" t="str">
        <f>IF(B1689="", "", C1689 &amp; "!" &amp; CHAR(65+MATCH(B1689, params!$B$2:$R$2, 0)))</f>
        <v/>
      </c>
      <c r="E1689" s="5" t="str">
        <f ca="1">IF(B1689="", "", COUNTA(INDIRECT(D1689 &amp; 3):INDIRECT(D1689 &amp; 24)))</f>
        <v/>
      </c>
      <c r="F1689" s="5" t="str">
        <f t="shared" si="54"/>
        <v/>
      </c>
      <c r="G1689" s="5" t="str">
        <f>IF(F1689="", "", IF(B1689&lt;&gt;"", MATCH(B1689, params!$B$2:$R$2, 0), G1688))</f>
        <v/>
      </c>
      <c r="H1689" s="5" t="str">
        <f t="shared" ref="H1689:H1752" ca="1" si="55">IF($F1689="", "", INDEX(INDIRECT("'" &amp; C1689 &amp; "'!$B$3:$R$24"), $F1689, $G1689))</f>
        <v/>
      </c>
      <c r="M1689" s="2"/>
    </row>
    <row r="1690" spans="2:13" ht="15.6" x14ac:dyDescent="0.3">
      <c r="B1690" s="5" t="str">
        <f>IF(COUNTIF(data_val!$E$3:$E$5, sample_log!$E1690), sample_log!$C1690 &amp; "_" &amp; sample_log!$D1690, "")</f>
        <v/>
      </c>
      <c r="C1690" s="5" t="str">
        <f>IF(B1690="", IF(F1690="", "", C1689), IF(sample_log!E1690="Triennial SASS", "tri_params", "params"))</f>
        <v/>
      </c>
      <c r="D1690" s="5" t="str">
        <f>IF(B1690="", "", C1690 &amp; "!" &amp; CHAR(65+MATCH(B1690, params!$B$2:$R$2, 0)))</f>
        <v/>
      </c>
      <c r="E1690" s="5" t="str">
        <f ca="1">IF(B1690="", "", COUNTA(INDIRECT(D1690 &amp; 3):INDIRECT(D1690 &amp; 24)))</f>
        <v/>
      </c>
      <c r="F1690" s="5" t="str">
        <f t="shared" si="54"/>
        <v/>
      </c>
      <c r="G1690" s="5" t="str">
        <f>IF(F1690="", "", IF(B1690&lt;&gt;"", MATCH(B1690, params!$B$2:$R$2, 0), G1689))</f>
        <v/>
      </c>
      <c r="H1690" s="5" t="str">
        <f t="shared" ca="1" si="55"/>
        <v/>
      </c>
      <c r="M1690" s="2"/>
    </row>
    <row r="1691" spans="2:13" ht="15.6" x14ac:dyDescent="0.3">
      <c r="B1691" s="5" t="str">
        <f>IF(COUNTIF(data_val!$E$3:$E$5, sample_log!$E1691), sample_log!$C1691 &amp; "_" &amp; sample_log!$D1691, "")</f>
        <v/>
      </c>
      <c r="C1691" s="5" t="str">
        <f>IF(B1691="", IF(F1691="", "", C1690), IF(sample_log!E1691="Triennial SASS", "tri_params", "params"))</f>
        <v/>
      </c>
      <c r="D1691" s="5" t="str">
        <f>IF(B1691="", "", C1691 &amp; "!" &amp; CHAR(65+MATCH(B1691, params!$B$2:$R$2, 0)))</f>
        <v/>
      </c>
      <c r="E1691" s="5" t="str">
        <f ca="1">IF(B1691="", "", COUNTA(INDIRECT(D1691 &amp; 3):INDIRECT(D1691 &amp; 24)))</f>
        <v/>
      </c>
      <c r="F1691" s="5" t="str">
        <f t="shared" si="54"/>
        <v/>
      </c>
      <c r="G1691" s="5" t="str">
        <f>IF(F1691="", "", IF(B1691&lt;&gt;"", MATCH(B1691, params!$B$2:$R$2, 0), G1690))</f>
        <v/>
      </c>
      <c r="H1691" s="5" t="str">
        <f t="shared" ca="1" si="55"/>
        <v/>
      </c>
      <c r="M1691" s="2"/>
    </row>
    <row r="1692" spans="2:13" ht="15.6" x14ac:dyDescent="0.3">
      <c r="B1692" s="5" t="str">
        <f>IF(COUNTIF(data_val!$E$3:$E$5, sample_log!$E1692), sample_log!$C1692 &amp; "_" &amp; sample_log!$D1692, "")</f>
        <v/>
      </c>
      <c r="C1692" s="5" t="str">
        <f>IF(B1692="", IF(F1692="", "", C1691), IF(sample_log!E1692="Triennial SASS", "tri_params", "params"))</f>
        <v/>
      </c>
      <c r="D1692" s="5" t="str">
        <f>IF(B1692="", "", C1692 &amp; "!" &amp; CHAR(65+MATCH(B1692, params!$B$2:$R$2, 0)))</f>
        <v/>
      </c>
      <c r="E1692" s="5" t="str">
        <f ca="1">IF(B1692="", "", COUNTA(INDIRECT(D1692 &amp; 3):INDIRECT(D1692 &amp; 24)))</f>
        <v/>
      </c>
      <c r="F1692" s="5" t="str">
        <f t="shared" si="54"/>
        <v/>
      </c>
      <c r="G1692" s="5" t="str">
        <f>IF(F1692="", "", IF(B1692&lt;&gt;"", MATCH(B1692, params!$B$2:$R$2, 0), G1691))</f>
        <v/>
      </c>
      <c r="H1692" s="5" t="str">
        <f t="shared" ca="1" si="55"/>
        <v/>
      </c>
      <c r="M1692" s="2"/>
    </row>
    <row r="1693" spans="2:13" ht="15.6" x14ac:dyDescent="0.3">
      <c r="B1693" s="5" t="str">
        <f>IF(COUNTIF(data_val!$E$3:$E$5, sample_log!$E1693), sample_log!$C1693 &amp; "_" &amp; sample_log!$D1693, "")</f>
        <v/>
      </c>
      <c r="C1693" s="5" t="str">
        <f>IF(B1693="", IF(F1693="", "", C1692), IF(sample_log!E1693="Triennial SASS", "tri_params", "params"))</f>
        <v/>
      </c>
      <c r="D1693" s="5" t="str">
        <f>IF(B1693="", "", C1693 &amp; "!" &amp; CHAR(65+MATCH(B1693, params!$B$2:$R$2, 0)))</f>
        <v/>
      </c>
      <c r="E1693" s="5" t="str">
        <f ca="1">IF(B1693="", "", COUNTA(INDIRECT(D1693 &amp; 3):INDIRECT(D1693 &amp; 24)))</f>
        <v/>
      </c>
      <c r="F1693" s="5" t="str">
        <f t="shared" si="54"/>
        <v/>
      </c>
      <c r="G1693" s="5" t="str">
        <f>IF(F1693="", "", IF(B1693&lt;&gt;"", MATCH(B1693, params!$B$2:$R$2, 0), G1692))</f>
        <v/>
      </c>
      <c r="H1693" s="5" t="str">
        <f t="shared" ca="1" si="55"/>
        <v/>
      </c>
      <c r="M1693" s="2"/>
    </row>
    <row r="1694" spans="2:13" ht="15.6" x14ac:dyDescent="0.3">
      <c r="B1694" s="5" t="str">
        <f>IF(COUNTIF(data_val!$E$3:$E$5, sample_log!$E1694), sample_log!$C1694 &amp; "_" &amp; sample_log!$D1694, "")</f>
        <v/>
      </c>
      <c r="C1694" s="5" t="str">
        <f>IF(B1694="", IF(F1694="", "", C1693), IF(sample_log!E1694="Triennial SASS", "tri_params", "params"))</f>
        <v/>
      </c>
      <c r="D1694" s="5" t="str">
        <f>IF(B1694="", "", C1694 &amp; "!" &amp; CHAR(65+MATCH(B1694, params!$B$2:$R$2, 0)))</f>
        <v/>
      </c>
      <c r="E1694" s="5" t="str">
        <f ca="1">IF(B1694="", "", COUNTA(INDIRECT(D1694 &amp; 3):INDIRECT(D1694 &amp; 24)))</f>
        <v/>
      </c>
      <c r="F1694" s="5" t="str">
        <f t="shared" si="54"/>
        <v/>
      </c>
      <c r="G1694" s="5" t="str">
        <f>IF(F1694="", "", IF(B1694&lt;&gt;"", MATCH(B1694, params!$B$2:$R$2, 0), G1693))</f>
        <v/>
      </c>
      <c r="H1694" s="5" t="str">
        <f t="shared" ca="1" si="55"/>
        <v/>
      </c>
      <c r="M1694" s="2"/>
    </row>
    <row r="1695" spans="2:13" ht="15.6" x14ac:dyDescent="0.3">
      <c r="B1695" s="5" t="str">
        <f>IF(COUNTIF(data_val!$E$3:$E$5, sample_log!$E1695), sample_log!$C1695 &amp; "_" &amp; sample_log!$D1695, "")</f>
        <v/>
      </c>
      <c r="C1695" s="5" t="str">
        <f>IF(B1695="", IF(F1695="", "", C1694), IF(sample_log!E1695="Triennial SASS", "tri_params", "params"))</f>
        <v/>
      </c>
      <c r="D1695" s="5" t="str">
        <f>IF(B1695="", "", C1695 &amp; "!" &amp; CHAR(65+MATCH(B1695, params!$B$2:$R$2, 0)))</f>
        <v/>
      </c>
      <c r="E1695" s="5" t="str">
        <f ca="1">IF(B1695="", "", COUNTA(INDIRECT(D1695 &amp; 3):INDIRECT(D1695 &amp; 24)))</f>
        <v/>
      </c>
      <c r="F1695" s="5" t="str">
        <f t="shared" si="54"/>
        <v/>
      </c>
      <c r="G1695" s="5" t="str">
        <f>IF(F1695="", "", IF(B1695&lt;&gt;"", MATCH(B1695, params!$B$2:$R$2, 0), G1694))</f>
        <v/>
      </c>
      <c r="H1695" s="5" t="str">
        <f t="shared" ca="1" si="55"/>
        <v/>
      </c>
      <c r="M1695" s="2"/>
    </row>
    <row r="1696" spans="2:13" ht="15.6" x14ac:dyDescent="0.3">
      <c r="B1696" s="5" t="str">
        <f>IF(COUNTIF(data_val!$E$3:$E$5, sample_log!$E1696), sample_log!$C1696 &amp; "_" &amp; sample_log!$D1696, "")</f>
        <v/>
      </c>
      <c r="C1696" s="5" t="str">
        <f>IF(B1696="", IF(F1696="", "", C1695), IF(sample_log!E1696="Triennial SASS", "tri_params", "params"))</f>
        <v/>
      </c>
      <c r="D1696" s="5" t="str">
        <f>IF(B1696="", "", C1696 &amp; "!" &amp; CHAR(65+MATCH(B1696, params!$B$2:$R$2, 0)))</f>
        <v/>
      </c>
      <c r="E1696" s="5" t="str">
        <f ca="1">IF(B1696="", "", COUNTA(INDIRECT(D1696 &amp; 3):INDIRECT(D1696 &amp; 24)))</f>
        <v/>
      </c>
      <c r="F1696" s="5" t="str">
        <f t="shared" si="54"/>
        <v/>
      </c>
      <c r="G1696" s="5" t="str">
        <f>IF(F1696="", "", IF(B1696&lt;&gt;"", MATCH(B1696, params!$B$2:$R$2, 0), G1695))</f>
        <v/>
      </c>
      <c r="H1696" s="5" t="str">
        <f t="shared" ca="1" si="55"/>
        <v/>
      </c>
      <c r="M1696" s="2"/>
    </row>
    <row r="1697" spans="2:13" ht="15.6" x14ac:dyDescent="0.3">
      <c r="B1697" s="5" t="str">
        <f>IF(COUNTIF(data_val!$E$3:$E$5, sample_log!$E1697), sample_log!$C1697 &amp; "_" &amp; sample_log!$D1697, "")</f>
        <v/>
      </c>
      <c r="C1697" s="5" t="str">
        <f>IF(B1697="", IF(F1697="", "", C1696), IF(sample_log!E1697="Triennial SASS", "tri_params", "params"))</f>
        <v/>
      </c>
      <c r="D1697" s="5" t="str">
        <f>IF(B1697="", "", C1697 &amp; "!" &amp; CHAR(65+MATCH(B1697, params!$B$2:$R$2, 0)))</f>
        <v/>
      </c>
      <c r="E1697" s="5" t="str">
        <f ca="1">IF(B1697="", "", COUNTA(INDIRECT(D1697 &amp; 3):INDIRECT(D1697 &amp; 24)))</f>
        <v/>
      </c>
      <c r="F1697" s="5" t="str">
        <f t="shared" si="54"/>
        <v/>
      </c>
      <c r="G1697" s="5" t="str">
        <f>IF(F1697="", "", IF(B1697&lt;&gt;"", MATCH(B1697, params!$B$2:$R$2, 0), G1696))</f>
        <v/>
      </c>
      <c r="H1697" s="5" t="str">
        <f t="shared" ca="1" si="55"/>
        <v/>
      </c>
      <c r="M1697" s="2"/>
    </row>
    <row r="1698" spans="2:13" ht="15.6" x14ac:dyDescent="0.3">
      <c r="B1698" s="5" t="str">
        <f>IF(COUNTIF(data_val!$E$3:$E$5, sample_log!$E1698), sample_log!$C1698 &amp; "_" &amp; sample_log!$D1698, "")</f>
        <v/>
      </c>
      <c r="C1698" s="5" t="str">
        <f>IF(B1698="", IF(F1698="", "", C1697), IF(sample_log!E1698="Triennial SASS", "tri_params", "params"))</f>
        <v/>
      </c>
      <c r="D1698" s="5" t="str">
        <f>IF(B1698="", "", C1698 &amp; "!" &amp; CHAR(65+MATCH(B1698, params!$B$2:$R$2, 0)))</f>
        <v/>
      </c>
      <c r="E1698" s="5" t="str">
        <f ca="1">IF(B1698="", "", COUNTA(INDIRECT(D1698 &amp; 3):INDIRECT(D1698 &amp; 24)))</f>
        <v/>
      </c>
      <c r="F1698" s="5" t="str">
        <f t="shared" si="54"/>
        <v/>
      </c>
      <c r="G1698" s="5" t="str">
        <f>IF(F1698="", "", IF(B1698&lt;&gt;"", MATCH(B1698, params!$B$2:$R$2, 0), G1697))</f>
        <v/>
      </c>
      <c r="H1698" s="5" t="str">
        <f t="shared" ca="1" si="55"/>
        <v/>
      </c>
      <c r="M1698" s="2"/>
    </row>
    <row r="1699" spans="2:13" ht="15.6" x14ac:dyDescent="0.3">
      <c r="B1699" s="5" t="str">
        <f>IF(COUNTIF(data_val!$E$3:$E$5, sample_log!$E1699), sample_log!$C1699 &amp; "_" &amp; sample_log!$D1699, "")</f>
        <v/>
      </c>
      <c r="C1699" s="5" t="str">
        <f>IF(B1699="", IF(F1699="", "", C1698), IF(sample_log!E1699="Triennial SASS", "tri_params", "params"))</f>
        <v/>
      </c>
      <c r="D1699" s="5" t="str">
        <f>IF(B1699="", "", C1699 &amp; "!" &amp; CHAR(65+MATCH(B1699, params!$B$2:$R$2, 0)))</f>
        <v/>
      </c>
      <c r="E1699" s="5" t="str">
        <f ca="1">IF(B1699="", "", COUNTA(INDIRECT(D1699 &amp; 3):INDIRECT(D1699 &amp; 24)))</f>
        <v/>
      </c>
      <c r="F1699" s="5" t="str">
        <f t="shared" si="54"/>
        <v/>
      </c>
      <c r="G1699" s="5" t="str">
        <f>IF(F1699="", "", IF(B1699&lt;&gt;"", MATCH(B1699, params!$B$2:$R$2, 0), G1698))</f>
        <v/>
      </c>
      <c r="H1699" s="5" t="str">
        <f t="shared" ca="1" si="55"/>
        <v/>
      </c>
      <c r="M1699" s="2"/>
    </row>
    <row r="1700" spans="2:13" ht="15.6" x14ac:dyDescent="0.3">
      <c r="B1700" s="5" t="str">
        <f>IF(COUNTIF(data_val!$E$3:$E$5, sample_log!$E1700), sample_log!$C1700 &amp; "_" &amp; sample_log!$D1700, "")</f>
        <v/>
      </c>
      <c r="C1700" s="5" t="str">
        <f>IF(B1700="", IF(F1700="", "", C1699), IF(sample_log!E1700="Triennial SASS", "tri_params", "params"))</f>
        <v/>
      </c>
      <c r="D1700" s="5" t="str">
        <f>IF(B1700="", "", C1700 &amp; "!" &amp; CHAR(65+MATCH(B1700, params!$B$2:$R$2, 0)))</f>
        <v/>
      </c>
      <c r="E1700" s="5" t="str">
        <f ca="1">IF(B1700="", "", COUNTA(INDIRECT(D1700 &amp; 3):INDIRECT(D1700 &amp; 24)))</f>
        <v/>
      </c>
      <c r="F1700" s="5" t="str">
        <f t="shared" si="54"/>
        <v/>
      </c>
      <c r="G1700" s="5" t="str">
        <f>IF(F1700="", "", IF(B1700&lt;&gt;"", MATCH(B1700, params!$B$2:$R$2, 0), G1699))</f>
        <v/>
      </c>
      <c r="H1700" s="5" t="str">
        <f t="shared" ca="1" si="55"/>
        <v/>
      </c>
      <c r="M1700" s="2"/>
    </row>
    <row r="1701" spans="2:13" ht="15.6" x14ac:dyDescent="0.3">
      <c r="B1701" s="5" t="str">
        <f>IF(COUNTIF(data_val!$E$3:$E$5, sample_log!$E1701), sample_log!$C1701 &amp; "_" &amp; sample_log!$D1701, "")</f>
        <v/>
      </c>
      <c r="C1701" s="5" t="str">
        <f>IF(B1701="", IF(F1701="", "", C1700), IF(sample_log!E1701="Triennial SASS", "tri_params", "params"))</f>
        <v/>
      </c>
      <c r="D1701" s="5" t="str">
        <f>IF(B1701="", "", C1701 &amp; "!" &amp; CHAR(65+MATCH(B1701, params!$B$2:$R$2, 0)))</f>
        <v/>
      </c>
      <c r="E1701" s="5" t="str">
        <f ca="1">IF(B1701="", "", COUNTA(INDIRECT(D1701 &amp; 3):INDIRECT(D1701 &amp; 24)))</f>
        <v/>
      </c>
      <c r="F1701" s="5" t="str">
        <f t="shared" si="54"/>
        <v/>
      </c>
      <c r="G1701" s="5" t="str">
        <f>IF(F1701="", "", IF(B1701&lt;&gt;"", MATCH(B1701, params!$B$2:$R$2, 0), G1700))</f>
        <v/>
      </c>
      <c r="H1701" s="5" t="str">
        <f t="shared" ca="1" si="55"/>
        <v/>
      </c>
      <c r="M1701" s="2"/>
    </row>
    <row r="1702" spans="2:13" ht="15.6" x14ac:dyDescent="0.3">
      <c r="B1702" s="5" t="str">
        <f>IF(COUNTIF(data_val!$E$3:$E$5, sample_log!$E1702), sample_log!$C1702 &amp; "_" &amp; sample_log!$D1702, "")</f>
        <v/>
      </c>
      <c r="C1702" s="5" t="str">
        <f>IF(B1702="", IF(F1702="", "", C1701), IF(sample_log!E1702="Triennial SASS", "tri_params", "params"))</f>
        <v/>
      </c>
      <c r="D1702" s="5" t="str">
        <f>IF(B1702="", "", C1702 &amp; "!" &amp; CHAR(65+MATCH(B1702, params!$B$2:$R$2, 0)))</f>
        <v/>
      </c>
      <c r="E1702" s="5" t="str">
        <f ca="1">IF(B1702="", "", COUNTA(INDIRECT(D1702 &amp; 3):INDIRECT(D1702 &amp; 24)))</f>
        <v/>
      </c>
      <c r="F1702" s="5" t="str">
        <f t="shared" si="54"/>
        <v/>
      </c>
      <c r="G1702" s="5" t="str">
        <f>IF(F1702="", "", IF(B1702&lt;&gt;"", MATCH(B1702, params!$B$2:$R$2, 0), G1701))</f>
        <v/>
      </c>
      <c r="H1702" s="5" t="str">
        <f t="shared" ca="1" si="55"/>
        <v/>
      </c>
      <c r="M1702" s="2"/>
    </row>
    <row r="1703" spans="2:13" ht="15.6" x14ac:dyDescent="0.3">
      <c r="B1703" s="5" t="str">
        <f>IF(COUNTIF(data_val!$E$3:$E$5, sample_log!$E1703), sample_log!$C1703 &amp; "_" &amp; sample_log!$D1703, "")</f>
        <v/>
      </c>
      <c r="C1703" s="5" t="str">
        <f>IF(B1703="", IF(F1703="", "", C1702), IF(sample_log!E1703="Triennial SASS", "tri_params", "params"))</f>
        <v/>
      </c>
      <c r="D1703" s="5" t="str">
        <f>IF(B1703="", "", C1703 &amp; "!" &amp; CHAR(65+MATCH(B1703, params!$B$2:$R$2, 0)))</f>
        <v/>
      </c>
      <c r="E1703" s="5" t="str">
        <f ca="1">IF(B1703="", "", COUNTA(INDIRECT(D1703 &amp; 3):INDIRECT(D1703 &amp; 24)))</f>
        <v/>
      </c>
      <c r="F1703" s="5" t="str">
        <f t="shared" si="54"/>
        <v/>
      </c>
      <c r="G1703" s="5" t="str">
        <f>IF(F1703="", "", IF(B1703&lt;&gt;"", MATCH(B1703, params!$B$2:$R$2, 0), G1702))</f>
        <v/>
      </c>
      <c r="H1703" s="5" t="str">
        <f t="shared" ca="1" si="55"/>
        <v/>
      </c>
      <c r="M1703" s="2"/>
    </row>
    <row r="1704" spans="2:13" ht="15.6" x14ac:dyDescent="0.3">
      <c r="B1704" s="5" t="str">
        <f>IF(COUNTIF(data_val!$E$3:$E$5, sample_log!$E1704), sample_log!$C1704 &amp; "_" &amp; sample_log!$D1704, "")</f>
        <v/>
      </c>
      <c r="C1704" s="5" t="str">
        <f>IF(B1704="", IF(F1704="", "", C1703), IF(sample_log!E1704="Triennial SASS", "tri_params", "params"))</f>
        <v/>
      </c>
      <c r="D1704" s="5" t="str">
        <f>IF(B1704="", "", C1704 &amp; "!" &amp; CHAR(65+MATCH(B1704, params!$B$2:$R$2, 0)))</f>
        <v/>
      </c>
      <c r="E1704" s="5" t="str">
        <f ca="1">IF(B1704="", "", COUNTA(INDIRECT(D1704 &amp; 3):INDIRECT(D1704 &amp; 24)))</f>
        <v/>
      </c>
      <c r="F1704" s="5" t="str">
        <f t="shared" si="54"/>
        <v/>
      </c>
      <c r="G1704" s="5" t="str">
        <f>IF(F1704="", "", IF(B1704&lt;&gt;"", MATCH(B1704, params!$B$2:$R$2, 0), G1703))</f>
        <v/>
      </c>
      <c r="H1704" s="5" t="str">
        <f t="shared" ca="1" si="55"/>
        <v/>
      </c>
      <c r="M1704" s="2"/>
    </row>
    <row r="1705" spans="2:13" ht="15.6" x14ac:dyDescent="0.3">
      <c r="B1705" s="5" t="str">
        <f>IF(COUNTIF(data_val!$E$3:$E$5, sample_log!$E1705), sample_log!$C1705 &amp; "_" &amp; sample_log!$D1705, "")</f>
        <v/>
      </c>
      <c r="C1705" s="5" t="str">
        <f>IF(B1705="", IF(F1705="", "", C1704), IF(sample_log!E1705="Triennial SASS", "tri_params", "params"))</f>
        <v/>
      </c>
      <c r="D1705" s="5" t="str">
        <f>IF(B1705="", "", C1705 &amp; "!" &amp; CHAR(65+MATCH(B1705, params!$B$2:$R$2, 0)))</f>
        <v/>
      </c>
      <c r="E1705" s="5" t="str">
        <f ca="1">IF(B1705="", "", COUNTA(INDIRECT(D1705 &amp; 3):INDIRECT(D1705 &amp; 24)))</f>
        <v/>
      </c>
      <c r="F1705" s="5" t="str">
        <f t="shared" si="54"/>
        <v/>
      </c>
      <c r="G1705" s="5" t="str">
        <f>IF(F1705="", "", IF(B1705&lt;&gt;"", MATCH(B1705, params!$B$2:$R$2, 0), G1704))</f>
        <v/>
      </c>
      <c r="H1705" s="5" t="str">
        <f t="shared" ca="1" si="55"/>
        <v/>
      </c>
      <c r="M1705" s="2"/>
    </row>
    <row r="1706" spans="2:13" ht="15.6" x14ac:dyDescent="0.3">
      <c r="B1706" s="5" t="str">
        <f>IF(COUNTIF(data_val!$E$3:$E$5, sample_log!$E1706), sample_log!$C1706 &amp; "_" &amp; sample_log!$D1706, "")</f>
        <v/>
      </c>
      <c r="C1706" s="5" t="str">
        <f>IF(B1706="", IF(F1706="", "", C1705), IF(sample_log!E1706="Triennial SASS", "tri_params", "params"))</f>
        <v/>
      </c>
      <c r="D1706" s="5" t="str">
        <f>IF(B1706="", "", C1706 &amp; "!" &amp; CHAR(65+MATCH(B1706, params!$B$2:$R$2, 0)))</f>
        <v/>
      </c>
      <c r="E1706" s="5" t="str">
        <f ca="1">IF(B1706="", "", COUNTA(INDIRECT(D1706 &amp; 3):INDIRECT(D1706 &amp; 24)))</f>
        <v/>
      </c>
      <c r="F1706" s="5" t="str">
        <f t="shared" si="54"/>
        <v/>
      </c>
      <c r="G1706" s="5" t="str">
        <f>IF(F1706="", "", IF(B1706&lt;&gt;"", MATCH(B1706, params!$B$2:$R$2, 0), G1705))</f>
        <v/>
      </c>
      <c r="H1706" s="5" t="str">
        <f t="shared" ca="1" si="55"/>
        <v/>
      </c>
      <c r="M1706" s="2"/>
    </row>
    <row r="1707" spans="2:13" ht="15.6" x14ac:dyDescent="0.3">
      <c r="B1707" s="5" t="str">
        <f>IF(COUNTIF(data_val!$E$3:$E$5, sample_log!$E1707), sample_log!$C1707 &amp; "_" &amp; sample_log!$D1707, "")</f>
        <v/>
      </c>
      <c r="C1707" s="5" t="str">
        <f>IF(B1707="", IF(F1707="", "", C1706), IF(sample_log!E1707="Triennial SASS", "tri_params", "params"))</f>
        <v/>
      </c>
      <c r="D1707" s="5" t="str">
        <f>IF(B1707="", "", C1707 &amp; "!" &amp; CHAR(65+MATCH(B1707, params!$B$2:$R$2, 0)))</f>
        <v/>
      </c>
      <c r="E1707" s="5" t="str">
        <f ca="1">IF(B1707="", "", COUNTA(INDIRECT(D1707 &amp; 3):INDIRECT(D1707 &amp; 24)))</f>
        <v/>
      </c>
      <c r="F1707" s="5" t="str">
        <f t="shared" si="54"/>
        <v/>
      </c>
      <c r="G1707" s="5" t="str">
        <f>IF(F1707="", "", IF(B1707&lt;&gt;"", MATCH(B1707, params!$B$2:$R$2, 0), G1706))</f>
        <v/>
      </c>
      <c r="H1707" s="5" t="str">
        <f t="shared" ca="1" si="55"/>
        <v/>
      </c>
      <c r="M1707" s="2"/>
    </row>
    <row r="1708" spans="2:13" ht="15.6" x14ac:dyDescent="0.3">
      <c r="B1708" s="5" t="str">
        <f>IF(COUNTIF(data_val!$E$3:$E$5, sample_log!$E1708), sample_log!$C1708 &amp; "_" &amp; sample_log!$D1708, "")</f>
        <v/>
      </c>
      <c r="C1708" s="5" t="str">
        <f>IF(B1708="", IF(F1708="", "", C1707), IF(sample_log!E1708="Triennial SASS", "tri_params", "params"))</f>
        <v/>
      </c>
      <c r="D1708" s="5" t="str">
        <f>IF(B1708="", "", C1708 &amp; "!" &amp; CHAR(65+MATCH(B1708, params!$B$2:$R$2, 0)))</f>
        <v/>
      </c>
      <c r="E1708" s="5" t="str">
        <f ca="1">IF(B1708="", "", COUNTA(INDIRECT(D1708 &amp; 3):INDIRECT(D1708 &amp; 24)))</f>
        <v/>
      </c>
      <c r="F1708" s="5" t="str">
        <f t="shared" si="54"/>
        <v/>
      </c>
      <c r="G1708" s="5" t="str">
        <f>IF(F1708="", "", IF(B1708&lt;&gt;"", MATCH(B1708, params!$B$2:$R$2, 0), G1707))</f>
        <v/>
      </c>
      <c r="H1708" s="5" t="str">
        <f t="shared" ca="1" si="55"/>
        <v/>
      </c>
      <c r="M1708" s="2"/>
    </row>
    <row r="1709" spans="2:13" ht="15.6" x14ac:dyDescent="0.3">
      <c r="B1709" s="5" t="str">
        <f>IF(COUNTIF(data_val!$E$3:$E$5, sample_log!$E1709), sample_log!$C1709 &amp; "_" &amp; sample_log!$D1709, "")</f>
        <v/>
      </c>
      <c r="C1709" s="5" t="str">
        <f>IF(B1709="", IF(F1709="", "", C1708), IF(sample_log!E1709="Triennial SASS", "tri_params", "params"))</f>
        <v/>
      </c>
      <c r="D1709" s="5" t="str">
        <f>IF(B1709="", "", C1709 &amp; "!" &amp; CHAR(65+MATCH(B1709, params!$B$2:$R$2, 0)))</f>
        <v/>
      </c>
      <c r="E1709" s="5" t="str">
        <f ca="1">IF(B1709="", "", COUNTA(INDIRECT(D1709 &amp; 3):INDIRECT(D1709 &amp; 24)))</f>
        <v/>
      </c>
      <c r="F1709" s="5" t="str">
        <f t="shared" si="54"/>
        <v/>
      </c>
      <c r="G1709" s="5" t="str">
        <f>IF(F1709="", "", IF(B1709&lt;&gt;"", MATCH(B1709, params!$B$2:$R$2, 0), G1708))</f>
        <v/>
      </c>
      <c r="H1709" s="5" t="str">
        <f t="shared" ca="1" si="55"/>
        <v/>
      </c>
      <c r="M1709" s="2"/>
    </row>
    <row r="1710" spans="2:13" ht="15.6" x14ac:dyDescent="0.3">
      <c r="B1710" s="5" t="str">
        <f>IF(COUNTIF(data_val!$E$3:$E$5, sample_log!$E1710), sample_log!$C1710 &amp; "_" &amp; sample_log!$D1710, "")</f>
        <v/>
      </c>
      <c r="C1710" s="5" t="str">
        <f>IF(B1710="", IF(F1710="", "", C1709), IF(sample_log!E1710="Triennial SASS", "tri_params", "params"))</f>
        <v/>
      </c>
      <c r="D1710" s="5" t="str">
        <f>IF(B1710="", "", C1710 &amp; "!" &amp; CHAR(65+MATCH(B1710, params!$B$2:$R$2, 0)))</f>
        <v/>
      </c>
      <c r="E1710" s="5" t="str">
        <f ca="1">IF(B1710="", "", COUNTA(INDIRECT(D1710 &amp; 3):INDIRECT(D1710 &amp; 24)))</f>
        <v/>
      </c>
      <c r="F1710" s="5" t="str">
        <f t="shared" si="54"/>
        <v/>
      </c>
      <c r="G1710" s="5" t="str">
        <f>IF(F1710="", "", IF(B1710&lt;&gt;"", MATCH(B1710, params!$B$2:$R$2, 0), G1709))</f>
        <v/>
      </c>
      <c r="H1710" s="5" t="str">
        <f t="shared" ca="1" si="55"/>
        <v/>
      </c>
      <c r="M1710" s="2"/>
    </row>
    <row r="1711" spans="2:13" ht="15.6" x14ac:dyDescent="0.3">
      <c r="B1711" s="5" t="str">
        <f>IF(COUNTIF(data_val!$E$3:$E$5, sample_log!$E1711), sample_log!$C1711 &amp; "_" &amp; sample_log!$D1711, "")</f>
        <v/>
      </c>
      <c r="C1711" s="5" t="str">
        <f>IF(B1711="", IF(F1711="", "", C1710), IF(sample_log!E1711="Triennial SASS", "tri_params", "params"))</f>
        <v/>
      </c>
      <c r="D1711" s="5" t="str">
        <f>IF(B1711="", "", C1711 &amp; "!" &amp; CHAR(65+MATCH(B1711, params!$B$2:$R$2, 0)))</f>
        <v/>
      </c>
      <c r="E1711" s="5" t="str">
        <f ca="1">IF(B1711="", "", COUNTA(INDIRECT(D1711 &amp; 3):INDIRECT(D1711 &amp; 24)))</f>
        <v/>
      </c>
      <c r="F1711" s="5" t="str">
        <f t="shared" si="54"/>
        <v/>
      </c>
      <c r="G1711" s="5" t="str">
        <f>IF(F1711="", "", IF(B1711&lt;&gt;"", MATCH(B1711, params!$B$2:$R$2, 0), G1710))</f>
        <v/>
      </c>
      <c r="H1711" s="5" t="str">
        <f t="shared" ca="1" si="55"/>
        <v/>
      </c>
      <c r="M1711" s="2"/>
    </row>
    <row r="1712" spans="2:13" ht="15.6" x14ac:dyDescent="0.3">
      <c r="B1712" s="5" t="str">
        <f>IF(COUNTIF(data_val!$E$3:$E$5, sample_log!$E1712), sample_log!$C1712 &amp; "_" &amp; sample_log!$D1712, "")</f>
        <v/>
      </c>
      <c r="C1712" s="5" t="str">
        <f>IF(B1712="", IF(F1712="", "", C1711), IF(sample_log!E1712="Triennial SASS", "tri_params", "params"))</f>
        <v/>
      </c>
      <c r="D1712" s="5" t="str">
        <f>IF(B1712="", "", C1712 &amp; "!" &amp; CHAR(65+MATCH(B1712, params!$B$2:$R$2, 0)))</f>
        <v/>
      </c>
      <c r="E1712" s="5" t="str">
        <f ca="1">IF(B1712="", "", COUNTA(INDIRECT(D1712 &amp; 3):INDIRECT(D1712 &amp; 24)))</f>
        <v/>
      </c>
      <c r="F1712" s="5" t="str">
        <f t="shared" si="54"/>
        <v/>
      </c>
      <c r="G1712" s="5" t="str">
        <f>IF(F1712="", "", IF(B1712&lt;&gt;"", MATCH(B1712, params!$B$2:$R$2, 0), G1711))</f>
        <v/>
      </c>
      <c r="H1712" s="5" t="str">
        <f t="shared" ca="1" si="55"/>
        <v/>
      </c>
      <c r="M1712" s="2"/>
    </row>
    <row r="1713" spans="2:13" ht="15.6" x14ac:dyDescent="0.3">
      <c r="B1713" s="5" t="str">
        <f>IF(COUNTIF(data_val!$E$3:$E$5, sample_log!$E1713), sample_log!$C1713 &amp; "_" &amp; sample_log!$D1713, "")</f>
        <v/>
      </c>
      <c r="C1713" s="5" t="str">
        <f>IF(B1713="", IF(F1713="", "", C1712), IF(sample_log!E1713="Triennial SASS", "tri_params", "params"))</f>
        <v/>
      </c>
      <c r="D1713" s="5" t="str">
        <f>IF(B1713="", "", C1713 &amp; "!" &amp; CHAR(65+MATCH(B1713, params!$B$2:$R$2, 0)))</f>
        <v/>
      </c>
      <c r="E1713" s="5" t="str">
        <f ca="1">IF(B1713="", "", COUNTA(INDIRECT(D1713 &amp; 3):INDIRECT(D1713 &amp; 24)))</f>
        <v/>
      </c>
      <c r="F1713" s="5" t="str">
        <f t="shared" si="54"/>
        <v/>
      </c>
      <c r="G1713" s="5" t="str">
        <f>IF(F1713="", "", IF(B1713&lt;&gt;"", MATCH(B1713, params!$B$2:$R$2, 0), G1712))</f>
        <v/>
      </c>
      <c r="H1713" s="5" t="str">
        <f t="shared" ca="1" si="55"/>
        <v/>
      </c>
      <c r="M1713" s="2"/>
    </row>
    <row r="1714" spans="2:13" ht="15.6" x14ac:dyDescent="0.3">
      <c r="B1714" s="5" t="str">
        <f>IF(COUNTIF(data_val!$E$3:$E$5, sample_log!$E1714), sample_log!$C1714 &amp; "_" &amp; sample_log!$D1714, "")</f>
        <v/>
      </c>
      <c r="C1714" s="5" t="str">
        <f>IF(B1714="", IF(F1714="", "", C1713), IF(sample_log!E1714="Triennial SASS", "tri_params", "params"))</f>
        <v/>
      </c>
      <c r="D1714" s="5" t="str">
        <f>IF(B1714="", "", C1714 &amp; "!" &amp; CHAR(65+MATCH(B1714, params!$B$2:$R$2, 0)))</f>
        <v/>
      </c>
      <c r="E1714" s="5" t="str">
        <f ca="1">IF(B1714="", "", COUNTA(INDIRECT(D1714 &amp; 3):INDIRECT(D1714 &amp; 24)))</f>
        <v/>
      </c>
      <c r="F1714" s="5" t="str">
        <f t="shared" si="54"/>
        <v/>
      </c>
      <c r="G1714" s="5" t="str">
        <f>IF(F1714="", "", IF(B1714&lt;&gt;"", MATCH(B1714, params!$B$2:$R$2, 0), G1713))</f>
        <v/>
      </c>
      <c r="H1714" s="5" t="str">
        <f t="shared" ca="1" si="55"/>
        <v/>
      </c>
      <c r="M1714" s="2"/>
    </row>
    <row r="1715" spans="2:13" ht="15.6" x14ac:dyDescent="0.3">
      <c r="B1715" s="5" t="str">
        <f>IF(COUNTIF(data_val!$E$3:$E$5, sample_log!$E1715), sample_log!$C1715 &amp; "_" &amp; sample_log!$D1715, "")</f>
        <v/>
      </c>
      <c r="C1715" s="5" t="str">
        <f>IF(B1715="", IF(F1715="", "", C1714), IF(sample_log!E1715="Triennial SASS", "tri_params", "params"))</f>
        <v/>
      </c>
      <c r="D1715" s="5" t="str">
        <f>IF(B1715="", "", C1715 &amp; "!" &amp; CHAR(65+MATCH(B1715, params!$B$2:$R$2, 0)))</f>
        <v/>
      </c>
      <c r="E1715" s="5" t="str">
        <f ca="1">IF(B1715="", "", COUNTA(INDIRECT(D1715 &amp; 3):INDIRECT(D1715 &amp; 24)))</f>
        <v/>
      </c>
      <c r="F1715" s="5" t="str">
        <f t="shared" si="54"/>
        <v/>
      </c>
      <c r="G1715" s="5" t="str">
        <f>IF(F1715="", "", IF(B1715&lt;&gt;"", MATCH(B1715, params!$B$2:$R$2, 0), G1714))</f>
        <v/>
      </c>
      <c r="H1715" s="5" t="str">
        <f t="shared" ca="1" si="55"/>
        <v/>
      </c>
      <c r="M1715" s="2"/>
    </row>
    <row r="1716" spans="2:13" ht="15.6" x14ac:dyDescent="0.3">
      <c r="B1716" s="5" t="str">
        <f>IF(COUNTIF(data_val!$E$3:$E$5, sample_log!$E1716), sample_log!$C1716 &amp; "_" &amp; sample_log!$D1716, "")</f>
        <v/>
      </c>
      <c r="C1716" s="5" t="str">
        <f>IF(B1716="", IF(F1716="", "", C1715), IF(sample_log!E1716="Triennial SASS", "tri_params", "params"))</f>
        <v/>
      </c>
      <c r="D1716" s="5" t="str">
        <f>IF(B1716="", "", C1716 &amp; "!" &amp; CHAR(65+MATCH(B1716, params!$B$2:$R$2, 0)))</f>
        <v/>
      </c>
      <c r="E1716" s="5" t="str">
        <f ca="1">IF(B1716="", "", COUNTA(INDIRECT(D1716 &amp; 3):INDIRECT(D1716 &amp; 24)))</f>
        <v/>
      </c>
      <c r="F1716" s="5" t="str">
        <f t="shared" si="54"/>
        <v/>
      </c>
      <c r="G1716" s="5" t="str">
        <f>IF(F1716="", "", IF(B1716&lt;&gt;"", MATCH(B1716, params!$B$2:$R$2, 0), G1715))</f>
        <v/>
      </c>
      <c r="H1716" s="5" t="str">
        <f t="shared" ca="1" si="55"/>
        <v/>
      </c>
      <c r="M1716" s="2"/>
    </row>
    <row r="1717" spans="2:13" ht="15.6" x14ac:dyDescent="0.3">
      <c r="B1717" s="5" t="str">
        <f>IF(COUNTIF(data_val!$E$3:$E$5, sample_log!$E1717), sample_log!$C1717 &amp; "_" &amp; sample_log!$D1717, "")</f>
        <v/>
      </c>
      <c r="C1717" s="5" t="str">
        <f>IF(B1717="", IF(F1717="", "", C1716), IF(sample_log!E1717="Triennial SASS", "tri_params", "params"))</f>
        <v/>
      </c>
      <c r="D1717" s="5" t="str">
        <f>IF(B1717="", "", C1717 &amp; "!" &amp; CHAR(65+MATCH(B1717, params!$B$2:$R$2, 0)))</f>
        <v/>
      </c>
      <c r="E1717" s="5" t="str">
        <f ca="1">IF(B1717="", "", COUNTA(INDIRECT(D1717 &amp; 3):INDIRECT(D1717 &amp; 24)))</f>
        <v/>
      </c>
      <c r="F1717" s="5" t="str">
        <f t="shared" si="54"/>
        <v/>
      </c>
      <c r="G1717" s="5" t="str">
        <f>IF(F1717="", "", IF(B1717&lt;&gt;"", MATCH(B1717, params!$B$2:$R$2, 0), G1716))</f>
        <v/>
      </c>
      <c r="H1717" s="5" t="str">
        <f t="shared" ca="1" si="55"/>
        <v/>
      </c>
      <c r="M1717" s="2"/>
    </row>
    <row r="1718" spans="2:13" ht="15.6" x14ac:dyDescent="0.3">
      <c r="B1718" s="5" t="str">
        <f>IF(COUNTIF(data_val!$E$3:$E$5, sample_log!$E1718), sample_log!$C1718 &amp; "_" &amp; sample_log!$D1718, "")</f>
        <v/>
      </c>
      <c r="C1718" s="5" t="str">
        <f>IF(B1718="", IF(F1718="", "", C1717), IF(sample_log!E1718="Triennial SASS", "tri_params", "params"))</f>
        <v/>
      </c>
      <c r="D1718" s="5" t="str">
        <f>IF(B1718="", "", C1718 &amp; "!" &amp; CHAR(65+MATCH(B1718, params!$B$2:$R$2, 0)))</f>
        <v/>
      </c>
      <c r="E1718" s="5" t="str">
        <f ca="1">IF(B1718="", "", COUNTA(INDIRECT(D1718 &amp; 3):INDIRECT(D1718 &amp; 24)))</f>
        <v/>
      </c>
      <c r="F1718" s="5" t="str">
        <f t="shared" si="54"/>
        <v/>
      </c>
      <c r="G1718" s="5" t="str">
        <f>IF(F1718="", "", IF(B1718&lt;&gt;"", MATCH(B1718, params!$B$2:$R$2, 0), G1717))</f>
        <v/>
      </c>
      <c r="H1718" s="5" t="str">
        <f t="shared" ca="1" si="55"/>
        <v/>
      </c>
      <c r="M1718" s="2"/>
    </row>
    <row r="1719" spans="2:13" ht="15.6" x14ac:dyDescent="0.3">
      <c r="B1719" s="5" t="str">
        <f>IF(COUNTIF(data_val!$E$3:$E$5, sample_log!$E1719), sample_log!$C1719 &amp; "_" &amp; sample_log!$D1719, "")</f>
        <v/>
      </c>
      <c r="C1719" s="5" t="str">
        <f>IF(B1719="", IF(F1719="", "", C1718), IF(sample_log!E1719="Triennial SASS", "tri_params", "params"))</f>
        <v/>
      </c>
      <c r="D1719" s="5" t="str">
        <f>IF(B1719="", "", C1719 &amp; "!" &amp; CHAR(65+MATCH(B1719, params!$B$2:$R$2, 0)))</f>
        <v/>
      </c>
      <c r="E1719" s="5" t="str">
        <f ca="1">IF(B1719="", "", COUNTA(INDIRECT(D1719 &amp; 3):INDIRECT(D1719 &amp; 24)))</f>
        <v/>
      </c>
      <c r="F1719" s="5" t="str">
        <f t="shared" si="54"/>
        <v/>
      </c>
      <c r="G1719" s="5" t="str">
        <f>IF(F1719="", "", IF(B1719&lt;&gt;"", MATCH(B1719, params!$B$2:$R$2, 0), G1718))</f>
        <v/>
      </c>
      <c r="H1719" s="5" t="str">
        <f t="shared" ca="1" si="55"/>
        <v/>
      </c>
      <c r="M1719" s="2"/>
    </row>
    <row r="1720" spans="2:13" ht="15.6" x14ac:dyDescent="0.3">
      <c r="B1720" s="5" t="str">
        <f>IF(COUNTIF(data_val!$E$3:$E$5, sample_log!$E1720), sample_log!$C1720 &amp; "_" &amp; sample_log!$D1720, "")</f>
        <v/>
      </c>
      <c r="C1720" s="5" t="str">
        <f>IF(B1720="", IF(F1720="", "", C1719), IF(sample_log!E1720="Triennial SASS", "tri_params", "params"))</f>
        <v/>
      </c>
      <c r="D1720" s="5" t="str">
        <f>IF(B1720="", "", C1720 &amp; "!" &amp; CHAR(65+MATCH(B1720, params!$B$2:$R$2, 0)))</f>
        <v/>
      </c>
      <c r="E1720" s="5" t="str">
        <f ca="1">IF(B1720="", "", COUNTA(INDIRECT(D1720 &amp; 3):INDIRECT(D1720 &amp; 24)))</f>
        <v/>
      </c>
      <c r="F1720" s="5" t="str">
        <f t="shared" si="54"/>
        <v/>
      </c>
      <c r="G1720" s="5" t="str">
        <f>IF(F1720="", "", IF(B1720&lt;&gt;"", MATCH(B1720, params!$B$2:$R$2, 0), G1719))</f>
        <v/>
      </c>
      <c r="H1720" s="5" t="str">
        <f t="shared" ca="1" si="55"/>
        <v/>
      </c>
      <c r="M1720" s="2"/>
    </row>
    <row r="1721" spans="2:13" ht="15.6" x14ac:dyDescent="0.3">
      <c r="B1721" s="5" t="str">
        <f>IF(COUNTIF(data_val!$E$3:$E$5, sample_log!$E1721), sample_log!$C1721 &amp; "_" &amp; sample_log!$D1721, "")</f>
        <v/>
      </c>
      <c r="C1721" s="5" t="str">
        <f>IF(B1721="", IF(F1721="", "", C1720), IF(sample_log!E1721="Triennial SASS", "tri_params", "params"))</f>
        <v/>
      </c>
      <c r="D1721" s="5" t="str">
        <f>IF(B1721="", "", C1721 &amp; "!" &amp; CHAR(65+MATCH(B1721, params!$B$2:$R$2, 0)))</f>
        <v/>
      </c>
      <c r="E1721" s="5" t="str">
        <f ca="1">IF(B1721="", "", COUNTA(INDIRECT(D1721 &amp; 3):INDIRECT(D1721 &amp; 24)))</f>
        <v/>
      </c>
      <c r="F1721" s="5" t="str">
        <f t="shared" si="54"/>
        <v/>
      </c>
      <c r="G1721" s="5" t="str">
        <f>IF(F1721="", "", IF(B1721&lt;&gt;"", MATCH(B1721, params!$B$2:$R$2, 0), G1720))</f>
        <v/>
      </c>
      <c r="H1721" s="5" t="str">
        <f t="shared" ca="1" si="55"/>
        <v/>
      </c>
      <c r="M1721" s="2"/>
    </row>
    <row r="1722" spans="2:13" ht="15.6" x14ac:dyDescent="0.3">
      <c r="B1722" s="5" t="str">
        <f>IF(COUNTIF(data_val!$E$3:$E$5, sample_log!$E1722), sample_log!$C1722 &amp; "_" &amp; sample_log!$D1722, "")</f>
        <v/>
      </c>
      <c r="C1722" s="5" t="str">
        <f>IF(B1722="", IF(F1722="", "", C1721), IF(sample_log!E1722="Triennial SASS", "tri_params", "params"))</f>
        <v/>
      </c>
      <c r="D1722" s="5" t="str">
        <f>IF(B1722="", "", C1722 &amp; "!" &amp; CHAR(65+MATCH(B1722, params!$B$2:$R$2, 0)))</f>
        <v/>
      </c>
      <c r="E1722" s="5" t="str">
        <f ca="1">IF(B1722="", "", COUNTA(INDIRECT(D1722 &amp; 3):INDIRECT(D1722 &amp; 24)))</f>
        <v/>
      </c>
      <c r="F1722" s="5" t="str">
        <f t="shared" si="54"/>
        <v/>
      </c>
      <c r="G1722" s="5" t="str">
        <f>IF(F1722="", "", IF(B1722&lt;&gt;"", MATCH(B1722, params!$B$2:$R$2, 0), G1721))</f>
        <v/>
      </c>
      <c r="H1722" s="5" t="str">
        <f t="shared" ca="1" si="55"/>
        <v/>
      </c>
      <c r="M1722" s="2"/>
    </row>
    <row r="1723" spans="2:13" ht="15.6" x14ac:dyDescent="0.3">
      <c r="B1723" s="5" t="str">
        <f>IF(COUNTIF(data_val!$E$3:$E$5, sample_log!$E1723), sample_log!$C1723 &amp; "_" &amp; sample_log!$D1723, "")</f>
        <v/>
      </c>
      <c r="C1723" s="5" t="str">
        <f>IF(B1723="", IF(F1723="", "", C1722), IF(sample_log!E1723="Triennial SASS", "tri_params", "params"))</f>
        <v/>
      </c>
      <c r="D1723" s="5" t="str">
        <f>IF(B1723="", "", C1723 &amp; "!" &amp; CHAR(65+MATCH(B1723, params!$B$2:$R$2, 0)))</f>
        <v/>
      </c>
      <c r="E1723" s="5" t="str">
        <f ca="1">IF(B1723="", "", COUNTA(INDIRECT(D1723 &amp; 3):INDIRECT(D1723 &amp; 24)))</f>
        <v/>
      </c>
      <c r="F1723" s="5" t="str">
        <f t="shared" si="54"/>
        <v/>
      </c>
      <c r="G1723" s="5" t="str">
        <f>IF(F1723="", "", IF(B1723&lt;&gt;"", MATCH(B1723, params!$B$2:$R$2, 0), G1722))</f>
        <v/>
      </c>
      <c r="H1723" s="5" t="str">
        <f t="shared" ca="1" si="55"/>
        <v/>
      </c>
      <c r="M1723" s="2"/>
    </row>
    <row r="1724" spans="2:13" ht="15.6" x14ac:dyDescent="0.3">
      <c r="B1724" s="5" t="str">
        <f>IF(COUNTIF(data_val!$E$3:$E$5, sample_log!$E1724), sample_log!$C1724 &amp; "_" &amp; sample_log!$D1724, "")</f>
        <v/>
      </c>
      <c r="C1724" s="5" t="str">
        <f>IF(B1724="", IF(F1724="", "", C1723), IF(sample_log!E1724="Triennial SASS", "tri_params", "params"))</f>
        <v/>
      </c>
      <c r="D1724" s="5" t="str">
        <f>IF(B1724="", "", C1724 &amp; "!" &amp; CHAR(65+MATCH(B1724, params!$B$2:$R$2, 0)))</f>
        <v/>
      </c>
      <c r="E1724" s="5" t="str">
        <f ca="1">IF(B1724="", "", COUNTA(INDIRECT(D1724 &amp; 3):INDIRECT(D1724 &amp; 24)))</f>
        <v/>
      </c>
      <c r="F1724" s="5" t="str">
        <f t="shared" si="54"/>
        <v/>
      </c>
      <c r="G1724" s="5" t="str">
        <f>IF(F1724="", "", IF(B1724&lt;&gt;"", MATCH(B1724, params!$B$2:$R$2, 0), G1723))</f>
        <v/>
      </c>
      <c r="H1724" s="5" t="str">
        <f t="shared" ca="1" si="55"/>
        <v/>
      </c>
      <c r="M1724" s="2"/>
    </row>
    <row r="1725" spans="2:13" ht="15.6" x14ac:dyDescent="0.3">
      <c r="B1725" s="5" t="str">
        <f>IF(COUNTIF(data_val!$E$3:$E$5, sample_log!$E1725), sample_log!$C1725 &amp; "_" &amp; sample_log!$D1725, "")</f>
        <v/>
      </c>
      <c r="C1725" s="5" t="str">
        <f>IF(B1725="", IF(F1725="", "", C1724), IF(sample_log!E1725="Triennial SASS", "tri_params", "params"))</f>
        <v/>
      </c>
      <c r="D1725" s="5" t="str">
        <f>IF(B1725="", "", C1725 &amp; "!" &amp; CHAR(65+MATCH(B1725, params!$B$2:$R$2, 0)))</f>
        <v/>
      </c>
      <c r="E1725" s="5" t="str">
        <f ca="1">IF(B1725="", "", COUNTA(INDIRECT(D1725 &amp; 3):INDIRECT(D1725 &amp; 24)))</f>
        <v/>
      </c>
      <c r="F1725" s="5" t="str">
        <f t="shared" si="54"/>
        <v/>
      </c>
      <c r="G1725" s="5" t="str">
        <f>IF(F1725="", "", IF(B1725&lt;&gt;"", MATCH(B1725, params!$B$2:$R$2, 0), G1724))</f>
        <v/>
      </c>
      <c r="H1725" s="5" t="str">
        <f t="shared" ca="1" si="55"/>
        <v/>
      </c>
      <c r="M1725" s="2"/>
    </row>
    <row r="1726" spans="2:13" ht="15.6" x14ac:dyDescent="0.3">
      <c r="B1726" s="5" t="str">
        <f>IF(COUNTIF(data_val!$E$3:$E$5, sample_log!$E1726), sample_log!$C1726 &amp; "_" &amp; sample_log!$D1726, "")</f>
        <v/>
      </c>
      <c r="C1726" s="5" t="str">
        <f>IF(B1726="", IF(F1726="", "", C1725), IF(sample_log!E1726="Triennial SASS", "tri_params", "params"))</f>
        <v/>
      </c>
      <c r="D1726" s="5" t="str">
        <f>IF(B1726="", "", C1726 &amp; "!" &amp; CHAR(65+MATCH(B1726, params!$B$2:$R$2, 0)))</f>
        <v/>
      </c>
      <c r="E1726" s="5" t="str">
        <f ca="1">IF(B1726="", "", COUNTA(INDIRECT(D1726 &amp; 3):INDIRECT(D1726 &amp; 24)))</f>
        <v/>
      </c>
      <c r="F1726" s="5" t="str">
        <f t="shared" si="54"/>
        <v/>
      </c>
      <c r="G1726" s="5" t="str">
        <f>IF(F1726="", "", IF(B1726&lt;&gt;"", MATCH(B1726, params!$B$2:$R$2, 0), G1725))</f>
        <v/>
      </c>
      <c r="H1726" s="5" t="str">
        <f t="shared" ca="1" si="55"/>
        <v/>
      </c>
      <c r="M1726" s="2"/>
    </row>
    <row r="1727" spans="2:13" ht="15.6" x14ac:dyDescent="0.3">
      <c r="B1727" s="5" t="str">
        <f>IF(COUNTIF(data_val!$E$3:$E$5, sample_log!$E1727), sample_log!$C1727 &amp; "_" &amp; sample_log!$D1727, "")</f>
        <v/>
      </c>
      <c r="C1727" s="5" t="str">
        <f>IF(B1727="", IF(F1727="", "", C1726), IF(sample_log!E1727="Triennial SASS", "tri_params", "params"))</f>
        <v/>
      </c>
      <c r="D1727" s="5" t="str">
        <f>IF(B1727="", "", C1727 &amp; "!" &amp; CHAR(65+MATCH(B1727, params!$B$2:$R$2, 0)))</f>
        <v/>
      </c>
      <c r="E1727" s="5" t="str">
        <f ca="1">IF(B1727="", "", COUNTA(INDIRECT(D1727 &amp; 3):INDIRECT(D1727 &amp; 24)))</f>
        <v/>
      </c>
      <c r="F1727" s="5" t="str">
        <f t="shared" si="54"/>
        <v/>
      </c>
      <c r="G1727" s="5" t="str">
        <f>IF(F1727="", "", IF(B1727&lt;&gt;"", MATCH(B1727, params!$B$2:$R$2, 0), G1726))</f>
        <v/>
      </c>
      <c r="H1727" s="5" t="str">
        <f t="shared" ca="1" si="55"/>
        <v/>
      </c>
      <c r="M1727" s="2"/>
    </row>
    <row r="1728" spans="2:13" ht="15.6" x14ac:dyDescent="0.3">
      <c r="B1728" s="5" t="str">
        <f>IF(COUNTIF(data_val!$E$3:$E$5, sample_log!$E1728), sample_log!$C1728 &amp; "_" &amp; sample_log!$D1728, "")</f>
        <v/>
      </c>
      <c r="C1728" s="5" t="str">
        <f>IF(B1728="", IF(F1728="", "", C1727), IF(sample_log!E1728="Triennial SASS", "tri_params", "params"))</f>
        <v/>
      </c>
      <c r="D1728" s="5" t="str">
        <f>IF(B1728="", "", C1728 &amp; "!" &amp; CHAR(65+MATCH(B1728, params!$B$2:$R$2, 0)))</f>
        <v/>
      </c>
      <c r="E1728" s="5" t="str">
        <f ca="1">IF(B1728="", "", COUNTA(INDIRECT(D1728 &amp; 3):INDIRECT(D1728 &amp; 24)))</f>
        <v/>
      </c>
      <c r="F1728" s="5" t="str">
        <f t="shared" si="54"/>
        <v/>
      </c>
      <c r="G1728" s="5" t="str">
        <f>IF(F1728="", "", IF(B1728&lt;&gt;"", MATCH(B1728, params!$B$2:$R$2, 0), G1727))</f>
        <v/>
      </c>
      <c r="H1728" s="5" t="str">
        <f t="shared" ca="1" si="55"/>
        <v/>
      </c>
      <c r="M1728" s="2"/>
    </row>
    <row r="1729" spans="2:13" ht="15.6" x14ac:dyDescent="0.3">
      <c r="B1729" s="5" t="str">
        <f>IF(COUNTIF(data_val!$E$3:$E$5, sample_log!$E1729), sample_log!$C1729 &amp; "_" &amp; sample_log!$D1729, "")</f>
        <v/>
      </c>
      <c r="C1729" s="5" t="str">
        <f>IF(B1729="", IF(F1729="", "", C1728), IF(sample_log!E1729="Triennial SASS", "tri_params", "params"))</f>
        <v/>
      </c>
      <c r="D1729" s="5" t="str">
        <f>IF(B1729="", "", C1729 &amp; "!" &amp; CHAR(65+MATCH(B1729, params!$B$2:$R$2, 0)))</f>
        <v/>
      </c>
      <c r="E1729" s="5" t="str">
        <f ca="1">IF(B1729="", "", COUNTA(INDIRECT(D1729 &amp; 3):INDIRECT(D1729 &amp; 24)))</f>
        <v/>
      </c>
      <c r="F1729" s="5" t="str">
        <f t="shared" si="54"/>
        <v/>
      </c>
      <c r="G1729" s="5" t="str">
        <f>IF(F1729="", "", IF(B1729&lt;&gt;"", MATCH(B1729, params!$B$2:$R$2, 0), G1728))</f>
        <v/>
      </c>
      <c r="H1729" s="5" t="str">
        <f t="shared" ca="1" si="55"/>
        <v/>
      </c>
      <c r="M1729" s="2"/>
    </row>
    <row r="1730" spans="2:13" ht="15.6" x14ac:dyDescent="0.3">
      <c r="B1730" s="5" t="str">
        <f>IF(COUNTIF(data_val!$E$3:$E$5, sample_log!$E1730), sample_log!$C1730 &amp; "_" &amp; sample_log!$D1730, "")</f>
        <v/>
      </c>
      <c r="C1730" s="5" t="str">
        <f>IF(B1730="", IF(F1730="", "", C1729), IF(sample_log!E1730="Triennial SASS", "tri_params", "params"))</f>
        <v/>
      </c>
      <c r="D1730" s="5" t="str">
        <f>IF(B1730="", "", C1730 &amp; "!" &amp; CHAR(65+MATCH(B1730, params!$B$2:$R$2, 0)))</f>
        <v/>
      </c>
      <c r="E1730" s="5" t="str">
        <f ca="1">IF(B1730="", "", COUNTA(INDIRECT(D1730 &amp; 3):INDIRECT(D1730 &amp; 24)))</f>
        <v/>
      </c>
      <c r="F1730" s="5" t="str">
        <f t="shared" si="54"/>
        <v/>
      </c>
      <c r="G1730" s="5" t="str">
        <f>IF(F1730="", "", IF(B1730&lt;&gt;"", MATCH(B1730, params!$B$2:$R$2, 0), G1729))</f>
        <v/>
      </c>
      <c r="H1730" s="5" t="str">
        <f t="shared" ca="1" si="55"/>
        <v/>
      </c>
      <c r="M1730" s="2"/>
    </row>
    <row r="1731" spans="2:13" ht="15.6" x14ac:dyDescent="0.3">
      <c r="B1731" s="5" t="str">
        <f>IF(COUNTIF(data_val!$E$3:$E$5, sample_log!$E1731), sample_log!$C1731 &amp; "_" &amp; sample_log!$D1731, "")</f>
        <v/>
      </c>
      <c r="C1731" s="5" t="str">
        <f>IF(B1731="", IF(F1731="", "", C1730), IF(sample_log!E1731="Triennial SASS", "tri_params", "params"))</f>
        <v/>
      </c>
      <c r="D1731" s="5" t="str">
        <f>IF(B1731="", "", C1731 &amp; "!" &amp; CHAR(65+MATCH(B1731, params!$B$2:$R$2, 0)))</f>
        <v/>
      </c>
      <c r="E1731" s="5" t="str">
        <f ca="1">IF(B1731="", "", COUNTA(INDIRECT(D1731 &amp; 3):INDIRECT(D1731 &amp; 24)))</f>
        <v/>
      </c>
      <c r="F1731" s="5" t="str">
        <f t="shared" ref="F1731:F1794" si="56">IF(B1731="", IF(NOT(ISNUMBER(F1730)), "", IF(F1730-1&gt;0, F1730-1, "")), E1731)</f>
        <v/>
      </c>
      <c r="G1731" s="5" t="str">
        <f>IF(F1731="", "", IF(B1731&lt;&gt;"", MATCH(B1731, params!$B$2:$R$2, 0), G1730))</f>
        <v/>
      </c>
      <c r="H1731" s="5" t="str">
        <f t="shared" ca="1" si="55"/>
        <v/>
      </c>
      <c r="M1731" s="2"/>
    </row>
    <row r="1732" spans="2:13" ht="15.6" x14ac:dyDescent="0.3">
      <c r="B1732" s="5" t="str">
        <f>IF(COUNTIF(data_val!$E$3:$E$5, sample_log!$E1732), sample_log!$C1732 &amp; "_" &amp; sample_log!$D1732, "")</f>
        <v/>
      </c>
      <c r="C1732" s="5" t="str">
        <f>IF(B1732="", IF(F1732="", "", C1731), IF(sample_log!E1732="Triennial SASS", "tri_params", "params"))</f>
        <v/>
      </c>
      <c r="D1732" s="5" t="str">
        <f>IF(B1732="", "", C1732 &amp; "!" &amp; CHAR(65+MATCH(B1732, params!$B$2:$R$2, 0)))</f>
        <v/>
      </c>
      <c r="E1732" s="5" t="str">
        <f ca="1">IF(B1732="", "", COUNTA(INDIRECT(D1732 &amp; 3):INDIRECT(D1732 &amp; 24)))</f>
        <v/>
      </c>
      <c r="F1732" s="5" t="str">
        <f t="shared" si="56"/>
        <v/>
      </c>
      <c r="G1732" s="5" t="str">
        <f>IF(F1732="", "", IF(B1732&lt;&gt;"", MATCH(B1732, params!$B$2:$R$2, 0), G1731))</f>
        <v/>
      </c>
      <c r="H1732" s="5" t="str">
        <f t="shared" ca="1" si="55"/>
        <v/>
      </c>
      <c r="M1732" s="2"/>
    </row>
    <row r="1733" spans="2:13" ht="15.6" x14ac:dyDescent="0.3">
      <c r="B1733" s="5" t="str">
        <f>IF(COUNTIF(data_val!$E$3:$E$5, sample_log!$E1733), sample_log!$C1733 &amp; "_" &amp; sample_log!$D1733, "")</f>
        <v/>
      </c>
      <c r="C1733" s="5" t="str">
        <f>IF(B1733="", IF(F1733="", "", C1732), IF(sample_log!E1733="Triennial SASS", "tri_params", "params"))</f>
        <v/>
      </c>
      <c r="D1733" s="5" t="str">
        <f>IF(B1733="", "", C1733 &amp; "!" &amp; CHAR(65+MATCH(B1733, params!$B$2:$R$2, 0)))</f>
        <v/>
      </c>
      <c r="E1733" s="5" t="str">
        <f ca="1">IF(B1733="", "", COUNTA(INDIRECT(D1733 &amp; 3):INDIRECT(D1733 &amp; 24)))</f>
        <v/>
      </c>
      <c r="F1733" s="5" t="str">
        <f t="shared" si="56"/>
        <v/>
      </c>
      <c r="G1733" s="5" t="str">
        <f>IF(F1733="", "", IF(B1733&lt;&gt;"", MATCH(B1733, params!$B$2:$R$2, 0), G1732))</f>
        <v/>
      </c>
      <c r="H1733" s="5" t="str">
        <f t="shared" ca="1" si="55"/>
        <v/>
      </c>
      <c r="M1733" s="2"/>
    </row>
    <row r="1734" spans="2:13" ht="15.6" x14ac:dyDescent="0.3">
      <c r="B1734" s="5" t="str">
        <f>IF(COUNTIF(data_val!$E$3:$E$5, sample_log!$E1734), sample_log!$C1734 &amp; "_" &amp; sample_log!$D1734, "")</f>
        <v/>
      </c>
      <c r="C1734" s="5" t="str">
        <f>IF(B1734="", IF(F1734="", "", C1733), IF(sample_log!E1734="Triennial SASS", "tri_params", "params"))</f>
        <v/>
      </c>
      <c r="D1734" s="5" t="str">
        <f>IF(B1734="", "", C1734 &amp; "!" &amp; CHAR(65+MATCH(B1734, params!$B$2:$R$2, 0)))</f>
        <v/>
      </c>
      <c r="E1734" s="5" t="str">
        <f ca="1">IF(B1734="", "", COUNTA(INDIRECT(D1734 &amp; 3):INDIRECT(D1734 &amp; 24)))</f>
        <v/>
      </c>
      <c r="F1734" s="5" t="str">
        <f t="shared" si="56"/>
        <v/>
      </c>
      <c r="G1734" s="5" t="str">
        <f>IF(F1734="", "", IF(B1734&lt;&gt;"", MATCH(B1734, params!$B$2:$R$2, 0), G1733))</f>
        <v/>
      </c>
      <c r="H1734" s="5" t="str">
        <f t="shared" ca="1" si="55"/>
        <v/>
      </c>
      <c r="M1734" s="2"/>
    </row>
    <row r="1735" spans="2:13" ht="15.6" x14ac:dyDescent="0.3">
      <c r="B1735" s="5" t="str">
        <f>IF(COUNTIF(data_val!$E$3:$E$5, sample_log!$E1735), sample_log!$C1735 &amp; "_" &amp; sample_log!$D1735, "")</f>
        <v/>
      </c>
      <c r="C1735" s="5" t="str">
        <f>IF(B1735="", IF(F1735="", "", C1734), IF(sample_log!E1735="Triennial SASS", "tri_params", "params"))</f>
        <v/>
      </c>
      <c r="D1735" s="5" t="str">
        <f>IF(B1735="", "", C1735 &amp; "!" &amp; CHAR(65+MATCH(B1735, params!$B$2:$R$2, 0)))</f>
        <v/>
      </c>
      <c r="E1735" s="5" t="str">
        <f ca="1">IF(B1735="", "", COUNTA(INDIRECT(D1735 &amp; 3):INDIRECT(D1735 &amp; 24)))</f>
        <v/>
      </c>
      <c r="F1735" s="5" t="str">
        <f t="shared" si="56"/>
        <v/>
      </c>
      <c r="G1735" s="5" t="str">
        <f>IF(F1735="", "", IF(B1735&lt;&gt;"", MATCH(B1735, params!$B$2:$R$2, 0), G1734))</f>
        <v/>
      </c>
      <c r="H1735" s="5" t="str">
        <f t="shared" ca="1" si="55"/>
        <v/>
      </c>
      <c r="M1735" s="2"/>
    </row>
    <row r="1736" spans="2:13" ht="15.6" x14ac:dyDescent="0.3">
      <c r="B1736" s="5" t="str">
        <f>IF(COUNTIF(data_val!$E$3:$E$5, sample_log!$E1736), sample_log!$C1736 &amp; "_" &amp; sample_log!$D1736, "")</f>
        <v/>
      </c>
      <c r="C1736" s="5" t="str">
        <f>IF(B1736="", IF(F1736="", "", C1735), IF(sample_log!E1736="Triennial SASS", "tri_params", "params"))</f>
        <v/>
      </c>
      <c r="D1736" s="5" t="str">
        <f>IF(B1736="", "", C1736 &amp; "!" &amp; CHAR(65+MATCH(B1736, params!$B$2:$R$2, 0)))</f>
        <v/>
      </c>
      <c r="E1736" s="5" t="str">
        <f ca="1">IF(B1736="", "", COUNTA(INDIRECT(D1736 &amp; 3):INDIRECT(D1736 &amp; 24)))</f>
        <v/>
      </c>
      <c r="F1736" s="5" t="str">
        <f t="shared" si="56"/>
        <v/>
      </c>
      <c r="G1736" s="5" t="str">
        <f>IF(F1736="", "", IF(B1736&lt;&gt;"", MATCH(B1736, params!$B$2:$R$2, 0), G1735))</f>
        <v/>
      </c>
      <c r="H1736" s="5" t="str">
        <f t="shared" ca="1" si="55"/>
        <v/>
      </c>
      <c r="M1736" s="2"/>
    </row>
    <row r="1737" spans="2:13" ht="15.6" x14ac:dyDescent="0.3">
      <c r="B1737" s="5" t="str">
        <f>IF(COUNTIF(data_val!$E$3:$E$5, sample_log!$E1737), sample_log!$C1737 &amp; "_" &amp; sample_log!$D1737, "")</f>
        <v/>
      </c>
      <c r="C1737" s="5" t="str">
        <f>IF(B1737="", IF(F1737="", "", C1736), IF(sample_log!E1737="Triennial SASS", "tri_params", "params"))</f>
        <v/>
      </c>
      <c r="D1737" s="5" t="str">
        <f>IF(B1737="", "", C1737 &amp; "!" &amp; CHAR(65+MATCH(B1737, params!$B$2:$R$2, 0)))</f>
        <v/>
      </c>
      <c r="E1737" s="5" t="str">
        <f ca="1">IF(B1737="", "", COUNTA(INDIRECT(D1737 &amp; 3):INDIRECT(D1737 &amp; 24)))</f>
        <v/>
      </c>
      <c r="F1737" s="5" t="str">
        <f t="shared" si="56"/>
        <v/>
      </c>
      <c r="G1737" s="5" t="str">
        <f>IF(F1737="", "", IF(B1737&lt;&gt;"", MATCH(B1737, params!$B$2:$R$2, 0), G1736))</f>
        <v/>
      </c>
      <c r="H1737" s="5" t="str">
        <f t="shared" ca="1" si="55"/>
        <v/>
      </c>
      <c r="M1737" s="2"/>
    </row>
    <row r="1738" spans="2:13" ht="15.6" x14ac:dyDescent="0.3">
      <c r="B1738" s="5" t="str">
        <f>IF(COUNTIF(data_val!$E$3:$E$5, sample_log!$E1738), sample_log!$C1738 &amp; "_" &amp; sample_log!$D1738, "")</f>
        <v/>
      </c>
      <c r="C1738" s="5" t="str">
        <f>IF(B1738="", IF(F1738="", "", C1737), IF(sample_log!E1738="Triennial SASS", "tri_params", "params"))</f>
        <v/>
      </c>
      <c r="D1738" s="5" t="str">
        <f>IF(B1738="", "", C1738 &amp; "!" &amp; CHAR(65+MATCH(B1738, params!$B$2:$R$2, 0)))</f>
        <v/>
      </c>
      <c r="E1738" s="5" t="str">
        <f ca="1">IF(B1738="", "", COUNTA(INDIRECT(D1738 &amp; 3):INDIRECT(D1738 &amp; 24)))</f>
        <v/>
      </c>
      <c r="F1738" s="5" t="str">
        <f t="shared" si="56"/>
        <v/>
      </c>
      <c r="G1738" s="5" t="str">
        <f>IF(F1738="", "", IF(B1738&lt;&gt;"", MATCH(B1738, params!$B$2:$R$2, 0), G1737))</f>
        <v/>
      </c>
      <c r="H1738" s="5" t="str">
        <f t="shared" ca="1" si="55"/>
        <v/>
      </c>
      <c r="M1738" s="2"/>
    </row>
    <row r="1739" spans="2:13" ht="15.6" x14ac:dyDescent="0.3">
      <c r="B1739" s="5" t="str">
        <f>IF(COUNTIF(data_val!$E$3:$E$5, sample_log!$E1739), sample_log!$C1739 &amp; "_" &amp; sample_log!$D1739, "")</f>
        <v/>
      </c>
      <c r="C1739" s="5" t="str">
        <f>IF(B1739="", IF(F1739="", "", C1738), IF(sample_log!E1739="Triennial SASS", "tri_params", "params"))</f>
        <v/>
      </c>
      <c r="D1739" s="5" t="str">
        <f>IF(B1739="", "", C1739 &amp; "!" &amp; CHAR(65+MATCH(B1739, params!$B$2:$R$2, 0)))</f>
        <v/>
      </c>
      <c r="E1739" s="5" t="str">
        <f ca="1">IF(B1739="", "", COUNTA(INDIRECT(D1739 &amp; 3):INDIRECT(D1739 &amp; 24)))</f>
        <v/>
      </c>
      <c r="F1739" s="5" t="str">
        <f t="shared" si="56"/>
        <v/>
      </c>
      <c r="G1739" s="5" t="str">
        <f>IF(F1739="", "", IF(B1739&lt;&gt;"", MATCH(B1739, params!$B$2:$R$2, 0), G1738))</f>
        <v/>
      </c>
      <c r="H1739" s="5" t="str">
        <f t="shared" ca="1" si="55"/>
        <v/>
      </c>
      <c r="M1739" s="2"/>
    </row>
    <row r="1740" spans="2:13" ht="15.6" x14ac:dyDescent="0.3">
      <c r="B1740" s="5" t="str">
        <f>IF(COUNTIF(data_val!$E$3:$E$5, sample_log!$E1740), sample_log!$C1740 &amp; "_" &amp; sample_log!$D1740, "")</f>
        <v/>
      </c>
      <c r="C1740" s="5" t="str">
        <f>IF(B1740="", IF(F1740="", "", C1739), IF(sample_log!E1740="Triennial SASS", "tri_params", "params"))</f>
        <v/>
      </c>
      <c r="D1740" s="5" t="str">
        <f>IF(B1740="", "", C1740 &amp; "!" &amp; CHAR(65+MATCH(B1740, params!$B$2:$R$2, 0)))</f>
        <v/>
      </c>
      <c r="E1740" s="5" t="str">
        <f ca="1">IF(B1740="", "", COUNTA(INDIRECT(D1740 &amp; 3):INDIRECT(D1740 &amp; 24)))</f>
        <v/>
      </c>
      <c r="F1740" s="5" t="str">
        <f t="shared" si="56"/>
        <v/>
      </c>
      <c r="G1740" s="5" t="str">
        <f>IF(F1740="", "", IF(B1740&lt;&gt;"", MATCH(B1740, params!$B$2:$R$2, 0), G1739))</f>
        <v/>
      </c>
      <c r="H1740" s="5" t="str">
        <f t="shared" ca="1" si="55"/>
        <v/>
      </c>
      <c r="M1740" s="2"/>
    </row>
    <row r="1741" spans="2:13" ht="15.6" x14ac:dyDescent="0.3">
      <c r="B1741" s="5" t="str">
        <f>IF(COUNTIF(data_val!$E$3:$E$5, sample_log!$E1741), sample_log!$C1741 &amp; "_" &amp; sample_log!$D1741, "")</f>
        <v/>
      </c>
      <c r="C1741" s="5" t="str">
        <f>IF(B1741="", IF(F1741="", "", C1740), IF(sample_log!E1741="Triennial SASS", "tri_params", "params"))</f>
        <v/>
      </c>
      <c r="D1741" s="5" t="str">
        <f>IF(B1741="", "", C1741 &amp; "!" &amp; CHAR(65+MATCH(B1741, params!$B$2:$R$2, 0)))</f>
        <v/>
      </c>
      <c r="E1741" s="5" t="str">
        <f ca="1">IF(B1741="", "", COUNTA(INDIRECT(D1741 &amp; 3):INDIRECT(D1741 &amp; 24)))</f>
        <v/>
      </c>
      <c r="F1741" s="5" t="str">
        <f t="shared" si="56"/>
        <v/>
      </c>
      <c r="G1741" s="5" t="str">
        <f>IF(F1741="", "", IF(B1741&lt;&gt;"", MATCH(B1741, params!$B$2:$R$2, 0), G1740))</f>
        <v/>
      </c>
      <c r="H1741" s="5" t="str">
        <f t="shared" ca="1" si="55"/>
        <v/>
      </c>
      <c r="M1741" s="2"/>
    </row>
    <row r="1742" spans="2:13" ht="15.6" x14ac:dyDescent="0.3">
      <c r="B1742" s="5" t="str">
        <f>IF(COUNTIF(data_val!$E$3:$E$5, sample_log!$E1742), sample_log!$C1742 &amp; "_" &amp; sample_log!$D1742, "")</f>
        <v/>
      </c>
      <c r="C1742" s="5" t="str">
        <f>IF(B1742="", IF(F1742="", "", C1741), IF(sample_log!E1742="Triennial SASS", "tri_params", "params"))</f>
        <v/>
      </c>
      <c r="D1742" s="5" t="str">
        <f>IF(B1742="", "", C1742 &amp; "!" &amp; CHAR(65+MATCH(B1742, params!$B$2:$R$2, 0)))</f>
        <v/>
      </c>
      <c r="E1742" s="5" t="str">
        <f ca="1">IF(B1742="", "", COUNTA(INDIRECT(D1742 &amp; 3):INDIRECT(D1742 &amp; 24)))</f>
        <v/>
      </c>
      <c r="F1742" s="5" t="str">
        <f t="shared" si="56"/>
        <v/>
      </c>
      <c r="G1742" s="5" t="str">
        <f>IF(F1742="", "", IF(B1742&lt;&gt;"", MATCH(B1742, params!$B$2:$R$2, 0), G1741))</f>
        <v/>
      </c>
      <c r="H1742" s="5" t="str">
        <f t="shared" ca="1" si="55"/>
        <v/>
      </c>
      <c r="M1742" s="2"/>
    </row>
    <row r="1743" spans="2:13" ht="15.6" x14ac:dyDescent="0.3">
      <c r="B1743" s="5" t="str">
        <f>IF(COUNTIF(data_val!$E$3:$E$5, sample_log!$E1743), sample_log!$C1743 &amp; "_" &amp; sample_log!$D1743, "")</f>
        <v/>
      </c>
      <c r="C1743" s="5" t="str">
        <f>IF(B1743="", IF(F1743="", "", C1742), IF(sample_log!E1743="Triennial SASS", "tri_params", "params"))</f>
        <v/>
      </c>
      <c r="D1743" s="5" t="str">
        <f>IF(B1743="", "", C1743 &amp; "!" &amp; CHAR(65+MATCH(B1743, params!$B$2:$R$2, 0)))</f>
        <v/>
      </c>
      <c r="E1743" s="5" t="str">
        <f ca="1">IF(B1743="", "", COUNTA(INDIRECT(D1743 &amp; 3):INDIRECT(D1743 &amp; 24)))</f>
        <v/>
      </c>
      <c r="F1743" s="5" t="str">
        <f t="shared" si="56"/>
        <v/>
      </c>
      <c r="G1743" s="5" t="str">
        <f>IF(F1743="", "", IF(B1743&lt;&gt;"", MATCH(B1743, params!$B$2:$R$2, 0), G1742))</f>
        <v/>
      </c>
      <c r="H1743" s="5" t="str">
        <f t="shared" ca="1" si="55"/>
        <v/>
      </c>
      <c r="M1743" s="2"/>
    </row>
    <row r="1744" spans="2:13" ht="15.6" x14ac:dyDescent="0.3">
      <c r="B1744" s="5" t="str">
        <f>IF(COUNTIF(data_val!$E$3:$E$5, sample_log!$E1744), sample_log!$C1744 &amp; "_" &amp; sample_log!$D1744, "")</f>
        <v/>
      </c>
      <c r="C1744" s="5" t="str">
        <f>IF(B1744="", IF(F1744="", "", C1743), IF(sample_log!E1744="Triennial SASS", "tri_params", "params"))</f>
        <v/>
      </c>
      <c r="D1744" s="5" t="str">
        <f>IF(B1744="", "", C1744 &amp; "!" &amp; CHAR(65+MATCH(B1744, params!$B$2:$R$2, 0)))</f>
        <v/>
      </c>
      <c r="E1744" s="5" t="str">
        <f ca="1">IF(B1744="", "", COUNTA(INDIRECT(D1744 &amp; 3):INDIRECT(D1744 &amp; 24)))</f>
        <v/>
      </c>
      <c r="F1744" s="5" t="str">
        <f t="shared" si="56"/>
        <v/>
      </c>
      <c r="G1744" s="5" t="str">
        <f>IF(F1744="", "", IF(B1744&lt;&gt;"", MATCH(B1744, params!$B$2:$R$2, 0), G1743))</f>
        <v/>
      </c>
      <c r="H1744" s="5" t="str">
        <f t="shared" ca="1" si="55"/>
        <v/>
      </c>
      <c r="M1744" s="2"/>
    </row>
    <row r="1745" spans="2:13" ht="15.6" x14ac:dyDescent="0.3">
      <c r="B1745" s="5" t="str">
        <f>IF(COUNTIF(data_val!$E$3:$E$5, sample_log!$E1745), sample_log!$C1745 &amp; "_" &amp; sample_log!$D1745, "")</f>
        <v/>
      </c>
      <c r="C1745" s="5" t="str">
        <f>IF(B1745="", IF(F1745="", "", C1744), IF(sample_log!E1745="Triennial SASS", "tri_params", "params"))</f>
        <v/>
      </c>
      <c r="D1745" s="5" t="str">
        <f>IF(B1745="", "", C1745 &amp; "!" &amp; CHAR(65+MATCH(B1745, params!$B$2:$R$2, 0)))</f>
        <v/>
      </c>
      <c r="E1745" s="5" t="str">
        <f ca="1">IF(B1745="", "", COUNTA(INDIRECT(D1745 &amp; 3):INDIRECT(D1745 &amp; 24)))</f>
        <v/>
      </c>
      <c r="F1745" s="5" t="str">
        <f t="shared" si="56"/>
        <v/>
      </c>
      <c r="G1745" s="5" t="str">
        <f>IF(F1745="", "", IF(B1745&lt;&gt;"", MATCH(B1745, params!$B$2:$R$2, 0), G1744))</f>
        <v/>
      </c>
      <c r="H1745" s="5" t="str">
        <f t="shared" ca="1" si="55"/>
        <v/>
      </c>
      <c r="M1745" s="2"/>
    </row>
    <row r="1746" spans="2:13" ht="15.6" x14ac:dyDescent="0.3">
      <c r="B1746" s="5" t="str">
        <f>IF(COUNTIF(data_val!$E$3:$E$5, sample_log!$E1746), sample_log!$C1746 &amp; "_" &amp; sample_log!$D1746, "")</f>
        <v/>
      </c>
      <c r="C1746" s="5" t="str">
        <f>IF(B1746="", IF(F1746="", "", C1745), IF(sample_log!E1746="Triennial SASS", "tri_params", "params"))</f>
        <v/>
      </c>
      <c r="D1746" s="5" t="str">
        <f>IF(B1746="", "", C1746 &amp; "!" &amp; CHAR(65+MATCH(B1746, params!$B$2:$R$2, 0)))</f>
        <v/>
      </c>
      <c r="E1746" s="5" t="str">
        <f ca="1">IF(B1746="", "", COUNTA(INDIRECT(D1746 &amp; 3):INDIRECT(D1746 &amp; 24)))</f>
        <v/>
      </c>
      <c r="F1746" s="5" t="str">
        <f t="shared" si="56"/>
        <v/>
      </c>
      <c r="G1746" s="5" t="str">
        <f>IF(F1746="", "", IF(B1746&lt;&gt;"", MATCH(B1746, params!$B$2:$R$2, 0), G1745))</f>
        <v/>
      </c>
      <c r="H1746" s="5" t="str">
        <f t="shared" ca="1" si="55"/>
        <v/>
      </c>
      <c r="M1746" s="2"/>
    </row>
    <row r="1747" spans="2:13" ht="15.6" x14ac:dyDescent="0.3">
      <c r="B1747" s="5" t="str">
        <f>IF(COUNTIF(data_val!$E$3:$E$5, sample_log!$E1747), sample_log!$C1747 &amp; "_" &amp; sample_log!$D1747, "")</f>
        <v/>
      </c>
      <c r="C1747" s="5" t="str">
        <f>IF(B1747="", IF(F1747="", "", C1746), IF(sample_log!E1747="Triennial SASS", "tri_params", "params"))</f>
        <v/>
      </c>
      <c r="D1747" s="5" t="str">
        <f>IF(B1747="", "", C1747 &amp; "!" &amp; CHAR(65+MATCH(B1747, params!$B$2:$R$2, 0)))</f>
        <v/>
      </c>
      <c r="E1747" s="5" t="str">
        <f ca="1">IF(B1747="", "", COUNTA(INDIRECT(D1747 &amp; 3):INDIRECT(D1747 &amp; 24)))</f>
        <v/>
      </c>
      <c r="F1747" s="5" t="str">
        <f t="shared" si="56"/>
        <v/>
      </c>
      <c r="G1747" s="5" t="str">
        <f>IF(F1747="", "", IF(B1747&lt;&gt;"", MATCH(B1747, params!$B$2:$R$2, 0), G1746))</f>
        <v/>
      </c>
      <c r="H1747" s="5" t="str">
        <f t="shared" ca="1" si="55"/>
        <v/>
      </c>
      <c r="M1747" s="2"/>
    </row>
    <row r="1748" spans="2:13" ht="15.6" x14ac:dyDescent="0.3">
      <c r="B1748" s="5" t="str">
        <f>IF(COUNTIF(data_val!$E$3:$E$5, sample_log!$E1748), sample_log!$C1748 &amp; "_" &amp; sample_log!$D1748, "")</f>
        <v/>
      </c>
      <c r="C1748" s="5" t="str">
        <f>IF(B1748="", IF(F1748="", "", C1747), IF(sample_log!E1748="Triennial SASS", "tri_params", "params"))</f>
        <v/>
      </c>
      <c r="D1748" s="5" t="str">
        <f>IF(B1748="", "", C1748 &amp; "!" &amp; CHAR(65+MATCH(B1748, params!$B$2:$R$2, 0)))</f>
        <v/>
      </c>
      <c r="E1748" s="5" t="str">
        <f ca="1">IF(B1748="", "", COUNTA(INDIRECT(D1748 &amp; 3):INDIRECT(D1748 &amp; 24)))</f>
        <v/>
      </c>
      <c r="F1748" s="5" t="str">
        <f t="shared" si="56"/>
        <v/>
      </c>
      <c r="G1748" s="5" t="str">
        <f>IF(F1748="", "", IF(B1748&lt;&gt;"", MATCH(B1748, params!$B$2:$R$2, 0), G1747))</f>
        <v/>
      </c>
      <c r="H1748" s="5" t="str">
        <f t="shared" ca="1" si="55"/>
        <v/>
      </c>
      <c r="M1748" s="2"/>
    </row>
    <row r="1749" spans="2:13" ht="15.6" x14ac:dyDescent="0.3">
      <c r="B1749" s="5" t="str">
        <f>IF(COUNTIF(data_val!$E$3:$E$5, sample_log!$E1749), sample_log!$C1749 &amp; "_" &amp; sample_log!$D1749, "")</f>
        <v/>
      </c>
      <c r="C1749" s="5" t="str">
        <f>IF(B1749="", IF(F1749="", "", C1748), IF(sample_log!E1749="Triennial SASS", "tri_params", "params"))</f>
        <v/>
      </c>
      <c r="D1749" s="5" t="str">
        <f>IF(B1749="", "", C1749 &amp; "!" &amp; CHAR(65+MATCH(B1749, params!$B$2:$R$2, 0)))</f>
        <v/>
      </c>
      <c r="E1749" s="5" t="str">
        <f ca="1">IF(B1749="", "", COUNTA(INDIRECT(D1749 &amp; 3):INDIRECT(D1749 &amp; 24)))</f>
        <v/>
      </c>
      <c r="F1749" s="5" t="str">
        <f t="shared" si="56"/>
        <v/>
      </c>
      <c r="G1749" s="5" t="str">
        <f>IF(F1749="", "", IF(B1749&lt;&gt;"", MATCH(B1749, params!$B$2:$R$2, 0), G1748))</f>
        <v/>
      </c>
      <c r="H1749" s="5" t="str">
        <f t="shared" ca="1" si="55"/>
        <v/>
      </c>
      <c r="M1749" s="2"/>
    </row>
    <row r="1750" spans="2:13" ht="15.6" x14ac:dyDescent="0.3">
      <c r="B1750" s="5" t="str">
        <f>IF(COUNTIF(data_val!$E$3:$E$5, sample_log!$E1750), sample_log!$C1750 &amp; "_" &amp; sample_log!$D1750, "")</f>
        <v/>
      </c>
      <c r="C1750" s="5" t="str">
        <f>IF(B1750="", IF(F1750="", "", C1749), IF(sample_log!E1750="Triennial SASS", "tri_params", "params"))</f>
        <v/>
      </c>
      <c r="D1750" s="5" t="str">
        <f>IF(B1750="", "", C1750 &amp; "!" &amp; CHAR(65+MATCH(B1750, params!$B$2:$R$2, 0)))</f>
        <v/>
      </c>
      <c r="E1750" s="5" t="str">
        <f ca="1">IF(B1750="", "", COUNTA(INDIRECT(D1750 &amp; 3):INDIRECT(D1750 &amp; 24)))</f>
        <v/>
      </c>
      <c r="F1750" s="5" t="str">
        <f t="shared" si="56"/>
        <v/>
      </c>
      <c r="G1750" s="5" t="str">
        <f>IF(F1750="", "", IF(B1750&lt;&gt;"", MATCH(B1750, params!$B$2:$R$2, 0), G1749))</f>
        <v/>
      </c>
      <c r="H1750" s="5" t="str">
        <f t="shared" ca="1" si="55"/>
        <v/>
      </c>
      <c r="M1750" s="2"/>
    </row>
    <row r="1751" spans="2:13" ht="15.6" x14ac:dyDescent="0.3">
      <c r="B1751" s="5" t="str">
        <f>IF(COUNTIF(data_val!$E$3:$E$5, sample_log!$E1751), sample_log!$C1751 &amp; "_" &amp; sample_log!$D1751, "")</f>
        <v/>
      </c>
      <c r="C1751" s="5" t="str">
        <f>IF(B1751="", IF(F1751="", "", C1750), IF(sample_log!E1751="Triennial SASS", "tri_params", "params"))</f>
        <v/>
      </c>
      <c r="D1751" s="5" t="str">
        <f>IF(B1751="", "", C1751 &amp; "!" &amp; CHAR(65+MATCH(B1751, params!$B$2:$R$2, 0)))</f>
        <v/>
      </c>
      <c r="E1751" s="5" t="str">
        <f ca="1">IF(B1751="", "", COUNTA(INDIRECT(D1751 &amp; 3):INDIRECT(D1751 &amp; 24)))</f>
        <v/>
      </c>
      <c r="F1751" s="5" t="str">
        <f t="shared" si="56"/>
        <v/>
      </c>
      <c r="G1751" s="5" t="str">
        <f>IF(F1751="", "", IF(B1751&lt;&gt;"", MATCH(B1751, params!$B$2:$R$2, 0), G1750))</f>
        <v/>
      </c>
      <c r="H1751" s="5" t="str">
        <f t="shared" ca="1" si="55"/>
        <v/>
      </c>
      <c r="M1751" s="2"/>
    </row>
    <row r="1752" spans="2:13" ht="15.6" x14ac:dyDescent="0.3">
      <c r="B1752" s="5" t="str">
        <f>IF(COUNTIF(data_val!$E$3:$E$5, sample_log!$E1752), sample_log!$C1752 &amp; "_" &amp; sample_log!$D1752, "")</f>
        <v/>
      </c>
      <c r="C1752" s="5" t="str">
        <f>IF(B1752="", IF(F1752="", "", C1751), IF(sample_log!E1752="Triennial SASS", "tri_params", "params"))</f>
        <v/>
      </c>
      <c r="D1752" s="5" t="str">
        <f>IF(B1752="", "", C1752 &amp; "!" &amp; CHAR(65+MATCH(B1752, params!$B$2:$R$2, 0)))</f>
        <v/>
      </c>
      <c r="E1752" s="5" t="str">
        <f ca="1">IF(B1752="", "", COUNTA(INDIRECT(D1752 &amp; 3):INDIRECT(D1752 &amp; 24)))</f>
        <v/>
      </c>
      <c r="F1752" s="5" t="str">
        <f t="shared" si="56"/>
        <v/>
      </c>
      <c r="G1752" s="5" t="str">
        <f>IF(F1752="", "", IF(B1752&lt;&gt;"", MATCH(B1752, params!$B$2:$R$2, 0), G1751))</f>
        <v/>
      </c>
      <c r="H1752" s="5" t="str">
        <f t="shared" ca="1" si="55"/>
        <v/>
      </c>
      <c r="M1752" s="2"/>
    </row>
    <row r="1753" spans="2:13" ht="15.6" x14ac:dyDescent="0.3">
      <c r="B1753" s="5" t="str">
        <f>IF(COUNTIF(data_val!$E$3:$E$5, sample_log!$E1753), sample_log!$C1753 &amp; "_" &amp; sample_log!$D1753, "")</f>
        <v/>
      </c>
      <c r="C1753" s="5" t="str">
        <f>IF(B1753="", IF(F1753="", "", C1752), IF(sample_log!E1753="Triennial SASS", "tri_params", "params"))</f>
        <v/>
      </c>
      <c r="D1753" s="5" t="str">
        <f>IF(B1753="", "", C1753 &amp; "!" &amp; CHAR(65+MATCH(B1753, params!$B$2:$R$2, 0)))</f>
        <v/>
      </c>
      <c r="E1753" s="5" t="str">
        <f ca="1">IF(B1753="", "", COUNTA(INDIRECT(D1753 &amp; 3):INDIRECT(D1753 &amp; 24)))</f>
        <v/>
      </c>
      <c r="F1753" s="5" t="str">
        <f t="shared" si="56"/>
        <v/>
      </c>
      <c r="G1753" s="5" t="str">
        <f>IF(F1753="", "", IF(B1753&lt;&gt;"", MATCH(B1753, params!$B$2:$R$2, 0), G1752))</f>
        <v/>
      </c>
      <c r="H1753" s="5" t="str">
        <f t="shared" ref="H1753:H1816" ca="1" si="57">IF($F1753="", "", INDEX(INDIRECT("'" &amp; C1753 &amp; "'!$B$3:$R$24"), $F1753, $G1753))</f>
        <v/>
      </c>
      <c r="M1753" s="2"/>
    </row>
    <row r="1754" spans="2:13" ht="15.6" x14ac:dyDescent="0.3">
      <c r="B1754" s="5" t="str">
        <f>IF(COUNTIF(data_val!$E$3:$E$5, sample_log!$E1754), sample_log!$C1754 &amp; "_" &amp; sample_log!$D1754, "")</f>
        <v/>
      </c>
      <c r="C1754" s="5" t="str">
        <f>IF(B1754="", IF(F1754="", "", C1753), IF(sample_log!E1754="Triennial SASS", "tri_params", "params"))</f>
        <v/>
      </c>
      <c r="D1754" s="5" t="str">
        <f>IF(B1754="", "", C1754 &amp; "!" &amp; CHAR(65+MATCH(B1754, params!$B$2:$R$2, 0)))</f>
        <v/>
      </c>
      <c r="E1754" s="5" t="str">
        <f ca="1">IF(B1754="", "", COUNTA(INDIRECT(D1754 &amp; 3):INDIRECT(D1754 &amp; 24)))</f>
        <v/>
      </c>
      <c r="F1754" s="5" t="str">
        <f t="shared" si="56"/>
        <v/>
      </c>
      <c r="G1754" s="5" t="str">
        <f>IF(F1754="", "", IF(B1754&lt;&gt;"", MATCH(B1754, params!$B$2:$R$2, 0), G1753))</f>
        <v/>
      </c>
      <c r="H1754" s="5" t="str">
        <f t="shared" ca="1" si="57"/>
        <v/>
      </c>
      <c r="M1754" s="2"/>
    </row>
    <row r="1755" spans="2:13" ht="15.6" x14ac:dyDescent="0.3">
      <c r="B1755" s="5" t="str">
        <f>IF(COUNTIF(data_val!$E$3:$E$5, sample_log!$E1755), sample_log!$C1755 &amp; "_" &amp; sample_log!$D1755, "")</f>
        <v/>
      </c>
      <c r="C1755" s="5" t="str">
        <f>IF(B1755="", IF(F1755="", "", C1754), IF(sample_log!E1755="Triennial SASS", "tri_params", "params"))</f>
        <v/>
      </c>
      <c r="D1755" s="5" t="str">
        <f>IF(B1755="", "", C1755 &amp; "!" &amp; CHAR(65+MATCH(B1755, params!$B$2:$R$2, 0)))</f>
        <v/>
      </c>
      <c r="E1755" s="5" t="str">
        <f ca="1">IF(B1755="", "", COUNTA(INDIRECT(D1755 &amp; 3):INDIRECT(D1755 &amp; 24)))</f>
        <v/>
      </c>
      <c r="F1755" s="5" t="str">
        <f t="shared" si="56"/>
        <v/>
      </c>
      <c r="G1755" s="5" t="str">
        <f>IF(F1755="", "", IF(B1755&lt;&gt;"", MATCH(B1755, params!$B$2:$R$2, 0), G1754))</f>
        <v/>
      </c>
      <c r="H1755" s="5" t="str">
        <f t="shared" ca="1" si="57"/>
        <v/>
      </c>
      <c r="M1755" s="2"/>
    </row>
    <row r="1756" spans="2:13" ht="15.6" x14ac:dyDescent="0.3">
      <c r="B1756" s="5" t="str">
        <f>IF(COUNTIF(data_val!$E$3:$E$5, sample_log!$E1756), sample_log!$C1756 &amp; "_" &amp; sample_log!$D1756, "")</f>
        <v/>
      </c>
      <c r="C1756" s="5" t="str">
        <f>IF(B1756="", IF(F1756="", "", C1755), IF(sample_log!E1756="Triennial SASS", "tri_params", "params"))</f>
        <v/>
      </c>
      <c r="D1756" s="5" t="str">
        <f>IF(B1756="", "", C1756 &amp; "!" &amp; CHAR(65+MATCH(B1756, params!$B$2:$R$2, 0)))</f>
        <v/>
      </c>
      <c r="E1756" s="5" t="str">
        <f ca="1">IF(B1756="", "", COUNTA(INDIRECT(D1756 &amp; 3):INDIRECT(D1756 &amp; 24)))</f>
        <v/>
      </c>
      <c r="F1756" s="5" t="str">
        <f t="shared" si="56"/>
        <v/>
      </c>
      <c r="G1756" s="5" t="str">
        <f>IF(F1756="", "", IF(B1756&lt;&gt;"", MATCH(B1756, params!$B$2:$R$2, 0), G1755))</f>
        <v/>
      </c>
      <c r="H1756" s="5" t="str">
        <f t="shared" ca="1" si="57"/>
        <v/>
      </c>
      <c r="M1756" s="2"/>
    </row>
    <row r="1757" spans="2:13" ht="15.6" x14ac:dyDescent="0.3">
      <c r="B1757" s="5" t="str">
        <f>IF(COUNTIF(data_val!$E$3:$E$5, sample_log!$E1757), sample_log!$C1757 &amp; "_" &amp; sample_log!$D1757, "")</f>
        <v/>
      </c>
      <c r="C1757" s="5" t="str">
        <f>IF(B1757="", IF(F1757="", "", C1756), IF(sample_log!E1757="Triennial SASS", "tri_params", "params"))</f>
        <v/>
      </c>
      <c r="D1757" s="5" t="str">
        <f>IF(B1757="", "", C1757 &amp; "!" &amp; CHAR(65+MATCH(B1757, params!$B$2:$R$2, 0)))</f>
        <v/>
      </c>
      <c r="E1757" s="5" t="str">
        <f ca="1">IF(B1757="", "", COUNTA(INDIRECT(D1757 &amp; 3):INDIRECT(D1757 &amp; 24)))</f>
        <v/>
      </c>
      <c r="F1757" s="5" t="str">
        <f t="shared" si="56"/>
        <v/>
      </c>
      <c r="G1757" s="5" t="str">
        <f>IF(F1757="", "", IF(B1757&lt;&gt;"", MATCH(B1757, params!$B$2:$R$2, 0), G1756))</f>
        <v/>
      </c>
      <c r="H1757" s="5" t="str">
        <f t="shared" ca="1" si="57"/>
        <v/>
      </c>
      <c r="M1757" s="2"/>
    </row>
    <row r="1758" spans="2:13" ht="15.6" x14ac:dyDescent="0.3">
      <c r="B1758" s="5" t="str">
        <f>IF(COUNTIF(data_val!$E$3:$E$5, sample_log!$E1758), sample_log!$C1758 &amp; "_" &amp; sample_log!$D1758, "")</f>
        <v/>
      </c>
      <c r="C1758" s="5" t="str">
        <f>IF(B1758="", IF(F1758="", "", C1757), IF(sample_log!E1758="Triennial SASS", "tri_params", "params"))</f>
        <v/>
      </c>
      <c r="D1758" s="5" t="str">
        <f>IF(B1758="", "", C1758 &amp; "!" &amp; CHAR(65+MATCH(B1758, params!$B$2:$R$2, 0)))</f>
        <v/>
      </c>
      <c r="E1758" s="5" t="str">
        <f ca="1">IF(B1758="", "", COUNTA(INDIRECT(D1758 &amp; 3):INDIRECT(D1758 &amp; 24)))</f>
        <v/>
      </c>
      <c r="F1758" s="5" t="str">
        <f t="shared" si="56"/>
        <v/>
      </c>
      <c r="G1758" s="5" t="str">
        <f>IF(F1758="", "", IF(B1758&lt;&gt;"", MATCH(B1758, params!$B$2:$R$2, 0), G1757))</f>
        <v/>
      </c>
      <c r="H1758" s="5" t="str">
        <f t="shared" ca="1" si="57"/>
        <v/>
      </c>
      <c r="M1758" s="2"/>
    </row>
    <row r="1759" spans="2:13" ht="15.6" x14ac:dyDescent="0.3">
      <c r="B1759" s="5" t="str">
        <f>IF(COUNTIF(data_val!$E$3:$E$5, sample_log!$E1759), sample_log!$C1759 &amp; "_" &amp; sample_log!$D1759, "")</f>
        <v/>
      </c>
      <c r="C1759" s="5" t="str">
        <f>IF(B1759="", IF(F1759="", "", C1758), IF(sample_log!E1759="Triennial SASS", "tri_params", "params"))</f>
        <v/>
      </c>
      <c r="D1759" s="5" t="str">
        <f>IF(B1759="", "", C1759 &amp; "!" &amp; CHAR(65+MATCH(B1759, params!$B$2:$R$2, 0)))</f>
        <v/>
      </c>
      <c r="E1759" s="5" t="str">
        <f ca="1">IF(B1759="", "", COUNTA(INDIRECT(D1759 &amp; 3):INDIRECT(D1759 &amp; 24)))</f>
        <v/>
      </c>
      <c r="F1759" s="5" t="str">
        <f t="shared" si="56"/>
        <v/>
      </c>
      <c r="G1759" s="5" t="str">
        <f>IF(F1759="", "", IF(B1759&lt;&gt;"", MATCH(B1759, params!$B$2:$R$2, 0), G1758))</f>
        <v/>
      </c>
      <c r="H1759" s="5" t="str">
        <f t="shared" ca="1" si="57"/>
        <v/>
      </c>
      <c r="M1759" s="2"/>
    </row>
    <row r="1760" spans="2:13" ht="15.6" x14ac:dyDescent="0.3">
      <c r="B1760" s="5" t="str">
        <f>IF(COUNTIF(data_val!$E$3:$E$5, sample_log!$E1760), sample_log!$C1760 &amp; "_" &amp; sample_log!$D1760, "")</f>
        <v/>
      </c>
      <c r="C1760" s="5" t="str">
        <f>IF(B1760="", IF(F1760="", "", C1759), IF(sample_log!E1760="Triennial SASS", "tri_params", "params"))</f>
        <v/>
      </c>
      <c r="D1760" s="5" t="str">
        <f>IF(B1760="", "", C1760 &amp; "!" &amp; CHAR(65+MATCH(B1760, params!$B$2:$R$2, 0)))</f>
        <v/>
      </c>
      <c r="E1760" s="5" t="str">
        <f ca="1">IF(B1760="", "", COUNTA(INDIRECT(D1760 &amp; 3):INDIRECT(D1760 &amp; 24)))</f>
        <v/>
      </c>
      <c r="F1760" s="5" t="str">
        <f t="shared" si="56"/>
        <v/>
      </c>
      <c r="G1760" s="5" t="str">
        <f>IF(F1760="", "", IF(B1760&lt;&gt;"", MATCH(B1760, params!$B$2:$R$2, 0), G1759))</f>
        <v/>
      </c>
      <c r="H1760" s="5" t="str">
        <f t="shared" ca="1" si="57"/>
        <v/>
      </c>
      <c r="M1760" s="2"/>
    </row>
    <row r="1761" spans="2:13" ht="15.6" x14ac:dyDescent="0.3">
      <c r="B1761" s="5" t="str">
        <f>IF(COUNTIF(data_val!$E$3:$E$5, sample_log!$E1761), sample_log!$C1761 &amp; "_" &amp; sample_log!$D1761, "")</f>
        <v/>
      </c>
      <c r="C1761" s="5" t="str">
        <f>IF(B1761="", IF(F1761="", "", C1760), IF(sample_log!E1761="Triennial SASS", "tri_params", "params"))</f>
        <v/>
      </c>
      <c r="D1761" s="5" t="str">
        <f>IF(B1761="", "", C1761 &amp; "!" &amp; CHAR(65+MATCH(B1761, params!$B$2:$R$2, 0)))</f>
        <v/>
      </c>
      <c r="E1761" s="5" t="str">
        <f ca="1">IF(B1761="", "", COUNTA(INDIRECT(D1761 &amp; 3):INDIRECT(D1761 &amp; 24)))</f>
        <v/>
      </c>
      <c r="F1761" s="5" t="str">
        <f t="shared" si="56"/>
        <v/>
      </c>
      <c r="G1761" s="5" t="str">
        <f>IF(F1761="", "", IF(B1761&lt;&gt;"", MATCH(B1761, params!$B$2:$R$2, 0), G1760))</f>
        <v/>
      </c>
      <c r="H1761" s="5" t="str">
        <f t="shared" ca="1" si="57"/>
        <v/>
      </c>
      <c r="M1761" s="2"/>
    </row>
    <row r="1762" spans="2:13" ht="15.6" x14ac:dyDescent="0.3">
      <c r="B1762" s="5" t="str">
        <f>IF(COUNTIF(data_val!$E$3:$E$5, sample_log!$E1762), sample_log!$C1762 &amp; "_" &amp; sample_log!$D1762, "")</f>
        <v/>
      </c>
      <c r="C1762" s="5" t="str">
        <f>IF(B1762="", IF(F1762="", "", C1761), IF(sample_log!E1762="Triennial SASS", "tri_params", "params"))</f>
        <v/>
      </c>
      <c r="D1762" s="5" t="str">
        <f>IF(B1762="", "", C1762 &amp; "!" &amp; CHAR(65+MATCH(B1762, params!$B$2:$R$2, 0)))</f>
        <v/>
      </c>
      <c r="E1762" s="5" t="str">
        <f ca="1">IF(B1762="", "", COUNTA(INDIRECT(D1762 &amp; 3):INDIRECT(D1762 &amp; 24)))</f>
        <v/>
      </c>
      <c r="F1762" s="5" t="str">
        <f t="shared" si="56"/>
        <v/>
      </c>
      <c r="G1762" s="5" t="str">
        <f>IF(F1762="", "", IF(B1762&lt;&gt;"", MATCH(B1762, params!$B$2:$R$2, 0), G1761))</f>
        <v/>
      </c>
      <c r="H1762" s="5" t="str">
        <f t="shared" ca="1" si="57"/>
        <v/>
      </c>
      <c r="M1762" s="2"/>
    </row>
    <row r="1763" spans="2:13" ht="15.6" x14ac:dyDescent="0.3">
      <c r="B1763" s="5" t="str">
        <f>IF(COUNTIF(data_val!$E$3:$E$5, sample_log!$E1763), sample_log!$C1763 &amp; "_" &amp; sample_log!$D1763, "")</f>
        <v/>
      </c>
      <c r="C1763" s="5" t="str">
        <f>IF(B1763="", IF(F1763="", "", C1762), IF(sample_log!E1763="Triennial SASS", "tri_params", "params"))</f>
        <v/>
      </c>
      <c r="D1763" s="5" t="str">
        <f>IF(B1763="", "", C1763 &amp; "!" &amp; CHAR(65+MATCH(B1763, params!$B$2:$R$2, 0)))</f>
        <v/>
      </c>
      <c r="E1763" s="5" t="str">
        <f ca="1">IF(B1763="", "", COUNTA(INDIRECT(D1763 &amp; 3):INDIRECT(D1763 &amp; 24)))</f>
        <v/>
      </c>
      <c r="F1763" s="5" t="str">
        <f t="shared" si="56"/>
        <v/>
      </c>
      <c r="G1763" s="5" t="str">
        <f>IF(F1763="", "", IF(B1763&lt;&gt;"", MATCH(B1763, params!$B$2:$R$2, 0), G1762))</f>
        <v/>
      </c>
      <c r="H1763" s="5" t="str">
        <f t="shared" ca="1" si="57"/>
        <v/>
      </c>
      <c r="M1763" s="2"/>
    </row>
    <row r="1764" spans="2:13" ht="15.6" x14ac:dyDescent="0.3">
      <c r="B1764" s="5" t="str">
        <f>IF(COUNTIF(data_val!$E$3:$E$5, sample_log!$E1764), sample_log!$C1764 &amp; "_" &amp; sample_log!$D1764, "")</f>
        <v/>
      </c>
      <c r="C1764" s="5" t="str">
        <f>IF(B1764="", IF(F1764="", "", C1763), IF(sample_log!E1764="Triennial SASS", "tri_params", "params"))</f>
        <v/>
      </c>
      <c r="D1764" s="5" t="str">
        <f>IF(B1764="", "", C1764 &amp; "!" &amp; CHAR(65+MATCH(B1764, params!$B$2:$R$2, 0)))</f>
        <v/>
      </c>
      <c r="E1764" s="5" t="str">
        <f ca="1">IF(B1764="", "", COUNTA(INDIRECT(D1764 &amp; 3):INDIRECT(D1764 &amp; 24)))</f>
        <v/>
      </c>
      <c r="F1764" s="5" t="str">
        <f t="shared" si="56"/>
        <v/>
      </c>
      <c r="G1764" s="5" t="str">
        <f>IF(F1764="", "", IF(B1764&lt;&gt;"", MATCH(B1764, params!$B$2:$R$2, 0), G1763))</f>
        <v/>
      </c>
      <c r="H1764" s="5" t="str">
        <f t="shared" ca="1" si="57"/>
        <v/>
      </c>
      <c r="M1764" s="2"/>
    </row>
    <row r="1765" spans="2:13" ht="15.6" x14ac:dyDescent="0.3">
      <c r="B1765" s="5" t="str">
        <f>IF(COUNTIF(data_val!$E$3:$E$5, sample_log!$E1765), sample_log!$C1765 &amp; "_" &amp; sample_log!$D1765, "")</f>
        <v/>
      </c>
      <c r="C1765" s="5" t="str">
        <f>IF(B1765="", IF(F1765="", "", C1764), IF(sample_log!E1765="Triennial SASS", "tri_params", "params"))</f>
        <v/>
      </c>
      <c r="D1765" s="5" t="str">
        <f>IF(B1765="", "", C1765 &amp; "!" &amp; CHAR(65+MATCH(B1765, params!$B$2:$R$2, 0)))</f>
        <v/>
      </c>
      <c r="E1765" s="5" t="str">
        <f ca="1">IF(B1765="", "", COUNTA(INDIRECT(D1765 &amp; 3):INDIRECT(D1765 &amp; 24)))</f>
        <v/>
      </c>
      <c r="F1765" s="5" t="str">
        <f t="shared" si="56"/>
        <v/>
      </c>
      <c r="G1765" s="5" t="str">
        <f>IF(F1765="", "", IF(B1765&lt;&gt;"", MATCH(B1765, params!$B$2:$R$2, 0), G1764))</f>
        <v/>
      </c>
      <c r="H1765" s="5" t="str">
        <f t="shared" ca="1" si="57"/>
        <v/>
      </c>
      <c r="M1765" s="2"/>
    </row>
    <row r="1766" spans="2:13" ht="15.6" x14ac:dyDescent="0.3">
      <c r="B1766" s="5" t="str">
        <f>IF(COUNTIF(data_val!$E$3:$E$5, sample_log!$E1766), sample_log!$C1766 &amp; "_" &amp; sample_log!$D1766, "")</f>
        <v/>
      </c>
      <c r="C1766" s="5" t="str">
        <f>IF(B1766="", IF(F1766="", "", C1765), IF(sample_log!E1766="Triennial SASS", "tri_params", "params"))</f>
        <v/>
      </c>
      <c r="D1766" s="5" t="str">
        <f>IF(B1766="", "", C1766 &amp; "!" &amp; CHAR(65+MATCH(B1766, params!$B$2:$R$2, 0)))</f>
        <v/>
      </c>
      <c r="E1766" s="5" t="str">
        <f ca="1">IF(B1766="", "", COUNTA(INDIRECT(D1766 &amp; 3):INDIRECT(D1766 &amp; 24)))</f>
        <v/>
      </c>
      <c r="F1766" s="5" t="str">
        <f t="shared" si="56"/>
        <v/>
      </c>
      <c r="G1766" s="5" t="str">
        <f>IF(F1766="", "", IF(B1766&lt;&gt;"", MATCH(B1766, params!$B$2:$R$2, 0), G1765))</f>
        <v/>
      </c>
      <c r="H1766" s="5" t="str">
        <f t="shared" ca="1" si="57"/>
        <v/>
      </c>
      <c r="M1766" s="2"/>
    </row>
    <row r="1767" spans="2:13" ht="15.6" x14ac:dyDescent="0.3">
      <c r="B1767" s="5" t="str">
        <f>IF(COUNTIF(data_val!$E$3:$E$5, sample_log!$E1767), sample_log!$C1767 &amp; "_" &amp; sample_log!$D1767, "")</f>
        <v/>
      </c>
      <c r="C1767" s="5" t="str">
        <f>IF(B1767="", IF(F1767="", "", C1766), IF(sample_log!E1767="Triennial SASS", "tri_params", "params"))</f>
        <v/>
      </c>
      <c r="D1767" s="5" t="str">
        <f>IF(B1767="", "", C1767 &amp; "!" &amp; CHAR(65+MATCH(B1767, params!$B$2:$R$2, 0)))</f>
        <v/>
      </c>
      <c r="E1767" s="5" t="str">
        <f ca="1">IF(B1767="", "", COUNTA(INDIRECT(D1767 &amp; 3):INDIRECT(D1767 &amp; 24)))</f>
        <v/>
      </c>
      <c r="F1767" s="5" t="str">
        <f t="shared" si="56"/>
        <v/>
      </c>
      <c r="G1767" s="5" t="str">
        <f>IF(F1767="", "", IF(B1767&lt;&gt;"", MATCH(B1767, params!$B$2:$R$2, 0), G1766))</f>
        <v/>
      </c>
      <c r="H1767" s="5" t="str">
        <f t="shared" ca="1" si="57"/>
        <v/>
      </c>
      <c r="M1767" s="2"/>
    </row>
    <row r="1768" spans="2:13" ht="15.6" x14ac:dyDescent="0.3">
      <c r="B1768" s="5" t="str">
        <f>IF(COUNTIF(data_val!$E$3:$E$5, sample_log!$E1768), sample_log!$C1768 &amp; "_" &amp; sample_log!$D1768, "")</f>
        <v/>
      </c>
      <c r="C1768" s="5" t="str">
        <f>IF(B1768="", IF(F1768="", "", C1767), IF(sample_log!E1768="Triennial SASS", "tri_params", "params"))</f>
        <v/>
      </c>
      <c r="D1768" s="5" t="str">
        <f>IF(B1768="", "", C1768 &amp; "!" &amp; CHAR(65+MATCH(B1768, params!$B$2:$R$2, 0)))</f>
        <v/>
      </c>
      <c r="E1768" s="5" t="str">
        <f ca="1">IF(B1768="", "", COUNTA(INDIRECT(D1768 &amp; 3):INDIRECT(D1768 &amp; 24)))</f>
        <v/>
      </c>
      <c r="F1768" s="5" t="str">
        <f t="shared" si="56"/>
        <v/>
      </c>
      <c r="G1768" s="5" t="str">
        <f>IF(F1768="", "", IF(B1768&lt;&gt;"", MATCH(B1768, params!$B$2:$R$2, 0), G1767))</f>
        <v/>
      </c>
      <c r="H1768" s="5" t="str">
        <f t="shared" ca="1" si="57"/>
        <v/>
      </c>
      <c r="M1768" s="2"/>
    </row>
    <row r="1769" spans="2:13" ht="15.6" x14ac:dyDescent="0.3">
      <c r="B1769" s="5" t="str">
        <f>IF(COUNTIF(data_val!$E$3:$E$5, sample_log!$E1769), sample_log!$C1769 &amp; "_" &amp; sample_log!$D1769, "")</f>
        <v/>
      </c>
      <c r="C1769" s="5" t="str">
        <f>IF(B1769="", IF(F1769="", "", C1768), IF(sample_log!E1769="Triennial SASS", "tri_params", "params"))</f>
        <v/>
      </c>
      <c r="D1769" s="5" t="str">
        <f>IF(B1769="", "", C1769 &amp; "!" &amp; CHAR(65+MATCH(B1769, params!$B$2:$R$2, 0)))</f>
        <v/>
      </c>
      <c r="E1769" s="5" t="str">
        <f ca="1">IF(B1769="", "", COUNTA(INDIRECT(D1769 &amp; 3):INDIRECT(D1769 &amp; 24)))</f>
        <v/>
      </c>
      <c r="F1769" s="5" t="str">
        <f t="shared" si="56"/>
        <v/>
      </c>
      <c r="G1769" s="5" t="str">
        <f>IF(F1769="", "", IF(B1769&lt;&gt;"", MATCH(B1769, params!$B$2:$R$2, 0), G1768))</f>
        <v/>
      </c>
      <c r="H1769" s="5" t="str">
        <f t="shared" ca="1" si="57"/>
        <v/>
      </c>
      <c r="M1769" s="2"/>
    </row>
    <row r="1770" spans="2:13" ht="15.6" x14ac:dyDescent="0.3">
      <c r="B1770" s="5" t="str">
        <f>IF(COUNTIF(data_val!$E$3:$E$5, sample_log!$E1770), sample_log!$C1770 &amp; "_" &amp; sample_log!$D1770, "")</f>
        <v/>
      </c>
      <c r="C1770" s="5" t="str">
        <f>IF(B1770="", IF(F1770="", "", C1769), IF(sample_log!E1770="Triennial SASS", "tri_params", "params"))</f>
        <v/>
      </c>
      <c r="D1770" s="5" t="str">
        <f>IF(B1770="", "", C1770 &amp; "!" &amp; CHAR(65+MATCH(B1770, params!$B$2:$R$2, 0)))</f>
        <v/>
      </c>
      <c r="E1770" s="5" t="str">
        <f ca="1">IF(B1770="", "", COUNTA(INDIRECT(D1770 &amp; 3):INDIRECT(D1770 &amp; 24)))</f>
        <v/>
      </c>
      <c r="F1770" s="5" t="str">
        <f t="shared" si="56"/>
        <v/>
      </c>
      <c r="G1770" s="5" t="str">
        <f>IF(F1770="", "", IF(B1770&lt;&gt;"", MATCH(B1770, params!$B$2:$R$2, 0), G1769))</f>
        <v/>
      </c>
      <c r="H1770" s="5" t="str">
        <f t="shared" ca="1" si="57"/>
        <v/>
      </c>
      <c r="M1770" s="2"/>
    </row>
    <row r="1771" spans="2:13" ht="15.6" x14ac:dyDescent="0.3">
      <c r="B1771" s="5" t="str">
        <f>IF(COUNTIF(data_val!$E$3:$E$5, sample_log!$E1771), sample_log!$C1771 &amp; "_" &amp; sample_log!$D1771, "")</f>
        <v/>
      </c>
      <c r="C1771" s="5" t="str">
        <f>IF(B1771="", IF(F1771="", "", C1770), IF(sample_log!E1771="Triennial SASS", "tri_params", "params"))</f>
        <v/>
      </c>
      <c r="D1771" s="5" t="str">
        <f>IF(B1771="", "", C1771 &amp; "!" &amp; CHAR(65+MATCH(B1771, params!$B$2:$R$2, 0)))</f>
        <v/>
      </c>
      <c r="E1771" s="5" t="str">
        <f ca="1">IF(B1771="", "", COUNTA(INDIRECT(D1771 &amp; 3):INDIRECT(D1771 &amp; 24)))</f>
        <v/>
      </c>
      <c r="F1771" s="5" t="str">
        <f t="shared" si="56"/>
        <v/>
      </c>
      <c r="G1771" s="5" t="str">
        <f>IF(F1771="", "", IF(B1771&lt;&gt;"", MATCH(B1771, params!$B$2:$R$2, 0), G1770))</f>
        <v/>
      </c>
      <c r="H1771" s="5" t="str">
        <f t="shared" ca="1" si="57"/>
        <v/>
      </c>
      <c r="M1771" s="2"/>
    </row>
    <row r="1772" spans="2:13" ht="15.6" x14ac:dyDescent="0.3">
      <c r="B1772" s="5" t="str">
        <f>IF(COUNTIF(data_val!$E$3:$E$5, sample_log!$E1772), sample_log!$C1772 &amp; "_" &amp; sample_log!$D1772, "")</f>
        <v/>
      </c>
      <c r="C1772" s="5" t="str">
        <f>IF(B1772="", IF(F1772="", "", C1771), IF(sample_log!E1772="Triennial SASS", "tri_params", "params"))</f>
        <v/>
      </c>
      <c r="D1772" s="5" t="str">
        <f>IF(B1772="", "", C1772 &amp; "!" &amp; CHAR(65+MATCH(B1772, params!$B$2:$R$2, 0)))</f>
        <v/>
      </c>
      <c r="E1772" s="5" t="str">
        <f ca="1">IF(B1772="", "", COUNTA(INDIRECT(D1772 &amp; 3):INDIRECT(D1772 &amp; 24)))</f>
        <v/>
      </c>
      <c r="F1772" s="5" t="str">
        <f t="shared" si="56"/>
        <v/>
      </c>
      <c r="G1772" s="5" t="str">
        <f>IF(F1772="", "", IF(B1772&lt;&gt;"", MATCH(B1772, params!$B$2:$R$2, 0), G1771))</f>
        <v/>
      </c>
      <c r="H1772" s="5" t="str">
        <f t="shared" ca="1" si="57"/>
        <v/>
      </c>
      <c r="M1772" s="2"/>
    </row>
    <row r="1773" spans="2:13" ht="15.6" x14ac:dyDescent="0.3">
      <c r="B1773" s="5" t="str">
        <f>IF(COUNTIF(data_val!$E$3:$E$5, sample_log!$E1773), sample_log!$C1773 &amp; "_" &amp; sample_log!$D1773, "")</f>
        <v/>
      </c>
      <c r="C1773" s="5" t="str">
        <f>IF(B1773="", IF(F1773="", "", C1772), IF(sample_log!E1773="Triennial SASS", "tri_params", "params"))</f>
        <v/>
      </c>
      <c r="D1773" s="5" t="str">
        <f>IF(B1773="", "", C1773 &amp; "!" &amp; CHAR(65+MATCH(B1773, params!$B$2:$R$2, 0)))</f>
        <v/>
      </c>
      <c r="E1773" s="5" t="str">
        <f ca="1">IF(B1773="", "", COUNTA(INDIRECT(D1773 &amp; 3):INDIRECT(D1773 &amp; 24)))</f>
        <v/>
      </c>
      <c r="F1773" s="5" t="str">
        <f t="shared" si="56"/>
        <v/>
      </c>
      <c r="G1773" s="5" t="str">
        <f>IF(F1773="", "", IF(B1773&lt;&gt;"", MATCH(B1773, params!$B$2:$R$2, 0), G1772))</f>
        <v/>
      </c>
      <c r="H1773" s="5" t="str">
        <f t="shared" ca="1" si="57"/>
        <v/>
      </c>
      <c r="M1773" s="2"/>
    </row>
    <row r="1774" spans="2:13" ht="15.6" x14ac:dyDescent="0.3">
      <c r="B1774" s="5" t="str">
        <f>IF(COUNTIF(data_val!$E$3:$E$5, sample_log!$E1774), sample_log!$C1774 &amp; "_" &amp; sample_log!$D1774, "")</f>
        <v/>
      </c>
      <c r="C1774" s="5" t="str">
        <f>IF(B1774="", IF(F1774="", "", C1773), IF(sample_log!E1774="Triennial SASS", "tri_params", "params"))</f>
        <v/>
      </c>
      <c r="D1774" s="5" t="str">
        <f>IF(B1774="", "", C1774 &amp; "!" &amp; CHAR(65+MATCH(B1774, params!$B$2:$R$2, 0)))</f>
        <v/>
      </c>
      <c r="E1774" s="5" t="str">
        <f ca="1">IF(B1774="", "", COUNTA(INDIRECT(D1774 &amp; 3):INDIRECT(D1774 &amp; 24)))</f>
        <v/>
      </c>
      <c r="F1774" s="5" t="str">
        <f t="shared" si="56"/>
        <v/>
      </c>
      <c r="G1774" s="5" t="str">
        <f>IF(F1774="", "", IF(B1774&lt;&gt;"", MATCH(B1774, params!$B$2:$R$2, 0), G1773))</f>
        <v/>
      </c>
      <c r="H1774" s="5" t="str">
        <f t="shared" ca="1" si="57"/>
        <v/>
      </c>
      <c r="M1774" s="2"/>
    </row>
    <row r="1775" spans="2:13" ht="15.6" x14ac:dyDescent="0.3">
      <c r="B1775" s="5" t="str">
        <f>IF(COUNTIF(data_val!$E$3:$E$5, sample_log!$E1775), sample_log!$C1775 &amp; "_" &amp; sample_log!$D1775, "")</f>
        <v/>
      </c>
      <c r="C1775" s="5" t="str">
        <f>IF(B1775="", IF(F1775="", "", C1774), IF(sample_log!E1775="Triennial SASS", "tri_params", "params"))</f>
        <v/>
      </c>
      <c r="D1775" s="5" t="str">
        <f>IF(B1775="", "", C1775 &amp; "!" &amp; CHAR(65+MATCH(B1775, params!$B$2:$R$2, 0)))</f>
        <v/>
      </c>
      <c r="E1775" s="5" t="str">
        <f ca="1">IF(B1775="", "", COUNTA(INDIRECT(D1775 &amp; 3):INDIRECT(D1775 &amp; 24)))</f>
        <v/>
      </c>
      <c r="F1775" s="5" t="str">
        <f t="shared" si="56"/>
        <v/>
      </c>
      <c r="G1775" s="5" t="str">
        <f>IF(F1775="", "", IF(B1775&lt;&gt;"", MATCH(B1775, params!$B$2:$R$2, 0), G1774))</f>
        <v/>
      </c>
      <c r="H1775" s="5" t="str">
        <f t="shared" ca="1" si="57"/>
        <v/>
      </c>
      <c r="M1775" s="2"/>
    </row>
    <row r="1776" spans="2:13" ht="15.6" x14ac:dyDescent="0.3">
      <c r="B1776" s="5" t="str">
        <f>IF(COUNTIF(data_val!$E$3:$E$5, sample_log!$E1776), sample_log!$C1776 &amp; "_" &amp; sample_log!$D1776, "")</f>
        <v/>
      </c>
      <c r="C1776" s="5" t="str">
        <f>IF(B1776="", IF(F1776="", "", C1775), IF(sample_log!E1776="Triennial SASS", "tri_params", "params"))</f>
        <v/>
      </c>
      <c r="D1776" s="5" t="str">
        <f>IF(B1776="", "", C1776 &amp; "!" &amp; CHAR(65+MATCH(B1776, params!$B$2:$R$2, 0)))</f>
        <v/>
      </c>
      <c r="E1776" s="5" t="str">
        <f ca="1">IF(B1776="", "", COUNTA(INDIRECT(D1776 &amp; 3):INDIRECT(D1776 &amp; 24)))</f>
        <v/>
      </c>
      <c r="F1776" s="5" t="str">
        <f t="shared" si="56"/>
        <v/>
      </c>
      <c r="G1776" s="5" t="str">
        <f>IF(F1776="", "", IF(B1776&lt;&gt;"", MATCH(B1776, params!$B$2:$R$2, 0), G1775))</f>
        <v/>
      </c>
      <c r="H1776" s="5" t="str">
        <f t="shared" ca="1" si="57"/>
        <v/>
      </c>
      <c r="M1776" s="2"/>
    </row>
    <row r="1777" spans="2:13" ht="15.6" x14ac:dyDescent="0.3">
      <c r="B1777" s="5" t="str">
        <f>IF(COUNTIF(data_val!$E$3:$E$5, sample_log!$E1777), sample_log!$C1777 &amp; "_" &amp; sample_log!$D1777, "")</f>
        <v/>
      </c>
      <c r="C1777" s="5" t="str">
        <f>IF(B1777="", IF(F1777="", "", C1776), IF(sample_log!E1777="Triennial SASS", "tri_params", "params"))</f>
        <v/>
      </c>
      <c r="D1777" s="5" t="str">
        <f>IF(B1777="", "", C1777 &amp; "!" &amp; CHAR(65+MATCH(B1777, params!$B$2:$R$2, 0)))</f>
        <v/>
      </c>
      <c r="E1777" s="5" t="str">
        <f ca="1">IF(B1777="", "", COUNTA(INDIRECT(D1777 &amp; 3):INDIRECT(D1777 &amp; 24)))</f>
        <v/>
      </c>
      <c r="F1777" s="5" t="str">
        <f t="shared" si="56"/>
        <v/>
      </c>
      <c r="G1777" s="5" t="str">
        <f>IF(F1777="", "", IF(B1777&lt;&gt;"", MATCH(B1777, params!$B$2:$R$2, 0), G1776))</f>
        <v/>
      </c>
      <c r="H1777" s="5" t="str">
        <f t="shared" ca="1" si="57"/>
        <v/>
      </c>
      <c r="M1777" s="2"/>
    </row>
    <row r="1778" spans="2:13" ht="15.6" x14ac:dyDescent="0.3">
      <c r="B1778" s="5" t="str">
        <f>IF(COUNTIF(data_val!$E$3:$E$5, sample_log!$E1778), sample_log!$C1778 &amp; "_" &amp; sample_log!$D1778, "")</f>
        <v/>
      </c>
      <c r="C1778" s="5" t="str">
        <f>IF(B1778="", IF(F1778="", "", C1777), IF(sample_log!E1778="Triennial SASS", "tri_params", "params"))</f>
        <v/>
      </c>
      <c r="D1778" s="5" t="str">
        <f>IF(B1778="", "", C1778 &amp; "!" &amp; CHAR(65+MATCH(B1778, params!$B$2:$R$2, 0)))</f>
        <v/>
      </c>
      <c r="E1778" s="5" t="str">
        <f ca="1">IF(B1778="", "", COUNTA(INDIRECT(D1778 &amp; 3):INDIRECT(D1778 &amp; 24)))</f>
        <v/>
      </c>
      <c r="F1778" s="5" t="str">
        <f t="shared" si="56"/>
        <v/>
      </c>
      <c r="G1778" s="5" t="str">
        <f>IF(F1778="", "", IF(B1778&lt;&gt;"", MATCH(B1778, params!$B$2:$R$2, 0), G1777))</f>
        <v/>
      </c>
      <c r="H1778" s="5" t="str">
        <f t="shared" ca="1" si="57"/>
        <v/>
      </c>
      <c r="M1778" s="2"/>
    </row>
    <row r="1779" spans="2:13" ht="15.6" x14ac:dyDescent="0.3">
      <c r="B1779" s="5" t="str">
        <f>IF(COUNTIF(data_val!$E$3:$E$5, sample_log!$E1779), sample_log!$C1779 &amp; "_" &amp; sample_log!$D1779, "")</f>
        <v/>
      </c>
      <c r="C1779" s="5" t="str">
        <f>IF(B1779="", IF(F1779="", "", C1778), IF(sample_log!E1779="Triennial SASS", "tri_params", "params"))</f>
        <v/>
      </c>
      <c r="D1779" s="5" t="str">
        <f>IF(B1779="", "", C1779 &amp; "!" &amp; CHAR(65+MATCH(B1779, params!$B$2:$R$2, 0)))</f>
        <v/>
      </c>
      <c r="E1779" s="5" t="str">
        <f ca="1">IF(B1779="", "", COUNTA(INDIRECT(D1779 &amp; 3):INDIRECT(D1779 &amp; 24)))</f>
        <v/>
      </c>
      <c r="F1779" s="5" t="str">
        <f t="shared" si="56"/>
        <v/>
      </c>
      <c r="G1779" s="5" t="str">
        <f>IF(F1779="", "", IF(B1779&lt;&gt;"", MATCH(B1779, params!$B$2:$R$2, 0), G1778))</f>
        <v/>
      </c>
      <c r="H1779" s="5" t="str">
        <f t="shared" ca="1" si="57"/>
        <v/>
      </c>
      <c r="M1779" s="2"/>
    </row>
    <row r="1780" spans="2:13" ht="15.6" x14ac:dyDescent="0.3">
      <c r="B1780" s="5" t="str">
        <f>IF(COUNTIF(data_val!$E$3:$E$5, sample_log!$E1780), sample_log!$C1780 &amp; "_" &amp; sample_log!$D1780, "")</f>
        <v/>
      </c>
      <c r="C1780" s="5" t="str">
        <f>IF(B1780="", IF(F1780="", "", C1779), IF(sample_log!E1780="Triennial SASS", "tri_params", "params"))</f>
        <v/>
      </c>
      <c r="D1780" s="5" t="str">
        <f>IF(B1780="", "", C1780 &amp; "!" &amp; CHAR(65+MATCH(B1780, params!$B$2:$R$2, 0)))</f>
        <v/>
      </c>
      <c r="E1780" s="5" t="str">
        <f ca="1">IF(B1780="", "", COUNTA(INDIRECT(D1780 &amp; 3):INDIRECT(D1780 &amp; 24)))</f>
        <v/>
      </c>
      <c r="F1780" s="5" t="str">
        <f t="shared" si="56"/>
        <v/>
      </c>
      <c r="G1780" s="5" t="str">
        <f>IF(F1780="", "", IF(B1780&lt;&gt;"", MATCH(B1780, params!$B$2:$R$2, 0), G1779))</f>
        <v/>
      </c>
      <c r="H1780" s="5" t="str">
        <f t="shared" ca="1" si="57"/>
        <v/>
      </c>
      <c r="M1780" s="2"/>
    </row>
    <row r="1781" spans="2:13" ht="15.6" x14ac:dyDescent="0.3">
      <c r="B1781" s="5" t="str">
        <f>IF(COUNTIF(data_val!$E$3:$E$5, sample_log!$E1781), sample_log!$C1781 &amp; "_" &amp; sample_log!$D1781, "")</f>
        <v/>
      </c>
      <c r="C1781" s="5" t="str">
        <f>IF(B1781="", IF(F1781="", "", C1780), IF(sample_log!E1781="Triennial SASS", "tri_params", "params"))</f>
        <v/>
      </c>
      <c r="D1781" s="5" t="str">
        <f>IF(B1781="", "", C1781 &amp; "!" &amp; CHAR(65+MATCH(B1781, params!$B$2:$R$2, 0)))</f>
        <v/>
      </c>
      <c r="E1781" s="5" t="str">
        <f ca="1">IF(B1781="", "", COUNTA(INDIRECT(D1781 &amp; 3):INDIRECT(D1781 &amp; 24)))</f>
        <v/>
      </c>
      <c r="F1781" s="5" t="str">
        <f t="shared" si="56"/>
        <v/>
      </c>
      <c r="G1781" s="5" t="str">
        <f>IF(F1781="", "", IF(B1781&lt;&gt;"", MATCH(B1781, params!$B$2:$R$2, 0), G1780))</f>
        <v/>
      </c>
      <c r="H1781" s="5" t="str">
        <f t="shared" ca="1" si="57"/>
        <v/>
      </c>
      <c r="M1781" s="2"/>
    </row>
    <row r="1782" spans="2:13" ht="15.6" x14ac:dyDescent="0.3">
      <c r="B1782" s="5" t="str">
        <f>IF(COUNTIF(data_val!$E$3:$E$5, sample_log!$E1782), sample_log!$C1782 &amp; "_" &amp; sample_log!$D1782, "")</f>
        <v/>
      </c>
      <c r="C1782" s="5" t="str">
        <f>IF(B1782="", IF(F1782="", "", C1781), IF(sample_log!E1782="Triennial SASS", "tri_params", "params"))</f>
        <v/>
      </c>
      <c r="D1782" s="5" t="str">
        <f>IF(B1782="", "", C1782 &amp; "!" &amp; CHAR(65+MATCH(B1782, params!$B$2:$R$2, 0)))</f>
        <v/>
      </c>
      <c r="E1782" s="5" t="str">
        <f ca="1">IF(B1782="", "", COUNTA(INDIRECT(D1782 &amp; 3):INDIRECT(D1782 &amp; 24)))</f>
        <v/>
      </c>
      <c r="F1782" s="5" t="str">
        <f t="shared" si="56"/>
        <v/>
      </c>
      <c r="G1782" s="5" t="str">
        <f>IF(F1782="", "", IF(B1782&lt;&gt;"", MATCH(B1782, params!$B$2:$R$2, 0), G1781))</f>
        <v/>
      </c>
      <c r="H1782" s="5" t="str">
        <f t="shared" ca="1" si="57"/>
        <v/>
      </c>
      <c r="M1782" s="2"/>
    </row>
    <row r="1783" spans="2:13" ht="15.6" x14ac:dyDescent="0.3">
      <c r="B1783" s="5" t="str">
        <f>IF(COUNTIF(data_val!$E$3:$E$5, sample_log!$E1783), sample_log!$C1783 &amp; "_" &amp; sample_log!$D1783, "")</f>
        <v/>
      </c>
      <c r="C1783" s="5" t="str">
        <f>IF(B1783="", IF(F1783="", "", C1782), IF(sample_log!E1783="Triennial SASS", "tri_params", "params"))</f>
        <v/>
      </c>
      <c r="D1783" s="5" t="str">
        <f>IF(B1783="", "", C1783 &amp; "!" &amp; CHAR(65+MATCH(B1783, params!$B$2:$R$2, 0)))</f>
        <v/>
      </c>
      <c r="E1783" s="5" t="str">
        <f ca="1">IF(B1783="", "", COUNTA(INDIRECT(D1783 &amp; 3):INDIRECT(D1783 &amp; 24)))</f>
        <v/>
      </c>
      <c r="F1783" s="5" t="str">
        <f t="shared" si="56"/>
        <v/>
      </c>
      <c r="G1783" s="5" t="str">
        <f>IF(F1783="", "", IF(B1783&lt;&gt;"", MATCH(B1783, params!$B$2:$R$2, 0), G1782))</f>
        <v/>
      </c>
      <c r="H1783" s="5" t="str">
        <f t="shared" ca="1" si="57"/>
        <v/>
      </c>
      <c r="M1783" s="2"/>
    </row>
    <row r="1784" spans="2:13" ht="15.6" x14ac:dyDescent="0.3">
      <c r="B1784" s="5" t="str">
        <f>IF(COUNTIF(data_val!$E$3:$E$5, sample_log!$E1784), sample_log!$C1784 &amp; "_" &amp; sample_log!$D1784, "")</f>
        <v/>
      </c>
      <c r="C1784" s="5" t="str">
        <f>IF(B1784="", IF(F1784="", "", C1783), IF(sample_log!E1784="Triennial SASS", "tri_params", "params"))</f>
        <v/>
      </c>
      <c r="D1784" s="5" t="str">
        <f>IF(B1784="", "", C1784 &amp; "!" &amp; CHAR(65+MATCH(B1784, params!$B$2:$R$2, 0)))</f>
        <v/>
      </c>
      <c r="E1784" s="5" t="str">
        <f ca="1">IF(B1784="", "", COUNTA(INDIRECT(D1784 &amp; 3):INDIRECT(D1784 &amp; 24)))</f>
        <v/>
      </c>
      <c r="F1784" s="5" t="str">
        <f t="shared" si="56"/>
        <v/>
      </c>
      <c r="G1784" s="5" t="str">
        <f>IF(F1784="", "", IF(B1784&lt;&gt;"", MATCH(B1784, params!$B$2:$R$2, 0), G1783))</f>
        <v/>
      </c>
      <c r="H1784" s="5" t="str">
        <f t="shared" ca="1" si="57"/>
        <v/>
      </c>
      <c r="M1784" s="2"/>
    </row>
    <row r="1785" spans="2:13" ht="15.6" x14ac:dyDescent="0.3">
      <c r="B1785" s="5" t="str">
        <f>IF(COUNTIF(data_val!$E$3:$E$5, sample_log!$E1785), sample_log!$C1785 &amp; "_" &amp; sample_log!$D1785, "")</f>
        <v/>
      </c>
      <c r="C1785" s="5" t="str">
        <f>IF(B1785="", IF(F1785="", "", C1784), IF(sample_log!E1785="Triennial SASS", "tri_params", "params"))</f>
        <v/>
      </c>
      <c r="D1785" s="5" t="str">
        <f>IF(B1785="", "", C1785 &amp; "!" &amp; CHAR(65+MATCH(B1785, params!$B$2:$R$2, 0)))</f>
        <v/>
      </c>
      <c r="E1785" s="5" t="str">
        <f ca="1">IF(B1785="", "", COUNTA(INDIRECT(D1785 &amp; 3):INDIRECT(D1785 &amp; 24)))</f>
        <v/>
      </c>
      <c r="F1785" s="5" t="str">
        <f t="shared" si="56"/>
        <v/>
      </c>
      <c r="G1785" s="5" t="str">
        <f>IF(F1785="", "", IF(B1785&lt;&gt;"", MATCH(B1785, params!$B$2:$R$2, 0), G1784))</f>
        <v/>
      </c>
      <c r="H1785" s="5" t="str">
        <f t="shared" ca="1" si="57"/>
        <v/>
      </c>
      <c r="M1785" s="2"/>
    </row>
    <row r="1786" spans="2:13" ht="15.6" x14ac:dyDescent="0.3">
      <c r="B1786" s="5" t="str">
        <f>IF(COUNTIF(data_val!$E$3:$E$5, sample_log!$E1786), sample_log!$C1786 &amp; "_" &amp; sample_log!$D1786, "")</f>
        <v/>
      </c>
      <c r="C1786" s="5" t="str">
        <f>IF(B1786="", IF(F1786="", "", C1785), IF(sample_log!E1786="Triennial SASS", "tri_params", "params"))</f>
        <v/>
      </c>
      <c r="D1786" s="5" t="str">
        <f>IF(B1786="", "", C1786 &amp; "!" &amp; CHAR(65+MATCH(B1786, params!$B$2:$R$2, 0)))</f>
        <v/>
      </c>
      <c r="E1786" s="5" t="str">
        <f ca="1">IF(B1786="", "", COUNTA(INDIRECT(D1786 &amp; 3):INDIRECT(D1786 &amp; 24)))</f>
        <v/>
      </c>
      <c r="F1786" s="5" t="str">
        <f t="shared" si="56"/>
        <v/>
      </c>
      <c r="G1786" s="5" t="str">
        <f>IF(F1786="", "", IF(B1786&lt;&gt;"", MATCH(B1786, params!$B$2:$R$2, 0), G1785))</f>
        <v/>
      </c>
      <c r="H1786" s="5" t="str">
        <f t="shared" ca="1" si="57"/>
        <v/>
      </c>
      <c r="M1786" s="2"/>
    </row>
    <row r="1787" spans="2:13" ht="15.6" x14ac:dyDescent="0.3">
      <c r="B1787" s="5" t="str">
        <f>IF(COUNTIF(data_val!$E$3:$E$5, sample_log!$E1787), sample_log!$C1787 &amp; "_" &amp; sample_log!$D1787, "")</f>
        <v/>
      </c>
      <c r="C1787" s="5" t="str">
        <f>IF(B1787="", IF(F1787="", "", C1786), IF(sample_log!E1787="Triennial SASS", "tri_params", "params"))</f>
        <v/>
      </c>
      <c r="D1787" s="5" t="str">
        <f>IF(B1787="", "", C1787 &amp; "!" &amp; CHAR(65+MATCH(B1787, params!$B$2:$R$2, 0)))</f>
        <v/>
      </c>
      <c r="E1787" s="5" t="str">
        <f ca="1">IF(B1787="", "", COUNTA(INDIRECT(D1787 &amp; 3):INDIRECT(D1787 &amp; 24)))</f>
        <v/>
      </c>
      <c r="F1787" s="5" t="str">
        <f t="shared" si="56"/>
        <v/>
      </c>
      <c r="G1787" s="5" t="str">
        <f>IF(F1787="", "", IF(B1787&lt;&gt;"", MATCH(B1787, params!$B$2:$R$2, 0), G1786))</f>
        <v/>
      </c>
      <c r="H1787" s="5" t="str">
        <f t="shared" ca="1" si="57"/>
        <v/>
      </c>
      <c r="M1787" s="2"/>
    </row>
    <row r="1788" spans="2:13" ht="15.6" x14ac:dyDescent="0.3">
      <c r="B1788" s="5" t="str">
        <f>IF(COUNTIF(data_val!$E$3:$E$5, sample_log!$E1788), sample_log!$C1788 &amp; "_" &amp; sample_log!$D1788, "")</f>
        <v/>
      </c>
      <c r="C1788" s="5" t="str">
        <f>IF(B1788="", IF(F1788="", "", C1787), IF(sample_log!E1788="Triennial SASS", "tri_params", "params"))</f>
        <v/>
      </c>
      <c r="D1788" s="5" t="str">
        <f>IF(B1788="", "", C1788 &amp; "!" &amp; CHAR(65+MATCH(B1788, params!$B$2:$R$2, 0)))</f>
        <v/>
      </c>
      <c r="E1788" s="5" t="str">
        <f ca="1">IF(B1788="", "", COUNTA(INDIRECT(D1788 &amp; 3):INDIRECT(D1788 &amp; 24)))</f>
        <v/>
      </c>
      <c r="F1788" s="5" t="str">
        <f t="shared" si="56"/>
        <v/>
      </c>
      <c r="G1788" s="5" t="str">
        <f>IF(F1788="", "", IF(B1788&lt;&gt;"", MATCH(B1788, params!$B$2:$R$2, 0), G1787))</f>
        <v/>
      </c>
      <c r="H1788" s="5" t="str">
        <f t="shared" ca="1" si="57"/>
        <v/>
      </c>
      <c r="M1788" s="2"/>
    </row>
    <row r="1789" spans="2:13" ht="15.6" x14ac:dyDescent="0.3">
      <c r="B1789" s="5" t="str">
        <f>IF(COUNTIF(data_val!$E$3:$E$5, sample_log!$E1789), sample_log!$C1789 &amp; "_" &amp; sample_log!$D1789, "")</f>
        <v/>
      </c>
      <c r="C1789" s="5" t="str">
        <f>IF(B1789="", IF(F1789="", "", C1788), IF(sample_log!E1789="Triennial SASS", "tri_params", "params"))</f>
        <v/>
      </c>
      <c r="D1789" s="5" t="str">
        <f>IF(B1789="", "", C1789 &amp; "!" &amp; CHAR(65+MATCH(B1789, params!$B$2:$R$2, 0)))</f>
        <v/>
      </c>
      <c r="E1789" s="5" t="str">
        <f ca="1">IF(B1789="", "", COUNTA(INDIRECT(D1789 &amp; 3):INDIRECT(D1789 &amp; 24)))</f>
        <v/>
      </c>
      <c r="F1789" s="5" t="str">
        <f t="shared" si="56"/>
        <v/>
      </c>
      <c r="G1789" s="5" t="str">
        <f>IF(F1789="", "", IF(B1789&lt;&gt;"", MATCH(B1789, params!$B$2:$R$2, 0), G1788))</f>
        <v/>
      </c>
      <c r="H1789" s="5" t="str">
        <f t="shared" ca="1" si="57"/>
        <v/>
      </c>
      <c r="M1789" s="2"/>
    </row>
    <row r="1790" spans="2:13" ht="15.6" x14ac:dyDescent="0.3">
      <c r="B1790" s="5" t="str">
        <f>IF(COUNTIF(data_val!$E$3:$E$5, sample_log!$E1790), sample_log!$C1790 &amp; "_" &amp; sample_log!$D1790, "")</f>
        <v/>
      </c>
      <c r="C1790" s="5" t="str">
        <f>IF(B1790="", IF(F1790="", "", C1789), IF(sample_log!E1790="Triennial SASS", "tri_params", "params"))</f>
        <v/>
      </c>
      <c r="D1790" s="5" t="str">
        <f>IF(B1790="", "", C1790 &amp; "!" &amp; CHAR(65+MATCH(B1790, params!$B$2:$R$2, 0)))</f>
        <v/>
      </c>
      <c r="E1790" s="5" t="str">
        <f ca="1">IF(B1790="", "", COUNTA(INDIRECT(D1790 &amp; 3):INDIRECT(D1790 &amp; 24)))</f>
        <v/>
      </c>
      <c r="F1790" s="5" t="str">
        <f t="shared" si="56"/>
        <v/>
      </c>
      <c r="G1790" s="5" t="str">
        <f>IF(F1790="", "", IF(B1790&lt;&gt;"", MATCH(B1790, params!$B$2:$R$2, 0), G1789))</f>
        <v/>
      </c>
      <c r="H1790" s="5" t="str">
        <f t="shared" ca="1" si="57"/>
        <v/>
      </c>
      <c r="M1790" s="2"/>
    </row>
    <row r="1791" spans="2:13" ht="15.6" x14ac:dyDescent="0.3">
      <c r="B1791" s="5" t="str">
        <f>IF(COUNTIF(data_val!$E$3:$E$5, sample_log!$E1791), sample_log!$C1791 &amp; "_" &amp; sample_log!$D1791, "")</f>
        <v/>
      </c>
      <c r="C1791" s="5" t="str">
        <f>IF(B1791="", IF(F1791="", "", C1790), IF(sample_log!E1791="Triennial SASS", "tri_params", "params"))</f>
        <v/>
      </c>
      <c r="D1791" s="5" t="str">
        <f>IF(B1791="", "", C1791 &amp; "!" &amp; CHAR(65+MATCH(B1791, params!$B$2:$R$2, 0)))</f>
        <v/>
      </c>
      <c r="E1791" s="5" t="str">
        <f ca="1">IF(B1791="", "", COUNTA(INDIRECT(D1791 &amp; 3):INDIRECT(D1791 &amp; 24)))</f>
        <v/>
      </c>
      <c r="F1791" s="5" t="str">
        <f t="shared" si="56"/>
        <v/>
      </c>
      <c r="G1791" s="5" t="str">
        <f>IF(F1791="", "", IF(B1791&lt;&gt;"", MATCH(B1791, params!$B$2:$R$2, 0), G1790))</f>
        <v/>
      </c>
      <c r="H1791" s="5" t="str">
        <f t="shared" ca="1" si="57"/>
        <v/>
      </c>
      <c r="M1791" s="2"/>
    </row>
    <row r="1792" spans="2:13" ht="15.6" x14ac:dyDescent="0.3">
      <c r="B1792" s="5" t="str">
        <f>IF(COUNTIF(data_val!$E$3:$E$5, sample_log!$E1792), sample_log!$C1792 &amp; "_" &amp; sample_log!$D1792, "")</f>
        <v/>
      </c>
      <c r="C1792" s="5" t="str">
        <f>IF(B1792="", IF(F1792="", "", C1791), IF(sample_log!E1792="Triennial SASS", "tri_params", "params"))</f>
        <v/>
      </c>
      <c r="D1792" s="5" t="str">
        <f>IF(B1792="", "", C1792 &amp; "!" &amp; CHAR(65+MATCH(B1792, params!$B$2:$R$2, 0)))</f>
        <v/>
      </c>
      <c r="E1792" s="5" t="str">
        <f ca="1">IF(B1792="", "", COUNTA(INDIRECT(D1792 &amp; 3):INDIRECT(D1792 &amp; 24)))</f>
        <v/>
      </c>
      <c r="F1792" s="5" t="str">
        <f t="shared" si="56"/>
        <v/>
      </c>
      <c r="G1792" s="5" t="str">
        <f>IF(F1792="", "", IF(B1792&lt;&gt;"", MATCH(B1792, params!$B$2:$R$2, 0), G1791))</f>
        <v/>
      </c>
      <c r="H1792" s="5" t="str">
        <f t="shared" ca="1" si="57"/>
        <v/>
      </c>
      <c r="M1792" s="2"/>
    </row>
    <row r="1793" spans="2:13" ht="15.6" x14ac:dyDescent="0.3">
      <c r="B1793" s="5" t="str">
        <f>IF(COUNTIF(data_val!$E$3:$E$5, sample_log!$E1793), sample_log!$C1793 &amp; "_" &amp; sample_log!$D1793, "")</f>
        <v/>
      </c>
      <c r="C1793" s="5" t="str">
        <f>IF(B1793="", IF(F1793="", "", C1792), IF(sample_log!E1793="Triennial SASS", "tri_params", "params"))</f>
        <v/>
      </c>
      <c r="D1793" s="5" t="str">
        <f>IF(B1793="", "", C1793 &amp; "!" &amp; CHAR(65+MATCH(B1793, params!$B$2:$R$2, 0)))</f>
        <v/>
      </c>
      <c r="E1793" s="5" t="str">
        <f ca="1">IF(B1793="", "", COUNTA(INDIRECT(D1793 &amp; 3):INDIRECT(D1793 &amp; 24)))</f>
        <v/>
      </c>
      <c r="F1793" s="5" t="str">
        <f t="shared" si="56"/>
        <v/>
      </c>
      <c r="G1793" s="5" t="str">
        <f>IF(F1793="", "", IF(B1793&lt;&gt;"", MATCH(B1793, params!$B$2:$R$2, 0), G1792))</f>
        <v/>
      </c>
      <c r="H1793" s="5" t="str">
        <f t="shared" ca="1" si="57"/>
        <v/>
      </c>
      <c r="M1793" s="2"/>
    </row>
    <row r="1794" spans="2:13" ht="15.6" x14ac:dyDescent="0.3">
      <c r="B1794" s="5" t="str">
        <f>IF(COUNTIF(data_val!$E$3:$E$5, sample_log!$E1794), sample_log!$C1794 &amp; "_" &amp; sample_log!$D1794, "")</f>
        <v/>
      </c>
      <c r="C1794" s="5" t="str">
        <f>IF(B1794="", IF(F1794="", "", C1793), IF(sample_log!E1794="Triennial SASS", "tri_params", "params"))</f>
        <v/>
      </c>
      <c r="D1794" s="5" t="str">
        <f>IF(B1794="", "", C1794 &amp; "!" &amp; CHAR(65+MATCH(B1794, params!$B$2:$R$2, 0)))</f>
        <v/>
      </c>
      <c r="E1794" s="5" t="str">
        <f ca="1">IF(B1794="", "", COUNTA(INDIRECT(D1794 &amp; 3):INDIRECT(D1794 &amp; 24)))</f>
        <v/>
      </c>
      <c r="F1794" s="5" t="str">
        <f t="shared" si="56"/>
        <v/>
      </c>
      <c r="G1794" s="5" t="str">
        <f>IF(F1794="", "", IF(B1794&lt;&gt;"", MATCH(B1794, params!$B$2:$R$2, 0), G1793))</f>
        <v/>
      </c>
      <c r="H1794" s="5" t="str">
        <f t="shared" ca="1" si="57"/>
        <v/>
      </c>
      <c r="M1794" s="2"/>
    </row>
    <row r="1795" spans="2:13" ht="15.6" x14ac:dyDescent="0.3">
      <c r="B1795" s="5" t="str">
        <f>IF(COUNTIF(data_val!$E$3:$E$5, sample_log!$E1795), sample_log!$C1795 &amp; "_" &amp; sample_log!$D1795, "")</f>
        <v/>
      </c>
      <c r="C1795" s="5" t="str">
        <f>IF(B1795="", IF(F1795="", "", C1794), IF(sample_log!E1795="Triennial SASS", "tri_params", "params"))</f>
        <v/>
      </c>
      <c r="D1795" s="5" t="str">
        <f>IF(B1795="", "", C1795 &amp; "!" &amp; CHAR(65+MATCH(B1795, params!$B$2:$R$2, 0)))</f>
        <v/>
      </c>
      <c r="E1795" s="5" t="str">
        <f ca="1">IF(B1795="", "", COUNTA(INDIRECT(D1795 &amp; 3):INDIRECT(D1795 &amp; 24)))</f>
        <v/>
      </c>
      <c r="F1795" s="5" t="str">
        <f t="shared" ref="F1795:F1858" si="58">IF(B1795="", IF(NOT(ISNUMBER(F1794)), "", IF(F1794-1&gt;0, F1794-1, "")), E1795)</f>
        <v/>
      </c>
      <c r="G1795" s="5" t="str">
        <f>IF(F1795="", "", IF(B1795&lt;&gt;"", MATCH(B1795, params!$B$2:$R$2, 0), G1794))</f>
        <v/>
      </c>
      <c r="H1795" s="5" t="str">
        <f t="shared" ca="1" si="57"/>
        <v/>
      </c>
      <c r="M1795" s="2"/>
    </row>
    <row r="1796" spans="2:13" ht="15.6" x14ac:dyDescent="0.3">
      <c r="B1796" s="5" t="str">
        <f>IF(COUNTIF(data_val!$E$3:$E$5, sample_log!$E1796), sample_log!$C1796 &amp; "_" &amp; sample_log!$D1796, "")</f>
        <v/>
      </c>
      <c r="C1796" s="5" t="str">
        <f>IF(B1796="", IF(F1796="", "", C1795), IF(sample_log!E1796="Triennial SASS", "tri_params", "params"))</f>
        <v/>
      </c>
      <c r="D1796" s="5" t="str">
        <f>IF(B1796="", "", C1796 &amp; "!" &amp; CHAR(65+MATCH(B1796, params!$B$2:$R$2, 0)))</f>
        <v/>
      </c>
      <c r="E1796" s="5" t="str">
        <f ca="1">IF(B1796="", "", COUNTA(INDIRECT(D1796 &amp; 3):INDIRECT(D1796 &amp; 24)))</f>
        <v/>
      </c>
      <c r="F1796" s="5" t="str">
        <f t="shared" si="58"/>
        <v/>
      </c>
      <c r="G1796" s="5" t="str">
        <f>IF(F1796="", "", IF(B1796&lt;&gt;"", MATCH(B1796, params!$B$2:$R$2, 0), G1795))</f>
        <v/>
      </c>
      <c r="H1796" s="5" t="str">
        <f t="shared" ca="1" si="57"/>
        <v/>
      </c>
      <c r="M1796" s="2"/>
    </row>
    <row r="1797" spans="2:13" ht="15.6" x14ac:dyDescent="0.3">
      <c r="B1797" s="5" t="str">
        <f>IF(COUNTIF(data_val!$E$3:$E$5, sample_log!$E1797), sample_log!$C1797 &amp; "_" &amp; sample_log!$D1797, "")</f>
        <v/>
      </c>
      <c r="C1797" s="5" t="str">
        <f>IF(B1797="", IF(F1797="", "", C1796), IF(sample_log!E1797="Triennial SASS", "tri_params", "params"))</f>
        <v/>
      </c>
      <c r="D1797" s="5" t="str">
        <f>IF(B1797="", "", C1797 &amp; "!" &amp; CHAR(65+MATCH(B1797, params!$B$2:$R$2, 0)))</f>
        <v/>
      </c>
      <c r="E1797" s="5" t="str">
        <f ca="1">IF(B1797="", "", COUNTA(INDIRECT(D1797 &amp; 3):INDIRECT(D1797 &amp; 24)))</f>
        <v/>
      </c>
      <c r="F1797" s="5" t="str">
        <f t="shared" si="58"/>
        <v/>
      </c>
      <c r="G1797" s="5" t="str">
        <f>IF(F1797="", "", IF(B1797&lt;&gt;"", MATCH(B1797, params!$B$2:$R$2, 0), G1796))</f>
        <v/>
      </c>
      <c r="H1797" s="5" t="str">
        <f t="shared" ca="1" si="57"/>
        <v/>
      </c>
      <c r="M1797" s="2"/>
    </row>
    <row r="1798" spans="2:13" ht="15.6" x14ac:dyDescent="0.3">
      <c r="B1798" s="5" t="str">
        <f>IF(COUNTIF(data_val!$E$3:$E$5, sample_log!$E1798), sample_log!$C1798 &amp; "_" &amp; sample_log!$D1798, "")</f>
        <v/>
      </c>
      <c r="C1798" s="5" t="str">
        <f>IF(B1798="", IF(F1798="", "", C1797), IF(sample_log!E1798="Triennial SASS", "tri_params", "params"))</f>
        <v/>
      </c>
      <c r="D1798" s="5" t="str">
        <f>IF(B1798="", "", C1798 &amp; "!" &amp; CHAR(65+MATCH(B1798, params!$B$2:$R$2, 0)))</f>
        <v/>
      </c>
      <c r="E1798" s="5" t="str">
        <f ca="1">IF(B1798="", "", COUNTA(INDIRECT(D1798 &amp; 3):INDIRECT(D1798 &amp; 24)))</f>
        <v/>
      </c>
      <c r="F1798" s="5" t="str">
        <f t="shared" si="58"/>
        <v/>
      </c>
      <c r="G1798" s="5" t="str">
        <f>IF(F1798="", "", IF(B1798&lt;&gt;"", MATCH(B1798, params!$B$2:$R$2, 0), G1797))</f>
        <v/>
      </c>
      <c r="H1798" s="5" t="str">
        <f t="shared" ca="1" si="57"/>
        <v/>
      </c>
      <c r="M1798" s="2"/>
    </row>
    <row r="1799" spans="2:13" ht="15.6" x14ac:dyDescent="0.3">
      <c r="B1799" s="5" t="str">
        <f>IF(COUNTIF(data_val!$E$3:$E$5, sample_log!$E1799), sample_log!$C1799 &amp; "_" &amp; sample_log!$D1799, "")</f>
        <v/>
      </c>
      <c r="C1799" s="5" t="str">
        <f>IF(B1799="", IF(F1799="", "", C1798), IF(sample_log!E1799="Triennial SASS", "tri_params", "params"))</f>
        <v/>
      </c>
      <c r="D1799" s="5" t="str">
        <f>IF(B1799="", "", C1799 &amp; "!" &amp; CHAR(65+MATCH(B1799, params!$B$2:$R$2, 0)))</f>
        <v/>
      </c>
      <c r="E1799" s="5" t="str">
        <f ca="1">IF(B1799="", "", COUNTA(INDIRECT(D1799 &amp; 3):INDIRECT(D1799 &amp; 24)))</f>
        <v/>
      </c>
      <c r="F1799" s="5" t="str">
        <f t="shared" si="58"/>
        <v/>
      </c>
      <c r="G1799" s="5" t="str">
        <f>IF(F1799="", "", IF(B1799&lt;&gt;"", MATCH(B1799, params!$B$2:$R$2, 0), G1798))</f>
        <v/>
      </c>
      <c r="H1799" s="5" t="str">
        <f t="shared" ca="1" si="57"/>
        <v/>
      </c>
      <c r="M1799" s="2"/>
    </row>
    <row r="1800" spans="2:13" ht="15.6" x14ac:dyDescent="0.3">
      <c r="B1800" s="5" t="str">
        <f>IF(COUNTIF(data_val!$E$3:$E$5, sample_log!$E1800), sample_log!$C1800 &amp; "_" &amp; sample_log!$D1800, "")</f>
        <v/>
      </c>
      <c r="C1800" s="5" t="str">
        <f>IF(B1800="", IF(F1800="", "", C1799), IF(sample_log!E1800="Triennial SASS", "tri_params", "params"))</f>
        <v/>
      </c>
      <c r="D1800" s="5" t="str">
        <f>IF(B1800="", "", C1800 &amp; "!" &amp; CHAR(65+MATCH(B1800, params!$B$2:$R$2, 0)))</f>
        <v/>
      </c>
      <c r="E1800" s="5" t="str">
        <f ca="1">IF(B1800="", "", COUNTA(INDIRECT(D1800 &amp; 3):INDIRECT(D1800 &amp; 24)))</f>
        <v/>
      </c>
      <c r="F1800" s="5" t="str">
        <f t="shared" si="58"/>
        <v/>
      </c>
      <c r="G1800" s="5" t="str">
        <f>IF(F1800="", "", IF(B1800&lt;&gt;"", MATCH(B1800, params!$B$2:$R$2, 0), G1799))</f>
        <v/>
      </c>
      <c r="H1800" s="5" t="str">
        <f t="shared" ca="1" si="57"/>
        <v/>
      </c>
      <c r="M1800" s="2"/>
    </row>
    <row r="1801" spans="2:13" ht="15.6" x14ac:dyDescent="0.3">
      <c r="B1801" s="5" t="str">
        <f>IF(COUNTIF(data_val!$E$3:$E$5, sample_log!$E1801), sample_log!$C1801 &amp; "_" &amp; sample_log!$D1801, "")</f>
        <v/>
      </c>
      <c r="C1801" s="5" t="str">
        <f>IF(B1801="", IF(F1801="", "", C1800), IF(sample_log!E1801="Triennial SASS", "tri_params", "params"))</f>
        <v/>
      </c>
      <c r="D1801" s="5" t="str">
        <f>IF(B1801="", "", C1801 &amp; "!" &amp; CHAR(65+MATCH(B1801, params!$B$2:$R$2, 0)))</f>
        <v/>
      </c>
      <c r="E1801" s="5" t="str">
        <f ca="1">IF(B1801="", "", COUNTA(INDIRECT(D1801 &amp; 3):INDIRECT(D1801 &amp; 24)))</f>
        <v/>
      </c>
      <c r="F1801" s="5" t="str">
        <f t="shared" si="58"/>
        <v/>
      </c>
      <c r="G1801" s="5" t="str">
        <f>IF(F1801="", "", IF(B1801&lt;&gt;"", MATCH(B1801, params!$B$2:$R$2, 0), G1800))</f>
        <v/>
      </c>
      <c r="H1801" s="5" t="str">
        <f t="shared" ca="1" si="57"/>
        <v/>
      </c>
      <c r="M1801" s="2"/>
    </row>
    <row r="1802" spans="2:13" ht="15.6" x14ac:dyDescent="0.3">
      <c r="B1802" s="5" t="str">
        <f>IF(COUNTIF(data_val!$E$3:$E$5, sample_log!$E1802), sample_log!$C1802 &amp; "_" &amp; sample_log!$D1802, "")</f>
        <v/>
      </c>
      <c r="C1802" s="5" t="str">
        <f>IF(B1802="", IF(F1802="", "", C1801), IF(sample_log!E1802="Triennial SASS", "tri_params", "params"))</f>
        <v/>
      </c>
      <c r="D1802" s="5" t="str">
        <f>IF(B1802="", "", C1802 &amp; "!" &amp; CHAR(65+MATCH(B1802, params!$B$2:$R$2, 0)))</f>
        <v/>
      </c>
      <c r="E1802" s="5" t="str">
        <f ca="1">IF(B1802="", "", COUNTA(INDIRECT(D1802 &amp; 3):INDIRECT(D1802 &amp; 24)))</f>
        <v/>
      </c>
      <c r="F1802" s="5" t="str">
        <f t="shared" si="58"/>
        <v/>
      </c>
      <c r="G1802" s="5" t="str">
        <f>IF(F1802="", "", IF(B1802&lt;&gt;"", MATCH(B1802, params!$B$2:$R$2, 0), G1801))</f>
        <v/>
      </c>
      <c r="H1802" s="5" t="str">
        <f t="shared" ca="1" si="57"/>
        <v/>
      </c>
      <c r="M1802" s="2"/>
    </row>
    <row r="1803" spans="2:13" ht="15.6" x14ac:dyDescent="0.3">
      <c r="B1803" s="5" t="str">
        <f>IF(COUNTIF(data_val!$E$3:$E$5, sample_log!$E1803), sample_log!$C1803 &amp; "_" &amp; sample_log!$D1803, "")</f>
        <v/>
      </c>
      <c r="C1803" s="5" t="str">
        <f>IF(B1803="", IF(F1803="", "", C1802), IF(sample_log!E1803="Triennial SASS", "tri_params", "params"))</f>
        <v/>
      </c>
      <c r="D1803" s="5" t="str">
        <f>IF(B1803="", "", C1803 &amp; "!" &amp; CHAR(65+MATCH(B1803, params!$B$2:$R$2, 0)))</f>
        <v/>
      </c>
      <c r="E1803" s="5" t="str">
        <f ca="1">IF(B1803="", "", COUNTA(INDIRECT(D1803 &amp; 3):INDIRECT(D1803 &amp; 24)))</f>
        <v/>
      </c>
      <c r="F1803" s="5" t="str">
        <f t="shared" si="58"/>
        <v/>
      </c>
      <c r="G1803" s="5" t="str">
        <f>IF(F1803="", "", IF(B1803&lt;&gt;"", MATCH(B1803, params!$B$2:$R$2, 0), G1802))</f>
        <v/>
      </c>
      <c r="H1803" s="5" t="str">
        <f t="shared" ca="1" si="57"/>
        <v/>
      </c>
      <c r="M1803" s="2"/>
    </row>
    <row r="1804" spans="2:13" ht="15.6" x14ac:dyDescent="0.3">
      <c r="B1804" s="5" t="str">
        <f>IF(COUNTIF(data_val!$E$3:$E$5, sample_log!$E1804), sample_log!$C1804 &amp; "_" &amp; sample_log!$D1804, "")</f>
        <v/>
      </c>
      <c r="C1804" s="5" t="str">
        <f>IF(B1804="", IF(F1804="", "", C1803), IF(sample_log!E1804="Triennial SASS", "tri_params", "params"))</f>
        <v/>
      </c>
      <c r="D1804" s="5" t="str">
        <f>IF(B1804="", "", C1804 &amp; "!" &amp; CHAR(65+MATCH(B1804, params!$B$2:$R$2, 0)))</f>
        <v/>
      </c>
      <c r="E1804" s="5" t="str">
        <f ca="1">IF(B1804="", "", COUNTA(INDIRECT(D1804 &amp; 3):INDIRECT(D1804 &amp; 24)))</f>
        <v/>
      </c>
      <c r="F1804" s="5" t="str">
        <f t="shared" si="58"/>
        <v/>
      </c>
      <c r="G1804" s="5" t="str">
        <f>IF(F1804="", "", IF(B1804&lt;&gt;"", MATCH(B1804, params!$B$2:$R$2, 0), G1803))</f>
        <v/>
      </c>
      <c r="H1804" s="5" t="str">
        <f t="shared" ca="1" si="57"/>
        <v/>
      </c>
      <c r="M1804" s="2"/>
    </row>
    <row r="1805" spans="2:13" ht="15.6" x14ac:dyDescent="0.3">
      <c r="B1805" s="5" t="str">
        <f>IF(COUNTIF(data_val!$E$3:$E$5, sample_log!$E1805), sample_log!$C1805 &amp; "_" &amp; sample_log!$D1805, "")</f>
        <v/>
      </c>
      <c r="C1805" s="5" t="str">
        <f>IF(B1805="", IF(F1805="", "", C1804), IF(sample_log!E1805="Triennial SASS", "tri_params", "params"))</f>
        <v/>
      </c>
      <c r="D1805" s="5" t="str">
        <f>IF(B1805="", "", C1805 &amp; "!" &amp; CHAR(65+MATCH(B1805, params!$B$2:$R$2, 0)))</f>
        <v/>
      </c>
      <c r="E1805" s="5" t="str">
        <f ca="1">IF(B1805="", "", COUNTA(INDIRECT(D1805 &amp; 3):INDIRECT(D1805 &amp; 24)))</f>
        <v/>
      </c>
      <c r="F1805" s="5" t="str">
        <f t="shared" si="58"/>
        <v/>
      </c>
      <c r="G1805" s="5" t="str">
        <f>IF(F1805="", "", IF(B1805&lt;&gt;"", MATCH(B1805, params!$B$2:$R$2, 0), G1804))</f>
        <v/>
      </c>
      <c r="H1805" s="5" t="str">
        <f t="shared" ca="1" si="57"/>
        <v/>
      </c>
      <c r="M1805" s="2"/>
    </row>
    <row r="1806" spans="2:13" ht="15.6" x14ac:dyDescent="0.3">
      <c r="B1806" s="5" t="str">
        <f>IF(COUNTIF(data_val!$E$3:$E$5, sample_log!$E1806), sample_log!$C1806 &amp; "_" &amp; sample_log!$D1806, "")</f>
        <v/>
      </c>
      <c r="C1806" s="5" t="str">
        <f>IF(B1806="", IF(F1806="", "", C1805), IF(sample_log!E1806="Triennial SASS", "tri_params", "params"))</f>
        <v/>
      </c>
      <c r="D1806" s="5" t="str">
        <f>IF(B1806="", "", C1806 &amp; "!" &amp; CHAR(65+MATCH(B1806, params!$B$2:$R$2, 0)))</f>
        <v/>
      </c>
      <c r="E1806" s="5" t="str">
        <f ca="1">IF(B1806="", "", COUNTA(INDIRECT(D1806 &amp; 3):INDIRECT(D1806 &amp; 24)))</f>
        <v/>
      </c>
      <c r="F1806" s="5" t="str">
        <f t="shared" si="58"/>
        <v/>
      </c>
      <c r="G1806" s="5" t="str">
        <f>IF(F1806="", "", IF(B1806&lt;&gt;"", MATCH(B1806, params!$B$2:$R$2, 0), G1805))</f>
        <v/>
      </c>
      <c r="H1806" s="5" t="str">
        <f t="shared" ca="1" si="57"/>
        <v/>
      </c>
      <c r="M1806" s="2"/>
    </row>
    <row r="1807" spans="2:13" ht="15.6" x14ac:dyDescent="0.3">
      <c r="B1807" s="5" t="str">
        <f>IF(COUNTIF(data_val!$E$3:$E$5, sample_log!$E1807), sample_log!$C1807 &amp; "_" &amp; sample_log!$D1807, "")</f>
        <v/>
      </c>
      <c r="C1807" s="5" t="str">
        <f>IF(B1807="", IF(F1807="", "", C1806), IF(sample_log!E1807="Triennial SASS", "tri_params", "params"))</f>
        <v/>
      </c>
      <c r="D1807" s="5" t="str">
        <f>IF(B1807="", "", C1807 &amp; "!" &amp; CHAR(65+MATCH(B1807, params!$B$2:$R$2, 0)))</f>
        <v/>
      </c>
      <c r="E1807" s="5" t="str">
        <f ca="1">IF(B1807="", "", COUNTA(INDIRECT(D1807 &amp; 3):INDIRECT(D1807 &amp; 24)))</f>
        <v/>
      </c>
      <c r="F1807" s="5" t="str">
        <f t="shared" si="58"/>
        <v/>
      </c>
      <c r="G1807" s="5" t="str">
        <f>IF(F1807="", "", IF(B1807&lt;&gt;"", MATCH(B1807, params!$B$2:$R$2, 0), G1806))</f>
        <v/>
      </c>
      <c r="H1807" s="5" t="str">
        <f t="shared" ca="1" si="57"/>
        <v/>
      </c>
      <c r="M1807" s="2"/>
    </row>
    <row r="1808" spans="2:13" ht="15.6" x14ac:dyDescent="0.3">
      <c r="B1808" s="5" t="str">
        <f>IF(COUNTIF(data_val!$E$3:$E$5, sample_log!$E1808), sample_log!$C1808 &amp; "_" &amp; sample_log!$D1808, "")</f>
        <v/>
      </c>
      <c r="C1808" s="5" t="str">
        <f>IF(B1808="", IF(F1808="", "", C1807), IF(sample_log!E1808="Triennial SASS", "tri_params", "params"))</f>
        <v/>
      </c>
      <c r="D1808" s="5" t="str">
        <f>IF(B1808="", "", C1808 &amp; "!" &amp; CHAR(65+MATCH(B1808, params!$B$2:$R$2, 0)))</f>
        <v/>
      </c>
      <c r="E1808" s="5" t="str">
        <f ca="1">IF(B1808="", "", COUNTA(INDIRECT(D1808 &amp; 3):INDIRECT(D1808 &amp; 24)))</f>
        <v/>
      </c>
      <c r="F1808" s="5" t="str">
        <f t="shared" si="58"/>
        <v/>
      </c>
      <c r="G1808" s="5" t="str">
        <f>IF(F1808="", "", IF(B1808&lt;&gt;"", MATCH(B1808, params!$B$2:$R$2, 0), G1807))</f>
        <v/>
      </c>
      <c r="H1808" s="5" t="str">
        <f t="shared" ca="1" si="57"/>
        <v/>
      </c>
      <c r="M1808" s="2"/>
    </row>
    <row r="1809" spans="2:13" ht="15.6" x14ac:dyDescent="0.3">
      <c r="B1809" s="5" t="str">
        <f>IF(COUNTIF(data_val!$E$3:$E$5, sample_log!$E1809), sample_log!$C1809 &amp; "_" &amp; sample_log!$D1809, "")</f>
        <v/>
      </c>
      <c r="C1809" s="5" t="str">
        <f>IF(B1809="", IF(F1809="", "", C1808), IF(sample_log!E1809="Triennial SASS", "tri_params", "params"))</f>
        <v/>
      </c>
      <c r="D1809" s="5" t="str">
        <f>IF(B1809="", "", C1809 &amp; "!" &amp; CHAR(65+MATCH(B1809, params!$B$2:$R$2, 0)))</f>
        <v/>
      </c>
      <c r="E1809" s="5" t="str">
        <f ca="1">IF(B1809="", "", COUNTA(INDIRECT(D1809 &amp; 3):INDIRECT(D1809 &amp; 24)))</f>
        <v/>
      </c>
      <c r="F1809" s="5" t="str">
        <f t="shared" si="58"/>
        <v/>
      </c>
      <c r="G1809" s="5" t="str">
        <f>IF(F1809="", "", IF(B1809&lt;&gt;"", MATCH(B1809, params!$B$2:$R$2, 0), G1808))</f>
        <v/>
      </c>
      <c r="H1809" s="5" t="str">
        <f t="shared" ca="1" si="57"/>
        <v/>
      </c>
      <c r="M1809" s="2"/>
    </row>
    <row r="1810" spans="2:13" ht="15.6" x14ac:dyDescent="0.3">
      <c r="B1810" s="5" t="str">
        <f>IF(COUNTIF(data_val!$E$3:$E$5, sample_log!$E1810), sample_log!$C1810 &amp; "_" &amp; sample_log!$D1810, "")</f>
        <v/>
      </c>
      <c r="C1810" s="5" t="str">
        <f>IF(B1810="", IF(F1810="", "", C1809), IF(sample_log!E1810="Triennial SASS", "tri_params", "params"))</f>
        <v/>
      </c>
      <c r="D1810" s="5" t="str">
        <f>IF(B1810="", "", C1810 &amp; "!" &amp; CHAR(65+MATCH(B1810, params!$B$2:$R$2, 0)))</f>
        <v/>
      </c>
      <c r="E1810" s="5" t="str">
        <f ca="1">IF(B1810="", "", COUNTA(INDIRECT(D1810 &amp; 3):INDIRECT(D1810 &amp; 24)))</f>
        <v/>
      </c>
      <c r="F1810" s="5" t="str">
        <f t="shared" si="58"/>
        <v/>
      </c>
      <c r="G1810" s="5" t="str">
        <f>IF(F1810="", "", IF(B1810&lt;&gt;"", MATCH(B1810, params!$B$2:$R$2, 0), G1809))</f>
        <v/>
      </c>
      <c r="H1810" s="5" t="str">
        <f t="shared" ca="1" si="57"/>
        <v/>
      </c>
      <c r="M1810" s="2"/>
    </row>
    <row r="1811" spans="2:13" ht="15.6" x14ac:dyDescent="0.3">
      <c r="B1811" s="5" t="str">
        <f>IF(COUNTIF(data_val!$E$3:$E$5, sample_log!$E1811), sample_log!$C1811 &amp; "_" &amp; sample_log!$D1811, "")</f>
        <v/>
      </c>
      <c r="C1811" s="5" t="str">
        <f>IF(B1811="", IF(F1811="", "", C1810), IF(sample_log!E1811="Triennial SASS", "tri_params", "params"))</f>
        <v/>
      </c>
      <c r="D1811" s="5" t="str">
        <f>IF(B1811="", "", C1811 &amp; "!" &amp; CHAR(65+MATCH(B1811, params!$B$2:$R$2, 0)))</f>
        <v/>
      </c>
      <c r="E1811" s="5" t="str">
        <f ca="1">IF(B1811="", "", COUNTA(INDIRECT(D1811 &amp; 3):INDIRECT(D1811 &amp; 24)))</f>
        <v/>
      </c>
      <c r="F1811" s="5" t="str">
        <f t="shared" si="58"/>
        <v/>
      </c>
      <c r="G1811" s="5" t="str">
        <f>IF(F1811="", "", IF(B1811&lt;&gt;"", MATCH(B1811, params!$B$2:$R$2, 0), G1810))</f>
        <v/>
      </c>
      <c r="H1811" s="5" t="str">
        <f t="shared" ca="1" si="57"/>
        <v/>
      </c>
      <c r="M1811" s="2"/>
    </row>
    <row r="1812" spans="2:13" ht="15.6" x14ac:dyDescent="0.3">
      <c r="B1812" s="5" t="str">
        <f>IF(COUNTIF(data_val!$E$3:$E$5, sample_log!$E1812), sample_log!$C1812 &amp; "_" &amp; sample_log!$D1812, "")</f>
        <v/>
      </c>
      <c r="C1812" s="5" t="str">
        <f>IF(B1812="", IF(F1812="", "", C1811), IF(sample_log!E1812="Triennial SASS", "tri_params", "params"))</f>
        <v/>
      </c>
      <c r="D1812" s="5" t="str">
        <f>IF(B1812="", "", C1812 &amp; "!" &amp; CHAR(65+MATCH(B1812, params!$B$2:$R$2, 0)))</f>
        <v/>
      </c>
      <c r="E1812" s="5" t="str">
        <f ca="1">IF(B1812="", "", COUNTA(INDIRECT(D1812 &amp; 3):INDIRECT(D1812 &amp; 24)))</f>
        <v/>
      </c>
      <c r="F1812" s="5" t="str">
        <f t="shared" si="58"/>
        <v/>
      </c>
      <c r="G1812" s="5" t="str">
        <f>IF(F1812="", "", IF(B1812&lt;&gt;"", MATCH(B1812, params!$B$2:$R$2, 0), G1811))</f>
        <v/>
      </c>
      <c r="H1812" s="5" t="str">
        <f t="shared" ca="1" si="57"/>
        <v/>
      </c>
      <c r="M1812" s="2"/>
    </row>
    <row r="1813" spans="2:13" ht="15.6" x14ac:dyDescent="0.3">
      <c r="B1813" s="5" t="str">
        <f>IF(COUNTIF(data_val!$E$3:$E$5, sample_log!$E1813), sample_log!$C1813 &amp; "_" &amp; sample_log!$D1813, "")</f>
        <v/>
      </c>
      <c r="C1813" s="5" t="str">
        <f>IF(B1813="", IF(F1813="", "", C1812), IF(sample_log!E1813="Triennial SASS", "tri_params", "params"))</f>
        <v/>
      </c>
      <c r="D1813" s="5" t="str">
        <f>IF(B1813="", "", C1813 &amp; "!" &amp; CHAR(65+MATCH(B1813, params!$B$2:$R$2, 0)))</f>
        <v/>
      </c>
      <c r="E1813" s="5" t="str">
        <f ca="1">IF(B1813="", "", COUNTA(INDIRECT(D1813 &amp; 3):INDIRECT(D1813 &amp; 24)))</f>
        <v/>
      </c>
      <c r="F1813" s="5" t="str">
        <f t="shared" si="58"/>
        <v/>
      </c>
      <c r="G1813" s="5" t="str">
        <f>IF(F1813="", "", IF(B1813&lt;&gt;"", MATCH(B1813, params!$B$2:$R$2, 0), G1812))</f>
        <v/>
      </c>
      <c r="H1813" s="5" t="str">
        <f t="shared" ca="1" si="57"/>
        <v/>
      </c>
      <c r="M1813" s="2"/>
    </row>
    <row r="1814" spans="2:13" ht="15.6" x14ac:dyDescent="0.3">
      <c r="B1814" s="5" t="str">
        <f>IF(COUNTIF(data_val!$E$3:$E$5, sample_log!$E1814), sample_log!$C1814 &amp; "_" &amp; sample_log!$D1814, "")</f>
        <v/>
      </c>
      <c r="C1814" s="5" t="str">
        <f>IF(B1814="", IF(F1814="", "", C1813), IF(sample_log!E1814="Triennial SASS", "tri_params", "params"))</f>
        <v/>
      </c>
      <c r="D1814" s="5" t="str">
        <f>IF(B1814="", "", C1814 &amp; "!" &amp; CHAR(65+MATCH(B1814, params!$B$2:$R$2, 0)))</f>
        <v/>
      </c>
      <c r="E1814" s="5" t="str">
        <f ca="1">IF(B1814="", "", COUNTA(INDIRECT(D1814 &amp; 3):INDIRECT(D1814 &amp; 24)))</f>
        <v/>
      </c>
      <c r="F1814" s="5" t="str">
        <f t="shared" si="58"/>
        <v/>
      </c>
      <c r="G1814" s="5" t="str">
        <f>IF(F1814="", "", IF(B1814&lt;&gt;"", MATCH(B1814, params!$B$2:$R$2, 0), G1813))</f>
        <v/>
      </c>
      <c r="H1814" s="5" t="str">
        <f t="shared" ca="1" si="57"/>
        <v/>
      </c>
      <c r="M1814" s="2"/>
    </row>
    <row r="1815" spans="2:13" ht="15.6" x14ac:dyDescent="0.3">
      <c r="B1815" s="5" t="str">
        <f>IF(COUNTIF(data_val!$E$3:$E$5, sample_log!$E1815), sample_log!$C1815 &amp; "_" &amp; sample_log!$D1815, "")</f>
        <v/>
      </c>
      <c r="C1815" s="5" t="str">
        <f>IF(B1815="", IF(F1815="", "", C1814), IF(sample_log!E1815="Triennial SASS", "tri_params", "params"))</f>
        <v/>
      </c>
      <c r="D1815" s="5" t="str">
        <f>IF(B1815="", "", C1815 &amp; "!" &amp; CHAR(65+MATCH(B1815, params!$B$2:$R$2, 0)))</f>
        <v/>
      </c>
      <c r="E1815" s="5" t="str">
        <f ca="1">IF(B1815="", "", COUNTA(INDIRECT(D1815 &amp; 3):INDIRECT(D1815 &amp; 24)))</f>
        <v/>
      </c>
      <c r="F1815" s="5" t="str">
        <f t="shared" si="58"/>
        <v/>
      </c>
      <c r="G1815" s="5" t="str">
        <f>IF(F1815="", "", IF(B1815&lt;&gt;"", MATCH(B1815, params!$B$2:$R$2, 0), G1814))</f>
        <v/>
      </c>
      <c r="H1815" s="5" t="str">
        <f t="shared" ca="1" si="57"/>
        <v/>
      </c>
      <c r="M1815" s="2"/>
    </row>
    <row r="1816" spans="2:13" ht="15.6" x14ac:dyDescent="0.3">
      <c r="B1816" s="5" t="str">
        <f>IF(COUNTIF(data_val!$E$3:$E$5, sample_log!$E1816), sample_log!$C1816 &amp; "_" &amp; sample_log!$D1816, "")</f>
        <v/>
      </c>
      <c r="C1816" s="5" t="str">
        <f>IF(B1816="", IF(F1816="", "", C1815), IF(sample_log!E1816="Triennial SASS", "tri_params", "params"))</f>
        <v/>
      </c>
      <c r="D1816" s="5" t="str">
        <f>IF(B1816="", "", C1816 &amp; "!" &amp; CHAR(65+MATCH(B1816, params!$B$2:$R$2, 0)))</f>
        <v/>
      </c>
      <c r="E1816" s="5" t="str">
        <f ca="1">IF(B1816="", "", COUNTA(INDIRECT(D1816 &amp; 3):INDIRECT(D1816 &amp; 24)))</f>
        <v/>
      </c>
      <c r="F1816" s="5" t="str">
        <f t="shared" si="58"/>
        <v/>
      </c>
      <c r="G1816" s="5" t="str">
        <f>IF(F1816="", "", IF(B1816&lt;&gt;"", MATCH(B1816, params!$B$2:$R$2, 0), G1815))</f>
        <v/>
      </c>
      <c r="H1816" s="5" t="str">
        <f t="shared" ca="1" si="57"/>
        <v/>
      </c>
      <c r="M1816" s="2"/>
    </row>
    <row r="1817" spans="2:13" ht="15.6" x14ac:dyDescent="0.3">
      <c r="B1817" s="5" t="str">
        <f>IF(COUNTIF(data_val!$E$3:$E$5, sample_log!$E1817), sample_log!$C1817 &amp; "_" &amp; sample_log!$D1817, "")</f>
        <v/>
      </c>
      <c r="C1817" s="5" t="str">
        <f>IF(B1817="", IF(F1817="", "", C1816), IF(sample_log!E1817="Triennial SASS", "tri_params", "params"))</f>
        <v/>
      </c>
      <c r="D1817" s="5" t="str">
        <f>IF(B1817="", "", C1817 &amp; "!" &amp; CHAR(65+MATCH(B1817, params!$B$2:$R$2, 0)))</f>
        <v/>
      </c>
      <c r="E1817" s="5" t="str">
        <f ca="1">IF(B1817="", "", COUNTA(INDIRECT(D1817 &amp; 3):INDIRECT(D1817 &amp; 24)))</f>
        <v/>
      </c>
      <c r="F1817" s="5" t="str">
        <f t="shared" si="58"/>
        <v/>
      </c>
      <c r="G1817" s="5" t="str">
        <f>IF(F1817="", "", IF(B1817&lt;&gt;"", MATCH(B1817, params!$B$2:$R$2, 0), G1816))</f>
        <v/>
      </c>
      <c r="H1817" s="5" t="str">
        <f t="shared" ref="H1817:H1880" ca="1" si="59">IF($F1817="", "", INDEX(INDIRECT("'" &amp; C1817 &amp; "'!$B$3:$R$24"), $F1817, $G1817))</f>
        <v/>
      </c>
      <c r="M1817" s="2"/>
    </row>
    <row r="1818" spans="2:13" ht="15.6" x14ac:dyDescent="0.3">
      <c r="B1818" s="5" t="str">
        <f>IF(COUNTIF(data_val!$E$3:$E$5, sample_log!$E1818), sample_log!$C1818 &amp; "_" &amp; sample_log!$D1818, "")</f>
        <v/>
      </c>
      <c r="C1818" s="5" t="str">
        <f>IF(B1818="", IF(F1818="", "", C1817), IF(sample_log!E1818="Triennial SASS", "tri_params", "params"))</f>
        <v/>
      </c>
      <c r="D1818" s="5" t="str">
        <f>IF(B1818="", "", C1818 &amp; "!" &amp; CHAR(65+MATCH(B1818, params!$B$2:$R$2, 0)))</f>
        <v/>
      </c>
      <c r="E1818" s="5" t="str">
        <f ca="1">IF(B1818="", "", COUNTA(INDIRECT(D1818 &amp; 3):INDIRECT(D1818 &amp; 24)))</f>
        <v/>
      </c>
      <c r="F1818" s="5" t="str">
        <f t="shared" si="58"/>
        <v/>
      </c>
      <c r="G1818" s="5" t="str">
        <f>IF(F1818="", "", IF(B1818&lt;&gt;"", MATCH(B1818, params!$B$2:$R$2, 0), G1817))</f>
        <v/>
      </c>
      <c r="H1818" s="5" t="str">
        <f t="shared" ca="1" si="59"/>
        <v/>
      </c>
      <c r="M1818" s="2"/>
    </row>
    <row r="1819" spans="2:13" ht="15.6" x14ac:dyDescent="0.3">
      <c r="B1819" s="5" t="str">
        <f>IF(COUNTIF(data_val!$E$3:$E$5, sample_log!$E1819), sample_log!$C1819 &amp; "_" &amp; sample_log!$D1819, "")</f>
        <v/>
      </c>
      <c r="C1819" s="5" t="str">
        <f>IF(B1819="", IF(F1819="", "", C1818), IF(sample_log!E1819="Triennial SASS", "tri_params", "params"))</f>
        <v/>
      </c>
      <c r="D1819" s="5" t="str">
        <f>IF(B1819="", "", C1819 &amp; "!" &amp; CHAR(65+MATCH(B1819, params!$B$2:$R$2, 0)))</f>
        <v/>
      </c>
      <c r="E1819" s="5" t="str">
        <f ca="1">IF(B1819="", "", COUNTA(INDIRECT(D1819 &amp; 3):INDIRECT(D1819 &amp; 24)))</f>
        <v/>
      </c>
      <c r="F1819" s="5" t="str">
        <f t="shared" si="58"/>
        <v/>
      </c>
      <c r="G1819" s="5" t="str">
        <f>IF(F1819="", "", IF(B1819&lt;&gt;"", MATCH(B1819, params!$B$2:$R$2, 0), G1818))</f>
        <v/>
      </c>
      <c r="H1819" s="5" t="str">
        <f t="shared" ca="1" si="59"/>
        <v/>
      </c>
      <c r="M1819" s="2"/>
    </row>
    <row r="1820" spans="2:13" ht="15.6" x14ac:dyDescent="0.3">
      <c r="B1820" s="5" t="str">
        <f>IF(COUNTIF(data_val!$E$3:$E$5, sample_log!$E1820), sample_log!$C1820 &amp; "_" &amp; sample_log!$D1820, "")</f>
        <v/>
      </c>
      <c r="C1820" s="5" t="str">
        <f>IF(B1820="", IF(F1820="", "", C1819), IF(sample_log!E1820="Triennial SASS", "tri_params", "params"))</f>
        <v/>
      </c>
      <c r="D1820" s="5" t="str">
        <f>IF(B1820="", "", C1820 &amp; "!" &amp; CHAR(65+MATCH(B1820, params!$B$2:$R$2, 0)))</f>
        <v/>
      </c>
      <c r="E1820" s="5" t="str">
        <f ca="1">IF(B1820="", "", COUNTA(INDIRECT(D1820 &amp; 3):INDIRECT(D1820 &amp; 24)))</f>
        <v/>
      </c>
      <c r="F1820" s="5" t="str">
        <f t="shared" si="58"/>
        <v/>
      </c>
      <c r="G1820" s="5" t="str">
        <f>IF(F1820="", "", IF(B1820&lt;&gt;"", MATCH(B1820, params!$B$2:$R$2, 0), G1819))</f>
        <v/>
      </c>
      <c r="H1820" s="5" t="str">
        <f t="shared" ca="1" si="59"/>
        <v/>
      </c>
      <c r="M1820" s="2"/>
    </row>
    <row r="1821" spans="2:13" ht="15.6" x14ac:dyDescent="0.3">
      <c r="B1821" s="5" t="str">
        <f>IF(COUNTIF(data_val!$E$3:$E$5, sample_log!$E1821), sample_log!$C1821 &amp; "_" &amp; sample_log!$D1821, "")</f>
        <v/>
      </c>
      <c r="C1821" s="5" t="str">
        <f>IF(B1821="", IF(F1821="", "", C1820), IF(sample_log!E1821="Triennial SASS", "tri_params", "params"))</f>
        <v/>
      </c>
      <c r="D1821" s="5" t="str">
        <f>IF(B1821="", "", C1821 &amp; "!" &amp; CHAR(65+MATCH(B1821, params!$B$2:$R$2, 0)))</f>
        <v/>
      </c>
      <c r="E1821" s="5" t="str">
        <f ca="1">IF(B1821="", "", COUNTA(INDIRECT(D1821 &amp; 3):INDIRECT(D1821 &amp; 24)))</f>
        <v/>
      </c>
      <c r="F1821" s="5" t="str">
        <f t="shared" si="58"/>
        <v/>
      </c>
      <c r="G1821" s="5" t="str">
        <f>IF(F1821="", "", IF(B1821&lt;&gt;"", MATCH(B1821, params!$B$2:$R$2, 0), G1820))</f>
        <v/>
      </c>
      <c r="H1821" s="5" t="str">
        <f t="shared" ca="1" si="59"/>
        <v/>
      </c>
      <c r="M1821" s="2"/>
    </row>
    <row r="1822" spans="2:13" ht="15.6" x14ac:dyDescent="0.3">
      <c r="B1822" s="5" t="str">
        <f>IF(COUNTIF(data_val!$E$3:$E$5, sample_log!$E1822), sample_log!$C1822 &amp; "_" &amp; sample_log!$D1822, "")</f>
        <v/>
      </c>
      <c r="C1822" s="5" t="str">
        <f>IF(B1822="", IF(F1822="", "", C1821), IF(sample_log!E1822="Triennial SASS", "tri_params", "params"))</f>
        <v/>
      </c>
      <c r="D1822" s="5" t="str">
        <f>IF(B1822="", "", C1822 &amp; "!" &amp; CHAR(65+MATCH(B1822, params!$B$2:$R$2, 0)))</f>
        <v/>
      </c>
      <c r="E1822" s="5" t="str">
        <f ca="1">IF(B1822="", "", COUNTA(INDIRECT(D1822 &amp; 3):INDIRECT(D1822 &amp; 24)))</f>
        <v/>
      </c>
      <c r="F1822" s="5" t="str">
        <f t="shared" si="58"/>
        <v/>
      </c>
      <c r="G1822" s="5" t="str">
        <f>IF(F1822="", "", IF(B1822&lt;&gt;"", MATCH(B1822, params!$B$2:$R$2, 0), G1821))</f>
        <v/>
      </c>
      <c r="H1822" s="5" t="str">
        <f t="shared" ca="1" si="59"/>
        <v/>
      </c>
      <c r="M1822" s="2"/>
    </row>
    <row r="1823" spans="2:13" ht="15.6" x14ac:dyDescent="0.3">
      <c r="B1823" s="5" t="str">
        <f>IF(COUNTIF(data_val!$E$3:$E$5, sample_log!$E1823), sample_log!$C1823 &amp; "_" &amp; sample_log!$D1823, "")</f>
        <v/>
      </c>
      <c r="C1823" s="5" t="str">
        <f>IF(B1823="", IF(F1823="", "", C1822), IF(sample_log!E1823="Triennial SASS", "tri_params", "params"))</f>
        <v/>
      </c>
      <c r="D1823" s="5" t="str">
        <f>IF(B1823="", "", C1823 &amp; "!" &amp; CHAR(65+MATCH(B1823, params!$B$2:$R$2, 0)))</f>
        <v/>
      </c>
      <c r="E1823" s="5" t="str">
        <f ca="1">IF(B1823="", "", COUNTA(INDIRECT(D1823 &amp; 3):INDIRECT(D1823 &amp; 24)))</f>
        <v/>
      </c>
      <c r="F1823" s="5" t="str">
        <f t="shared" si="58"/>
        <v/>
      </c>
      <c r="G1823" s="5" t="str">
        <f>IF(F1823="", "", IF(B1823&lt;&gt;"", MATCH(B1823, params!$B$2:$R$2, 0), G1822))</f>
        <v/>
      </c>
      <c r="H1823" s="5" t="str">
        <f t="shared" ca="1" si="59"/>
        <v/>
      </c>
      <c r="M1823" s="2"/>
    </row>
    <row r="1824" spans="2:13" ht="15.6" x14ac:dyDescent="0.3">
      <c r="B1824" s="5" t="str">
        <f>IF(COUNTIF(data_val!$E$3:$E$5, sample_log!$E1824), sample_log!$C1824 &amp; "_" &amp; sample_log!$D1824, "")</f>
        <v/>
      </c>
      <c r="C1824" s="5" t="str">
        <f>IF(B1824="", IF(F1824="", "", C1823), IF(sample_log!E1824="Triennial SASS", "tri_params", "params"))</f>
        <v/>
      </c>
      <c r="D1824" s="5" t="str">
        <f>IF(B1824="", "", C1824 &amp; "!" &amp; CHAR(65+MATCH(B1824, params!$B$2:$R$2, 0)))</f>
        <v/>
      </c>
      <c r="E1824" s="5" t="str">
        <f ca="1">IF(B1824="", "", COUNTA(INDIRECT(D1824 &amp; 3):INDIRECT(D1824 &amp; 24)))</f>
        <v/>
      </c>
      <c r="F1824" s="5" t="str">
        <f t="shared" si="58"/>
        <v/>
      </c>
      <c r="G1824" s="5" t="str">
        <f>IF(F1824="", "", IF(B1824&lt;&gt;"", MATCH(B1824, params!$B$2:$R$2, 0), G1823))</f>
        <v/>
      </c>
      <c r="H1824" s="5" t="str">
        <f t="shared" ca="1" si="59"/>
        <v/>
      </c>
      <c r="M1824" s="2"/>
    </row>
    <row r="1825" spans="2:13" ht="15.6" x14ac:dyDescent="0.3">
      <c r="B1825" s="5" t="str">
        <f>IF(COUNTIF(data_val!$E$3:$E$5, sample_log!$E1825), sample_log!$C1825 &amp; "_" &amp; sample_log!$D1825, "")</f>
        <v/>
      </c>
      <c r="C1825" s="5" t="str">
        <f>IF(B1825="", IF(F1825="", "", C1824), IF(sample_log!E1825="Triennial SASS", "tri_params", "params"))</f>
        <v/>
      </c>
      <c r="D1825" s="5" t="str">
        <f>IF(B1825="", "", C1825 &amp; "!" &amp; CHAR(65+MATCH(B1825, params!$B$2:$R$2, 0)))</f>
        <v/>
      </c>
      <c r="E1825" s="5" t="str">
        <f ca="1">IF(B1825="", "", COUNTA(INDIRECT(D1825 &amp; 3):INDIRECT(D1825 &amp; 24)))</f>
        <v/>
      </c>
      <c r="F1825" s="5" t="str">
        <f t="shared" si="58"/>
        <v/>
      </c>
      <c r="G1825" s="5" t="str">
        <f>IF(F1825="", "", IF(B1825&lt;&gt;"", MATCH(B1825, params!$B$2:$R$2, 0), G1824))</f>
        <v/>
      </c>
      <c r="H1825" s="5" t="str">
        <f t="shared" ca="1" si="59"/>
        <v/>
      </c>
      <c r="M1825" s="2"/>
    </row>
    <row r="1826" spans="2:13" ht="15.6" x14ac:dyDescent="0.3">
      <c r="B1826" s="5" t="str">
        <f>IF(COUNTIF(data_val!$E$3:$E$5, sample_log!$E1826), sample_log!$C1826 &amp; "_" &amp; sample_log!$D1826, "")</f>
        <v/>
      </c>
      <c r="C1826" s="5" t="str">
        <f>IF(B1826="", IF(F1826="", "", C1825), IF(sample_log!E1826="Triennial SASS", "tri_params", "params"))</f>
        <v/>
      </c>
      <c r="D1826" s="5" t="str">
        <f>IF(B1826="", "", C1826 &amp; "!" &amp; CHAR(65+MATCH(B1826, params!$B$2:$R$2, 0)))</f>
        <v/>
      </c>
      <c r="E1826" s="5" t="str">
        <f ca="1">IF(B1826="", "", COUNTA(INDIRECT(D1826 &amp; 3):INDIRECT(D1826 &amp; 24)))</f>
        <v/>
      </c>
      <c r="F1826" s="5" t="str">
        <f t="shared" si="58"/>
        <v/>
      </c>
      <c r="G1826" s="5" t="str">
        <f>IF(F1826="", "", IF(B1826&lt;&gt;"", MATCH(B1826, params!$B$2:$R$2, 0), G1825))</f>
        <v/>
      </c>
      <c r="H1826" s="5" t="str">
        <f t="shared" ca="1" si="59"/>
        <v/>
      </c>
      <c r="M1826" s="2"/>
    </row>
    <row r="1827" spans="2:13" ht="15.6" x14ac:dyDescent="0.3">
      <c r="B1827" s="5" t="str">
        <f>IF(COUNTIF(data_val!$E$3:$E$5, sample_log!$E1827), sample_log!$C1827 &amp; "_" &amp; sample_log!$D1827, "")</f>
        <v/>
      </c>
      <c r="C1827" s="5" t="str">
        <f>IF(B1827="", IF(F1827="", "", C1826), IF(sample_log!E1827="Triennial SASS", "tri_params", "params"))</f>
        <v/>
      </c>
      <c r="D1827" s="5" t="str">
        <f>IF(B1827="", "", C1827 &amp; "!" &amp; CHAR(65+MATCH(B1827, params!$B$2:$R$2, 0)))</f>
        <v/>
      </c>
      <c r="E1827" s="5" t="str">
        <f ca="1">IF(B1827="", "", COUNTA(INDIRECT(D1827 &amp; 3):INDIRECT(D1827 &amp; 24)))</f>
        <v/>
      </c>
      <c r="F1827" s="5" t="str">
        <f t="shared" si="58"/>
        <v/>
      </c>
      <c r="G1827" s="5" t="str">
        <f>IF(F1827="", "", IF(B1827&lt;&gt;"", MATCH(B1827, params!$B$2:$R$2, 0), G1826))</f>
        <v/>
      </c>
      <c r="H1827" s="5" t="str">
        <f t="shared" ca="1" si="59"/>
        <v/>
      </c>
      <c r="M1827" s="2"/>
    </row>
    <row r="1828" spans="2:13" ht="15.6" x14ac:dyDescent="0.3">
      <c r="B1828" s="5" t="str">
        <f>IF(COUNTIF(data_val!$E$3:$E$5, sample_log!$E1828), sample_log!$C1828 &amp; "_" &amp; sample_log!$D1828, "")</f>
        <v/>
      </c>
      <c r="C1828" s="5" t="str">
        <f>IF(B1828="", IF(F1828="", "", C1827), IF(sample_log!E1828="Triennial SASS", "tri_params", "params"))</f>
        <v/>
      </c>
      <c r="D1828" s="5" t="str">
        <f>IF(B1828="", "", C1828 &amp; "!" &amp; CHAR(65+MATCH(B1828, params!$B$2:$R$2, 0)))</f>
        <v/>
      </c>
      <c r="E1828" s="5" t="str">
        <f ca="1">IF(B1828="", "", COUNTA(INDIRECT(D1828 &amp; 3):INDIRECT(D1828 &amp; 24)))</f>
        <v/>
      </c>
      <c r="F1828" s="5" t="str">
        <f t="shared" si="58"/>
        <v/>
      </c>
      <c r="G1828" s="5" t="str">
        <f>IF(F1828="", "", IF(B1828&lt;&gt;"", MATCH(B1828, params!$B$2:$R$2, 0), G1827))</f>
        <v/>
      </c>
      <c r="H1828" s="5" t="str">
        <f t="shared" ca="1" si="59"/>
        <v/>
      </c>
      <c r="M1828" s="2"/>
    </row>
    <row r="1829" spans="2:13" ht="15.6" x14ac:dyDescent="0.3">
      <c r="B1829" s="5" t="str">
        <f>IF(COUNTIF(data_val!$E$3:$E$5, sample_log!$E1829), sample_log!$C1829 &amp; "_" &amp; sample_log!$D1829, "")</f>
        <v/>
      </c>
      <c r="C1829" s="5" t="str">
        <f>IF(B1829="", IF(F1829="", "", C1828), IF(sample_log!E1829="Triennial SASS", "tri_params", "params"))</f>
        <v/>
      </c>
      <c r="D1829" s="5" t="str">
        <f>IF(B1829="", "", C1829 &amp; "!" &amp; CHAR(65+MATCH(B1829, params!$B$2:$R$2, 0)))</f>
        <v/>
      </c>
      <c r="E1829" s="5" t="str">
        <f ca="1">IF(B1829="", "", COUNTA(INDIRECT(D1829 &amp; 3):INDIRECT(D1829 &amp; 24)))</f>
        <v/>
      </c>
      <c r="F1829" s="5" t="str">
        <f t="shared" si="58"/>
        <v/>
      </c>
      <c r="G1829" s="5" t="str">
        <f>IF(F1829="", "", IF(B1829&lt;&gt;"", MATCH(B1829, params!$B$2:$R$2, 0), G1828))</f>
        <v/>
      </c>
      <c r="H1829" s="5" t="str">
        <f t="shared" ca="1" si="59"/>
        <v/>
      </c>
      <c r="M1829" s="2"/>
    </row>
    <row r="1830" spans="2:13" ht="15.6" x14ac:dyDescent="0.3">
      <c r="B1830" s="5" t="str">
        <f>IF(COUNTIF(data_val!$E$3:$E$5, sample_log!$E1830), sample_log!$C1830 &amp; "_" &amp; sample_log!$D1830, "")</f>
        <v/>
      </c>
      <c r="C1830" s="5" t="str">
        <f>IF(B1830="", IF(F1830="", "", C1829), IF(sample_log!E1830="Triennial SASS", "tri_params", "params"))</f>
        <v/>
      </c>
      <c r="D1830" s="5" t="str">
        <f>IF(B1830="", "", C1830 &amp; "!" &amp; CHAR(65+MATCH(B1830, params!$B$2:$R$2, 0)))</f>
        <v/>
      </c>
      <c r="E1830" s="5" t="str">
        <f ca="1">IF(B1830="", "", COUNTA(INDIRECT(D1830 &amp; 3):INDIRECT(D1830 &amp; 24)))</f>
        <v/>
      </c>
      <c r="F1830" s="5" t="str">
        <f t="shared" si="58"/>
        <v/>
      </c>
      <c r="G1830" s="5" t="str">
        <f>IF(F1830="", "", IF(B1830&lt;&gt;"", MATCH(B1830, params!$B$2:$R$2, 0), G1829))</f>
        <v/>
      </c>
      <c r="H1830" s="5" t="str">
        <f t="shared" ca="1" si="59"/>
        <v/>
      </c>
      <c r="M1830" s="2"/>
    </row>
    <row r="1831" spans="2:13" ht="15.6" x14ac:dyDescent="0.3">
      <c r="B1831" s="5" t="str">
        <f>IF(COUNTIF(data_val!$E$3:$E$5, sample_log!$E1831), sample_log!$C1831 &amp; "_" &amp; sample_log!$D1831, "")</f>
        <v/>
      </c>
      <c r="C1831" s="5" t="str">
        <f>IF(B1831="", IF(F1831="", "", C1830), IF(sample_log!E1831="Triennial SASS", "tri_params", "params"))</f>
        <v/>
      </c>
      <c r="D1831" s="5" t="str">
        <f>IF(B1831="", "", C1831 &amp; "!" &amp; CHAR(65+MATCH(B1831, params!$B$2:$R$2, 0)))</f>
        <v/>
      </c>
      <c r="E1831" s="5" t="str">
        <f ca="1">IF(B1831="", "", COUNTA(INDIRECT(D1831 &amp; 3):INDIRECT(D1831 &amp; 24)))</f>
        <v/>
      </c>
      <c r="F1831" s="5" t="str">
        <f t="shared" si="58"/>
        <v/>
      </c>
      <c r="G1831" s="5" t="str">
        <f>IF(F1831="", "", IF(B1831&lt;&gt;"", MATCH(B1831, params!$B$2:$R$2, 0), G1830))</f>
        <v/>
      </c>
      <c r="H1831" s="5" t="str">
        <f t="shared" ca="1" si="59"/>
        <v/>
      </c>
      <c r="M1831" s="2"/>
    </row>
    <row r="1832" spans="2:13" ht="15.6" x14ac:dyDescent="0.3">
      <c r="B1832" s="5" t="str">
        <f>IF(COUNTIF(data_val!$E$3:$E$5, sample_log!$E1832), sample_log!$C1832 &amp; "_" &amp; sample_log!$D1832, "")</f>
        <v/>
      </c>
      <c r="C1832" s="5" t="str">
        <f>IF(B1832="", IF(F1832="", "", C1831), IF(sample_log!E1832="Triennial SASS", "tri_params", "params"))</f>
        <v/>
      </c>
      <c r="D1832" s="5" t="str">
        <f>IF(B1832="", "", C1832 &amp; "!" &amp; CHAR(65+MATCH(B1832, params!$B$2:$R$2, 0)))</f>
        <v/>
      </c>
      <c r="E1832" s="5" t="str">
        <f ca="1">IF(B1832="", "", COUNTA(INDIRECT(D1832 &amp; 3):INDIRECT(D1832 &amp; 24)))</f>
        <v/>
      </c>
      <c r="F1832" s="5" t="str">
        <f t="shared" si="58"/>
        <v/>
      </c>
      <c r="G1832" s="5" t="str">
        <f>IF(F1832="", "", IF(B1832&lt;&gt;"", MATCH(B1832, params!$B$2:$R$2, 0), G1831))</f>
        <v/>
      </c>
      <c r="H1832" s="5" t="str">
        <f t="shared" ca="1" si="59"/>
        <v/>
      </c>
      <c r="M1832" s="2"/>
    </row>
    <row r="1833" spans="2:13" ht="15.6" x14ac:dyDescent="0.3">
      <c r="B1833" s="5" t="str">
        <f>IF(COUNTIF(data_val!$E$3:$E$5, sample_log!$E1833), sample_log!$C1833 &amp; "_" &amp; sample_log!$D1833, "")</f>
        <v/>
      </c>
      <c r="C1833" s="5" t="str">
        <f>IF(B1833="", IF(F1833="", "", C1832), IF(sample_log!E1833="Triennial SASS", "tri_params", "params"))</f>
        <v/>
      </c>
      <c r="D1833" s="5" t="str">
        <f>IF(B1833="", "", C1833 &amp; "!" &amp; CHAR(65+MATCH(B1833, params!$B$2:$R$2, 0)))</f>
        <v/>
      </c>
      <c r="E1833" s="5" t="str">
        <f ca="1">IF(B1833="", "", COUNTA(INDIRECT(D1833 &amp; 3):INDIRECT(D1833 &amp; 24)))</f>
        <v/>
      </c>
      <c r="F1833" s="5" t="str">
        <f t="shared" si="58"/>
        <v/>
      </c>
      <c r="G1833" s="5" t="str">
        <f>IF(F1833="", "", IF(B1833&lt;&gt;"", MATCH(B1833, params!$B$2:$R$2, 0), G1832))</f>
        <v/>
      </c>
      <c r="H1833" s="5" t="str">
        <f t="shared" ca="1" si="59"/>
        <v/>
      </c>
      <c r="M1833" s="2"/>
    </row>
    <row r="1834" spans="2:13" ht="15.6" x14ac:dyDescent="0.3">
      <c r="B1834" s="5" t="str">
        <f>IF(COUNTIF(data_val!$E$3:$E$5, sample_log!$E1834), sample_log!$C1834 &amp; "_" &amp; sample_log!$D1834, "")</f>
        <v/>
      </c>
      <c r="C1834" s="5" t="str">
        <f>IF(B1834="", IF(F1834="", "", C1833), IF(sample_log!E1834="Triennial SASS", "tri_params", "params"))</f>
        <v/>
      </c>
      <c r="D1834" s="5" t="str">
        <f>IF(B1834="", "", C1834 &amp; "!" &amp; CHAR(65+MATCH(B1834, params!$B$2:$R$2, 0)))</f>
        <v/>
      </c>
      <c r="E1834" s="5" t="str">
        <f ca="1">IF(B1834="", "", COUNTA(INDIRECT(D1834 &amp; 3):INDIRECT(D1834 &amp; 24)))</f>
        <v/>
      </c>
      <c r="F1834" s="5" t="str">
        <f t="shared" si="58"/>
        <v/>
      </c>
      <c r="G1834" s="5" t="str">
        <f>IF(F1834="", "", IF(B1834&lt;&gt;"", MATCH(B1834, params!$B$2:$R$2, 0), G1833))</f>
        <v/>
      </c>
      <c r="H1834" s="5" t="str">
        <f t="shared" ca="1" si="59"/>
        <v/>
      </c>
      <c r="M1834" s="2"/>
    </row>
    <row r="1835" spans="2:13" ht="15.6" x14ac:dyDescent="0.3">
      <c r="B1835" s="5" t="str">
        <f>IF(COUNTIF(data_val!$E$3:$E$5, sample_log!$E1835), sample_log!$C1835 &amp; "_" &amp; sample_log!$D1835, "")</f>
        <v/>
      </c>
      <c r="C1835" s="5" t="str">
        <f>IF(B1835="", IF(F1835="", "", C1834), IF(sample_log!E1835="Triennial SASS", "tri_params", "params"))</f>
        <v/>
      </c>
      <c r="D1835" s="5" t="str">
        <f>IF(B1835="", "", C1835 &amp; "!" &amp; CHAR(65+MATCH(B1835, params!$B$2:$R$2, 0)))</f>
        <v/>
      </c>
      <c r="E1835" s="5" t="str">
        <f ca="1">IF(B1835="", "", COUNTA(INDIRECT(D1835 &amp; 3):INDIRECT(D1835 &amp; 24)))</f>
        <v/>
      </c>
      <c r="F1835" s="5" t="str">
        <f t="shared" si="58"/>
        <v/>
      </c>
      <c r="G1835" s="5" t="str">
        <f>IF(F1835="", "", IF(B1835&lt;&gt;"", MATCH(B1835, params!$B$2:$R$2, 0), G1834))</f>
        <v/>
      </c>
      <c r="H1835" s="5" t="str">
        <f t="shared" ca="1" si="59"/>
        <v/>
      </c>
      <c r="M1835" s="2"/>
    </row>
    <row r="1836" spans="2:13" ht="15.6" x14ac:dyDescent="0.3">
      <c r="B1836" s="5" t="str">
        <f>IF(COUNTIF(data_val!$E$3:$E$5, sample_log!$E1836), sample_log!$C1836 &amp; "_" &amp; sample_log!$D1836, "")</f>
        <v/>
      </c>
      <c r="C1836" s="5" t="str">
        <f>IF(B1836="", IF(F1836="", "", C1835), IF(sample_log!E1836="Triennial SASS", "tri_params", "params"))</f>
        <v/>
      </c>
      <c r="D1836" s="5" t="str">
        <f>IF(B1836="", "", C1836 &amp; "!" &amp; CHAR(65+MATCH(B1836, params!$B$2:$R$2, 0)))</f>
        <v/>
      </c>
      <c r="E1836" s="5" t="str">
        <f ca="1">IF(B1836="", "", COUNTA(INDIRECT(D1836 &amp; 3):INDIRECT(D1836 &amp; 24)))</f>
        <v/>
      </c>
      <c r="F1836" s="5" t="str">
        <f t="shared" si="58"/>
        <v/>
      </c>
      <c r="G1836" s="5" t="str">
        <f>IF(F1836="", "", IF(B1836&lt;&gt;"", MATCH(B1836, params!$B$2:$R$2, 0), G1835))</f>
        <v/>
      </c>
      <c r="H1836" s="5" t="str">
        <f t="shared" ca="1" si="59"/>
        <v/>
      </c>
      <c r="M1836" s="2"/>
    </row>
    <row r="1837" spans="2:13" ht="15.6" x14ac:dyDescent="0.3">
      <c r="B1837" s="5" t="str">
        <f>IF(COUNTIF(data_val!$E$3:$E$5, sample_log!$E1837), sample_log!$C1837 &amp; "_" &amp; sample_log!$D1837, "")</f>
        <v/>
      </c>
      <c r="C1837" s="5" t="str">
        <f>IF(B1837="", IF(F1837="", "", C1836), IF(sample_log!E1837="Triennial SASS", "tri_params", "params"))</f>
        <v/>
      </c>
      <c r="D1837" s="5" t="str">
        <f>IF(B1837="", "", C1837 &amp; "!" &amp; CHAR(65+MATCH(B1837, params!$B$2:$R$2, 0)))</f>
        <v/>
      </c>
      <c r="E1837" s="5" t="str">
        <f ca="1">IF(B1837="", "", COUNTA(INDIRECT(D1837 &amp; 3):INDIRECT(D1837 &amp; 24)))</f>
        <v/>
      </c>
      <c r="F1837" s="5" t="str">
        <f t="shared" si="58"/>
        <v/>
      </c>
      <c r="G1837" s="5" t="str">
        <f>IF(F1837="", "", IF(B1837&lt;&gt;"", MATCH(B1837, params!$B$2:$R$2, 0), G1836))</f>
        <v/>
      </c>
      <c r="H1837" s="5" t="str">
        <f t="shared" ca="1" si="59"/>
        <v/>
      </c>
      <c r="M1837" s="2"/>
    </row>
    <row r="1838" spans="2:13" ht="15.6" x14ac:dyDescent="0.3">
      <c r="B1838" s="5" t="str">
        <f>IF(COUNTIF(data_val!$E$3:$E$5, sample_log!$E1838), sample_log!$C1838 &amp; "_" &amp; sample_log!$D1838, "")</f>
        <v/>
      </c>
      <c r="C1838" s="5" t="str">
        <f>IF(B1838="", IF(F1838="", "", C1837), IF(sample_log!E1838="Triennial SASS", "tri_params", "params"))</f>
        <v/>
      </c>
      <c r="D1838" s="5" t="str">
        <f>IF(B1838="", "", C1838 &amp; "!" &amp; CHAR(65+MATCH(B1838, params!$B$2:$R$2, 0)))</f>
        <v/>
      </c>
      <c r="E1838" s="5" t="str">
        <f ca="1">IF(B1838="", "", COUNTA(INDIRECT(D1838 &amp; 3):INDIRECT(D1838 &amp; 24)))</f>
        <v/>
      </c>
      <c r="F1838" s="5" t="str">
        <f t="shared" si="58"/>
        <v/>
      </c>
      <c r="G1838" s="5" t="str">
        <f>IF(F1838="", "", IF(B1838&lt;&gt;"", MATCH(B1838, params!$B$2:$R$2, 0), G1837))</f>
        <v/>
      </c>
      <c r="H1838" s="5" t="str">
        <f t="shared" ca="1" si="59"/>
        <v/>
      </c>
      <c r="M1838" s="2"/>
    </row>
    <row r="1839" spans="2:13" ht="15.6" x14ac:dyDescent="0.3">
      <c r="B1839" s="5" t="str">
        <f>IF(COUNTIF(data_val!$E$3:$E$5, sample_log!$E1839), sample_log!$C1839 &amp; "_" &amp; sample_log!$D1839, "")</f>
        <v/>
      </c>
      <c r="C1839" s="5" t="str">
        <f>IF(B1839="", IF(F1839="", "", C1838), IF(sample_log!E1839="Triennial SASS", "tri_params", "params"))</f>
        <v/>
      </c>
      <c r="D1839" s="5" t="str">
        <f>IF(B1839="", "", C1839 &amp; "!" &amp; CHAR(65+MATCH(B1839, params!$B$2:$R$2, 0)))</f>
        <v/>
      </c>
      <c r="E1839" s="5" t="str">
        <f ca="1">IF(B1839="", "", COUNTA(INDIRECT(D1839 &amp; 3):INDIRECT(D1839 &amp; 24)))</f>
        <v/>
      </c>
      <c r="F1839" s="5" t="str">
        <f t="shared" si="58"/>
        <v/>
      </c>
      <c r="G1839" s="5" t="str">
        <f>IF(F1839="", "", IF(B1839&lt;&gt;"", MATCH(B1839, params!$B$2:$R$2, 0), G1838))</f>
        <v/>
      </c>
      <c r="H1839" s="5" t="str">
        <f t="shared" ca="1" si="59"/>
        <v/>
      </c>
      <c r="M1839" s="2"/>
    </row>
    <row r="1840" spans="2:13" ht="15.6" x14ac:dyDescent="0.3">
      <c r="B1840" s="5" t="str">
        <f>IF(COUNTIF(data_val!$E$3:$E$5, sample_log!$E1840), sample_log!$C1840 &amp; "_" &amp; sample_log!$D1840, "")</f>
        <v/>
      </c>
      <c r="C1840" s="5" t="str">
        <f>IF(B1840="", IF(F1840="", "", C1839), IF(sample_log!E1840="Triennial SASS", "tri_params", "params"))</f>
        <v/>
      </c>
      <c r="D1840" s="5" t="str">
        <f>IF(B1840="", "", C1840 &amp; "!" &amp; CHAR(65+MATCH(B1840, params!$B$2:$R$2, 0)))</f>
        <v/>
      </c>
      <c r="E1840" s="5" t="str">
        <f ca="1">IF(B1840="", "", COUNTA(INDIRECT(D1840 &amp; 3):INDIRECT(D1840 &amp; 24)))</f>
        <v/>
      </c>
      <c r="F1840" s="5" t="str">
        <f t="shared" si="58"/>
        <v/>
      </c>
      <c r="G1840" s="5" t="str">
        <f>IF(F1840="", "", IF(B1840&lt;&gt;"", MATCH(B1840, params!$B$2:$R$2, 0), G1839))</f>
        <v/>
      </c>
      <c r="H1840" s="5" t="str">
        <f t="shared" ca="1" si="59"/>
        <v/>
      </c>
      <c r="M1840" s="2"/>
    </row>
    <row r="1841" spans="2:13" ht="15.6" x14ac:dyDescent="0.3">
      <c r="B1841" s="5" t="str">
        <f>IF(COUNTIF(data_val!$E$3:$E$5, sample_log!$E1841), sample_log!$C1841 &amp; "_" &amp; sample_log!$D1841, "")</f>
        <v/>
      </c>
      <c r="C1841" s="5" t="str">
        <f>IF(B1841="", IF(F1841="", "", C1840), IF(sample_log!E1841="Triennial SASS", "tri_params", "params"))</f>
        <v/>
      </c>
      <c r="D1841" s="5" t="str">
        <f>IF(B1841="", "", C1841 &amp; "!" &amp; CHAR(65+MATCH(B1841, params!$B$2:$R$2, 0)))</f>
        <v/>
      </c>
      <c r="E1841" s="5" t="str">
        <f ca="1">IF(B1841="", "", COUNTA(INDIRECT(D1841 &amp; 3):INDIRECT(D1841 &amp; 24)))</f>
        <v/>
      </c>
      <c r="F1841" s="5" t="str">
        <f t="shared" si="58"/>
        <v/>
      </c>
      <c r="G1841" s="5" t="str">
        <f>IF(F1841="", "", IF(B1841&lt;&gt;"", MATCH(B1841, params!$B$2:$R$2, 0), G1840))</f>
        <v/>
      </c>
      <c r="H1841" s="5" t="str">
        <f t="shared" ca="1" si="59"/>
        <v/>
      </c>
      <c r="M1841" s="2"/>
    </row>
    <row r="1842" spans="2:13" ht="15.6" x14ac:dyDescent="0.3">
      <c r="B1842" s="5" t="str">
        <f>IF(COUNTIF(data_val!$E$3:$E$5, sample_log!$E1842), sample_log!$C1842 &amp; "_" &amp; sample_log!$D1842, "")</f>
        <v/>
      </c>
      <c r="C1842" s="5" t="str">
        <f>IF(B1842="", IF(F1842="", "", C1841), IF(sample_log!E1842="Triennial SASS", "tri_params", "params"))</f>
        <v/>
      </c>
      <c r="D1842" s="5" t="str">
        <f>IF(B1842="", "", C1842 &amp; "!" &amp; CHAR(65+MATCH(B1842, params!$B$2:$R$2, 0)))</f>
        <v/>
      </c>
      <c r="E1842" s="5" t="str">
        <f ca="1">IF(B1842="", "", COUNTA(INDIRECT(D1842 &amp; 3):INDIRECT(D1842 &amp; 24)))</f>
        <v/>
      </c>
      <c r="F1842" s="5" t="str">
        <f t="shared" si="58"/>
        <v/>
      </c>
      <c r="G1842" s="5" t="str">
        <f>IF(F1842="", "", IF(B1842&lt;&gt;"", MATCH(B1842, params!$B$2:$R$2, 0), G1841))</f>
        <v/>
      </c>
      <c r="H1842" s="5" t="str">
        <f t="shared" ca="1" si="59"/>
        <v/>
      </c>
      <c r="M1842" s="2"/>
    </row>
    <row r="1843" spans="2:13" ht="15.6" x14ac:dyDescent="0.3">
      <c r="B1843" s="5" t="str">
        <f>IF(COUNTIF(data_val!$E$3:$E$5, sample_log!$E1843), sample_log!$C1843 &amp; "_" &amp; sample_log!$D1843, "")</f>
        <v/>
      </c>
      <c r="C1843" s="5" t="str">
        <f>IF(B1843="", IF(F1843="", "", C1842), IF(sample_log!E1843="Triennial SASS", "tri_params", "params"))</f>
        <v/>
      </c>
      <c r="D1843" s="5" t="str">
        <f>IF(B1843="", "", C1843 &amp; "!" &amp; CHAR(65+MATCH(B1843, params!$B$2:$R$2, 0)))</f>
        <v/>
      </c>
      <c r="E1843" s="5" t="str">
        <f ca="1">IF(B1843="", "", COUNTA(INDIRECT(D1843 &amp; 3):INDIRECT(D1843 &amp; 24)))</f>
        <v/>
      </c>
      <c r="F1843" s="5" t="str">
        <f t="shared" si="58"/>
        <v/>
      </c>
      <c r="G1843" s="5" t="str">
        <f>IF(F1843="", "", IF(B1843&lt;&gt;"", MATCH(B1843, params!$B$2:$R$2, 0), G1842))</f>
        <v/>
      </c>
      <c r="H1843" s="5" t="str">
        <f t="shared" ca="1" si="59"/>
        <v/>
      </c>
      <c r="M1843" s="2"/>
    </row>
    <row r="1844" spans="2:13" ht="15.6" x14ac:dyDescent="0.3">
      <c r="B1844" s="5" t="str">
        <f>IF(COUNTIF(data_val!$E$3:$E$5, sample_log!$E1844), sample_log!$C1844 &amp; "_" &amp; sample_log!$D1844, "")</f>
        <v/>
      </c>
      <c r="C1844" s="5" t="str">
        <f>IF(B1844="", IF(F1844="", "", C1843), IF(sample_log!E1844="Triennial SASS", "tri_params", "params"))</f>
        <v/>
      </c>
      <c r="D1844" s="5" t="str">
        <f>IF(B1844="", "", C1844 &amp; "!" &amp; CHAR(65+MATCH(B1844, params!$B$2:$R$2, 0)))</f>
        <v/>
      </c>
      <c r="E1844" s="5" t="str">
        <f ca="1">IF(B1844="", "", COUNTA(INDIRECT(D1844 &amp; 3):INDIRECT(D1844 &amp; 24)))</f>
        <v/>
      </c>
      <c r="F1844" s="5" t="str">
        <f t="shared" si="58"/>
        <v/>
      </c>
      <c r="G1844" s="5" t="str">
        <f>IF(F1844="", "", IF(B1844&lt;&gt;"", MATCH(B1844, params!$B$2:$R$2, 0), G1843))</f>
        <v/>
      </c>
      <c r="H1844" s="5" t="str">
        <f t="shared" ca="1" si="59"/>
        <v/>
      </c>
      <c r="M1844" s="2"/>
    </row>
    <row r="1845" spans="2:13" ht="15.6" x14ac:dyDescent="0.3">
      <c r="B1845" s="5" t="str">
        <f>IF(COUNTIF(data_val!$E$3:$E$5, sample_log!$E1845), sample_log!$C1845 &amp; "_" &amp; sample_log!$D1845, "")</f>
        <v/>
      </c>
      <c r="C1845" s="5" t="str">
        <f>IF(B1845="", IF(F1845="", "", C1844), IF(sample_log!E1845="Triennial SASS", "tri_params", "params"))</f>
        <v/>
      </c>
      <c r="D1845" s="5" t="str">
        <f>IF(B1845="", "", C1845 &amp; "!" &amp; CHAR(65+MATCH(B1845, params!$B$2:$R$2, 0)))</f>
        <v/>
      </c>
      <c r="E1845" s="5" t="str">
        <f ca="1">IF(B1845="", "", COUNTA(INDIRECT(D1845 &amp; 3):INDIRECT(D1845 &amp; 24)))</f>
        <v/>
      </c>
      <c r="F1845" s="5" t="str">
        <f t="shared" si="58"/>
        <v/>
      </c>
      <c r="G1845" s="5" t="str">
        <f>IF(F1845="", "", IF(B1845&lt;&gt;"", MATCH(B1845, params!$B$2:$R$2, 0), G1844))</f>
        <v/>
      </c>
      <c r="H1845" s="5" t="str">
        <f t="shared" ca="1" si="59"/>
        <v/>
      </c>
      <c r="M1845" s="2"/>
    </row>
    <row r="1846" spans="2:13" ht="15.6" x14ac:dyDescent="0.3">
      <c r="B1846" s="5" t="str">
        <f>IF(COUNTIF(data_val!$E$3:$E$5, sample_log!$E1846), sample_log!$C1846 &amp; "_" &amp; sample_log!$D1846, "")</f>
        <v/>
      </c>
      <c r="C1846" s="5" t="str">
        <f>IF(B1846="", IF(F1846="", "", C1845), IF(sample_log!E1846="Triennial SASS", "tri_params", "params"))</f>
        <v/>
      </c>
      <c r="D1846" s="5" t="str">
        <f>IF(B1846="", "", C1846 &amp; "!" &amp; CHAR(65+MATCH(B1846, params!$B$2:$R$2, 0)))</f>
        <v/>
      </c>
      <c r="E1846" s="5" t="str">
        <f ca="1">IF(B1846="", "", COUNTA(INDIRECT(D1846 &amp; 3):INDIRECT(D1846 &amp; 24)))</f>
        <v/>
      </c>
      <c r="F1846" s="5" t="str">
        <f t="shared" si="58"/>
        <v/>
      </c>
      <c r="G1846" s="5" t="str">
        <f>IF(F1846="", "", IF(B1846&lt;&gt;"", MATCH(B1846, params!$B$2:$R$2, 0), G1845))</f>
        <v/>
      </c>
      <c r="H1846" s="5" t="str">
        <f t="shared" ca="1" si="59"/>
        <v/>
      </c>
      <c r="M1846" s="2"/>
    </row>
    <row r="1847" spans="2:13" ht="15.6" x14ac:dyDescent="0.3">
      <c r="B1847" s="5" t="str">
        <f>IF(COUNTIF(data_val!$E$3:$E$5, sample_log!$E1847), sample_log!$C1847 &amp; "_" &amp; sample_log!$D1847, "")</f>
        <v/>
      </c>
      <c r="C1847" s="5" t="str">
        <f>IF(B1847="", IF(F1847="", "", C1846), IF(sample_log!E1847="Triennial SASS", "tri_params", "params"))</f>
        <v/>
      </c>
      <c r="D1847" s="5" t="str">
        <f>IF(B1847="", "", C1847 &amp; "!" &amp; CHAR(65+MATCH(B1847, params!$B$2:$R$2, 0)))</f>
        <v/>
      </c>
      <c r="E1847" s="5" t="str">
        <f ca="1">IF(B1847="", "", COUNTA(INDIRECT(D1847 &amp; 3):INDIRECT(D1847 &amp; 24)))</f>
        <v/>
      </c>
      <c r="F1847" s="5" t="str">
        <f t="shared" si="58"/>
        <v/>
      </c>
      <c r="G1847" s="5" t="str">
        <f>IF(F1847="", "", IF(B1847&lt;&gt;"", MATCH(B1847, params!$B$2:$R$2, 0), G1846))</f>
        <v/>
      </c>
      <c r="H1847" s="5" t="str">
        <f t="shared" ca="1" si="59"/>
        <v/>
      </c>
      <c r="M1847" s="2"/>
    </row>
    <row r="1848" spans="2:13" ht="15.6" x14ac:dyDescent="0.3">
      <c r="B1848" s="5" t="str">
        <f>IF(COUNTIF(data_val!$E$3:$E$5, sample_log!$E1848), sample_log!$C1848 &amp; "_" &amp; sample_log!$D1848, "")</f>
        <v/>
      </c>
      <c r="C1848" s="5" t="str">
        <f>IF(B1848="", IF(F1848="", "", C1847), IF(sample_log!E1848="Triennial SASS", "tri_params", "params"))</f>
        <v/>
      </c>
      <c r="D1848" s="5" t="str">
        <f>IF(B1848="", "", C1848 &amp; "!" &amp; CHAR(65+MATCH(B1848, params!$B$2:$R$2, 0)))</f>
        <v/>
      </c>
      <c r="E1848" s="5" t="str">
        <f ca="1">IF(B1848="", "", COUNTA(INDIRECT(D1848 &amp; 3):INDIRECT(D1848 &amp; 24)))</f>
        <v/>
      </c>
      <c r="F1848" s="5" t="str">
        <f t="shared" si="58"/>
        <v/>
      </c>
      <c r="G1848" s="5" t="str">
        <f>IF(F1848="", "", IF(B1848&lt;&gt;"", MATCH(B1848, params!$B$2:$R$2, 0), G1847))</f>
        <v/>
      </c>
      <c r="H1848" s="5" t="str">
        <f t="shared" ca="1" si="59"/>
        <v/>
      </c>
      <c r="M1848" s="2"/>
    </row>
    <row r="1849" spans="2:13" ht="15.6" x14ac:dyDescent="0.3">
      <c r="B1849" s="5" t="str">
        <f>IF(COUNTIF(data_val!$E$3:$E$5, sample_log!$E1849), sample_log!$C1849 &amp; "_" &amp; sample_log!$D1849, "")</f>
        <v/>
      </c>
      <c r="C1849" s="5" t="str">
        <f>IF(B1849="", IF(F1849="", "", C1848), IF(sample_log!E1849="Triennial SASS", "tri_params", "params"))</f>
        <v/>
      </c>
      <c r="D1849" s="5" t="str">
        <f>IF(B1849="", "", C1849 &amp; "!" &amp; CHAR(65+MATCH(B1849, params!$B$2:$R$2, 0)))</f>
        <v/>
      </c>
      <c r="E1849" s="5" t="str">
        <f ca="1">IF(B1849="", "", COUNTA(INDIRECT(D1849 &amp; 3):INDIRECT(D1849 &amp; 24)))</f>
        <v/>
      </c>
      <c r="F1849" s="5" t="str">
        <f t="shared" si="58"/>
        <v/>
      </c>
      <c r="G1849" s="5" t="str">
        <f>IF(F1849="", "", IF(B1849&lt;&gt;"", MATCH(B1849, params!$B$2:$R$2, 0), G1848))</f>
        <v/>
      </c>
      <c r="H1849" s="5" t="str">
        <f t="shared" ca="1" si="59"/>
        <v/>
      </c>
      <c r="M1849" s="2"/>
    </row>
    <row r="1850" spans="2:13" ht="15.6" x14ac:dyDescent="0.3">
      <c r="B1850" s="5" t="str">
        <f>IF(COUNTIF(data_val!$E$3:$E$5, sample_log!$E1850), sample_log!$C1850 &amp; "_" &amp; sample_log!$D1850, "")</f>
        <v/>
      </c>
      <c r="C1850" s="5" t="str">
        <f>IF(B1850="", IF(F1850="", "", C1849), IF(sample_log!E1850="Triennial SASS", "tri_params", "params"))</f>
        <v/>
      </c>
      <c r="D1850" s="5" t="str">
        <f>IF(B1850="", "", C1850 &amp; "!" &amp; CHAR(65+MATCH(B1850, params!$B$2:$R$2, 0)))</f>
        <v/>
      </c>
      <c r="E1850" s="5" t="str">
        <f ca="1">IF(B1850="", "", COUNTA(INDIRECT(D1850 &amp; 3):INDIRECT(D1850 &amp; 24)))</f>
        <v/>
      </c>
      <c r="F1850" s="5" t="str">
        <f t="shared" si="58"/>
        <v/>
      </c>
      <c r="G1850" s="5" t="str">
        <f>IF(F1850="", "", IF(B1850&lt;&gt;"", MATCH(B1850, params!$B$2:$R$2, 0), G1849))</f>
        <v/>
      </c>
      <c r="H1850" s="5" t="str">
        <f t="shared" ca="1" si="59"/>
        <v/>
      </c>
      <c r="M1850" s="2"/>
    </row>
    <row r="1851" spans="2:13" ht="15.6" x14ac:dyDescent="0.3">
      <c r="B1851" s="5" t="str">
        <f>IF(COUNTIF(data_val!$E$3:$E$5, sample_log!$E1851), sample_log!$C1851 &amp; "_" &amp; sample_log!$D1851, "")</f>
        <v/>
      </c>
      <c r="C1851" s="5" t="str">
        <f>IF(B1851="", IF(F1851="", "", C1850), IF(sample_log!E1851="Triennial SASS", "tri_params", "params"))</f>
        <v/>
      </c>
      <c r="D1851" s="5" t="str">
        <f>IF(B1851="", "", C1851 &amp; "!" &amp; CHAR(65+MATCH(B1851, params!$B$2:$R$2, 0)))</f>
        <v/>
      </c>
      <c r="E1851" s="5" t="str">
        <f ca="1">IF(B1851="", "", COUNTA(INDIRECT(D1851 &amp; 3):INDIRECT(D1851 &amp; 24)))</f>
        <v/>
      </c>
      <c r="F1851" s="5" t="str">
        <f t="shared" si="58"/>
        <v/>
      </c>
      <c r="G1851" s="5" t="str">
        <f>IF(F1851="", "", IF(B1851&lt;&gt;"", MATCH(B1851, params!$B$2:$R$2, 0), G1850))</f>
        <v/>
      </c>
      <c r="H1851" s="5" t="str">
        <f t="shared" ca="1" si="59"/>
        <v/>
      </c>
      <c r="M1851" s="2"/>
    </row>
    <row r="1852" spans="2:13" ht="15.6" x14ac:dyDescent="0.3">
      <c r="B1852" s="5" t="str">
        <f>IF(COUNTIF(data_val!$E$3:$E$5, sample_log!$E1852), sample_log!$C1852 &amp; "_" &amp; sample_log!$D1852, "")</f>
        <v/>
      </c>
      <c r="C1852" s="5" t="str">
        <f>IF(B1852="", IF(F1852="", "", C1851), IF(sample_log!E1852="Triennial SASS", "tri_params", "params"))</f>
        <v/>
      </c>
      <c r="D1852" s="5" t="str">
        <f>IF(B1852="", "", C1852 &amp; "!" &amp; CHAR(65+MATCH(B1852, params!$B$2:$R$2, 0)))</f>
        <v/>
      </c>
      <c r="E1852" s="5" t="str">
        <f ca="1">IF(B1852="", "", COUNTA(INDIRECT(D1852 &amp; 3):INDIRECT(D1852 &amp; 24)))</f>
        <v/>
      </c>
      <c r="F1852" s="5" t="str">
        <f t="shared" si="58"/>
        <v/>
      </c>
      <c r="G1852" s="5" t="str">
        <f>IF(F1852="", "", IF(B1852&lt;&gt;"", MATCH(B1852, params!$B$2:$R$2, 0), G1851))</f>
        <v/>
      </c>
      <c r="H1852" s="5" t="str">
        <f t="shared" ca="1" si="59"/>
        <v/>
      </c>
      <c r="M1852" s="2"/>
    </row>
    <row r="1853" spans="2:13" ht="15.6" x14ac:dyDescent="0.3">
      <c r="B1853" s="5" t="str">
        <f>IF(COUNTIF(data_val!$E$3:$E$5, sample_log!$E1853), sample_log!$C1853 &amp; "_" &amp; sample_log!$D1853, "")</f>
        <v/>
      </c>
      <c r="C1853" s="5" t="str">
        <f>IF(B1853="", IF(F1853="", "", C1852), IF(sample_log!E1853="Triennial SASS", "tri_params", "params"))</f>
        <v/>
      </c>
      <c r="D1853" s="5" t="str">
        <f>IF(B1853="", "", C1853 &amp; "!" &amp; CHAR(65+MATCH(B1853, params!$B$2:$R$2, 0)))</f>
        <v/>
      </c>
      <c r="E1853" s="5" t="str">
        <f ca="1">IF(B1853="", "", COUNTA(INDIRECT(D1853 &amp; 3):INDIRECT(D1853 &amp; 24)))</f>
        <v/>
      </c>
      <c r="F1853" s="5" t="str">
        <f t="shared" si="58"/>
        <v/>
      </c>
      <c r="G1853" s="5" t="str">
        <f>IF(F1853="", "", IF(B1853&lt;&gt;"", MATCH(B1853, params!$B$2:$R$2, 0), G1852))</f>
        <v/>
      </c>
      <c r="H1853" s="5" t="str">
        <f t="shared" ca="1" si="59"/>
        <v/>
      </c>
      <c r="M1853" s="2"/>
    </row>
    <row r="1854" spans="2:13" ht="15.6" x14ac:dyDescent="0.3">
      <c r="B1854" s="5" t="str">
        <f>IF(COUNTIF(data_val!$E$3:$E$5, sample_log!$E1854), sample_log!$C1854 &amp; "_" &amp; sample_log!$D1854, "")</f>
        <v/>
      </c>
      <c r="C1854" s="5" t="str">
        <f>IF(B1854="", IF(F1854="", "", C1853), IF(sample_log!E1854="Triennial SASS", "tri_params", "params"))</f>
        <v/>
      </c>
      <c r="D1854" s="5" t="str">
        <f>IF(B1854="", "", C1854 &amp; "!" &amp; CHAR(65+MATCH(B1854, params!$B$2:$R$2, 0)))</f>
        <v/>
      </c>
      <c r="E1854" s="5" t="str">
        <f ca="1">IF(B1854="", "", COUNTA(INDIRECT(D1854 &amp; 3):INDIRECT(D1854 &amp; 24)))</f>
        <v/>
      </c>
      <c r="F1854" s="5" t="str">
        <f t="shared" si="58"/>
        <v/>
      </c>
      <c r="G1854" s="5" t="str">
        <f>IF(F1854="", "", IF(B1854&lt;&gt;"", MATCH(B1854, params!$B$2:$R$2, 0), G1853))</f>
        <v/>
      </c>
      <c r="H1854" s="5" t="str">
        <f t="shared" ca="1" si="59"/>
        <v/>
      </c>
      <c r="M1854" s="2"/>
    </row>
    <row r="1855" spans="2:13" ht="15.6" x14ac:dyDescent="0.3">
      <c r="B1855" s="5" t="str">
        <f>IF(COUNTIF(data_val!$E$3:$E$5, sample_log!$E1855), sample_log!$C1855 &amp; "_" &amp; sample_log!$D1855, "")</f>
        <v/>
      </c>
      <c r="C1855" s="5" t="str">
        <f>IF(B1855="", IF(F1855="", "", C1854), IF(sample_log!E1855="Triennial SASS", "tri_params", "params"))</f>
        <v/>
      </c>
      <c r="D1855" s="5" t="str">
        <f>IF(B1855="", "", C1855 &amp; "!" &amp; CHAR(65+MATCH(B1855, params!$B$2:$R$2, 0)))</f>
        <v/>
      </c>
      <c r="E1855" s="5" t="str">
        <f ca="1">IF(B1855="", "", COUNTA(INDIRECT(D1855 &amp; 3):INDIRECT(D1855 &amp; 24)))</f>
        <v/>
      </c>
      <c r="F1855" s="5" t="str">
        <f t="shared" si="58"/>
        <v/>
      </c>
      <c r="G1855" s="5" t="str">
        <f>IF(F1855="", "", IF(B1855&lt;&gt;"", MATCH(B1855, params!$B$2:$R$2, 0), G1854))</f>
        <v/>
      </c>
      <c r="H1855" s="5" t="str">
        <f t="shared" ca="1" si="59"/>
        <v/>
      </c>
      <c r="M1855" s="2"/>
    </row>
    <row r="1856" spans="2:13" ht="15.6" x14ac:dyDescent="0.3">
      <c r="B1856" s="5" t="str">
        <f>IF(COUNTIF(data_val!$E$3:$E$5, sample_log!$E1856), sample_log!$C1856 &amp; "_" &amp; sample_log!$D1856, "")</f>
        <v/>
      </c>
      <c r="C1856" s="5" t="str">
        <f>IF(B1856="", IF(F1856="", "", C1855), IF(sample_log!E1856="Triennial SASS", "tri_params", "params"))</f>
        <v/>
      </c>
      <c r="D1856" s="5" t="str">
        <f>IF(B1856="", "", C1856 &amp; "!" &amp; CHAR(65+MATCH(B1856, params!$B$2:$R$2, 0)))</f>
        <v/>
      </c>
      <c r="E1856" s="5" t="str">
        <f ca="1">IF(B1856="", "", COUNTA(INDIRECT(D1856 &amp; 3):INDIRECT(D1856 &amp; 24)))</f>
        <v/>
      </c>
      <c r="F1856" s="5" t="str">
        <f t="shared" si="58"/>
        <v/>
      </c>
      <c r="G1856" s="5" t="str">
        <f>IF(F1856="", "", IF(B1856&lt;&gt;"", MATCH(B1856, params!$B$2:$R$2, 0), G1855))</f>
        <v/>
      </c>
      <c r="H1856" s="5" t="str">
        <f t="shared" ca="1" si="59"/>
        <v/>
      </c>
      <c r="M1856" s="2"/>
    </row>
    <row r="1857" spans="2:13" ht="15.6" x14ac:dyDescent="0.3">
      <c r="B1857" s="5" t="str">
        <f>IF(COUNTIF(data_val!$E$3:$E$5, sample_log!$E1857), sample_log!$C1857 &amp; "_" &amp; sample_log!$D1857, "")</f>
        <v/>
      </c>
      <c r="C1857" s="5" t="str">
        <f>IF(B1857="", IF(F1857="", "", C1856), IF(sample_log!E1857="Triennial SASS", "tri_params", "params"))</f>
        <v/>
      </c>
      <c r="D1857" s="5" t="str">
        <f>IF(B1857="", "", C1857 &amp; "!" &amp; CHAR(65+MATCH(B1857, params!$B$2:$R$2, 0)))</f>
        <v/>
      </c>
      <c r="E1857" s="5" t="str">
        <f ca="1">IF(B1857="", "", COUNTA(INDIRECT(D1857 &amp; 3):INDIRECT(D1857 &amp; 24)))</f>
        <v/>
      </c>
      <c r="F1857" s="5" t="str">
        <f t="shared" si="58"/>
        <v/>
      </c>
      <c r="G1857" s="5" t="str">
        <f>IF(F1857="", "", IF(B1857&lt;&gt;"", MATCH(B1857, params!$B$2:$R$2, 0), G1856))</f>
        <v/>
      </c>
      <c r="H1857" s="5" t="str">
        <f t="shared" ca="1" si="59"/>
        <v/>
      </c>
      <c r="M1857" s="2"/>
    </row>
    <row r="1858" spans="2:13" ht="15.6" x14ac:dyDescent="0.3">
      <c r="B1858" s="5" t="str">
        <f>IF(COUNTIF(data_val!$E$3:$E$5, sample_log!$E1858), sample_log!$C1858 &amp; "_" &amp; sample_log!$D1858, "")</f>
        <v/>
      </c>
      <c r="C1858" s="5" t="str">
        <f>IF(B1858="", IF(F1858="", "", C1857), IF(sample_log!E1858="Triennial SASS", "tri_params", "params"))</f>
        <v/>
      </c>
      <c r="D1858" s="5" t="str">
        <f>IF(B1858="", "", C1858 &amp; "!" &amp; CHAR(65+MATCH(B1858, params!$B$2:$R$2, 0)))</f>
        <v/>
      </c>
      <c r="E1858" s="5" t="str">
        <f ca="1">IF(B1858="", "", COUNTA(INDIRECT(D1858 &amp; 3):INDIRECT(D1858 &amp; 24)))</f>
        <v/>
      </c>
      <c r="F1858" s="5" t="str">
        <f t="shared" si="58"/>
        <v/>
      </c>
      <c r="G1858" s="5" t="str">
        <f>IF(F1858="", "", IF(B1858&lt;&gt;"", MATCH(B1858, params!$B$2:$R$2, 0), G1857))</f>
        <v/>
      </c>
      <c r="H1858" s="5" t="str">
        <f t="shared" ca="1" si="59"/>
        <v/>
      </c>
      <c r="M1858" s="2"/>
    </row>
    <row r="1859" spans="2:13" ht="15.6" x14ac:dyDescent="0.3">
      <c r="B1859" s="5" t="str">
        <f>IF(COUNTIF(data_val!$E$3:$E$5, sample_log!$E1859), sample_log!$C1859 &amp; "_" &amp; sample_log!$D1859, "")</f>
        <v/>
      </c>
      <c r="C1859" s="5" t="str">
        <f>IF(B1859="", IF(F1859="", "", C1858), IF(sample_log!E1859="Triennial SASS", "tri_params", "params"))</f>
        <v/>
      </c>
      <c r="D1859" s="5" t="str">
        <f>IF(B1859="", "", C1859 &amp; "!" &amp; CHAR(65+MATCH(B1859, params!$B$2:$R$2, 0)))</f>
        <v/>
      </c>
      <c r="E1859" s="5" t="str">
        <f ca="1">IF(B1859="", "", COUNTA(INDIRECT(D1859 &amp; 3):INDIRECT(D1859 &amp; 24)))</f>
        <v/>
      </c>
      <c r="F1859" s="5" t="str">
        <f t="shared" ref="F1859:F1922" si="60">IF(B1859="", IF(NOT(ISNUMBER(F1858)), "", IF(F1858-1&gt;0, F1858-1, "")), E1859)</f>
        <v/>
      </c>
      <c r="G1859" s="5" t="str">
        <f>IF(F1859="", "", IF(B1859&lt;&gt;"", MATCH(B1859, params!$B$2:$R$2, 0), G1858))</f>
        <v/>
      </c>
      <c r="H1859" s="5" t="str">
        <f t="shared" ca="1" si="59"/>
        <v/>
      </c>
      <c r="M1859" s="2"/>
    </row>
    <row r="1860" spans="2:13" ht="15.6" x14ac:dyDescent="0.3">
      <c r="B1860" s="5" t="str">
        <f>IF(COUNTIF(data_val!$E$3:$E$5, sample_log!$E1860), sample_log!$C1860 &amp; "_" &amp; sample_log!$D1860, "")</f>
        <v/>
      </c>
      <c r="C1860" s="5" t="str">
        <f>IF(B1860="", IF(F1860="", "", C1859), IF(sample_log!E1860="Triennial SASS", "tri_params", "params"))</f>
        <v/>
      </c>
      <c r="D1860" s="5" t="str">
        <f>IF(B1860="", "", C1860 &amp; "!" &amp; CHAR(65+MATCH(B1860, params!$B$2:$R$2, 0)))</f>
        <v/>
      </c>
      <c r="E1860" s="5" t="str">
        <f ca="1">IF(B1860="", "", COUNTA(INDIRECT(D1860 &amp; 3):INDIRECT(D1860 &amp; 24)))</f>
        <v/>
      </c>
      <c r="F1860" s="5" t="str">
        <f t="shared" si="60"/>
        <v/>
      </c>
      <c r="G1860" s="5" t="str">
        <f>IF(F1860="", "", IF(B1860&lt;&gt;"", MATCH(B1860, params!$B$2:$R$2, 0), G1859))</f>
        <v/>
      </c>
      <c r="H1860" s="5" t="str">
        <f t="shared" ca="1" si="59"/>
        <v/>
      </c>
      <c r="M1860" s="2"/>
    </row>
    <row r="1861" spans="2:13" ht="15.6" x14ac:dyDescent="0.3">
      <c r="B1861" s="5" t="str">
        <f>IF(COUNTIF(data_val!$E$3:$E$5, sample_log!$E1861), sample_log!$C1861 &amp; "_" &amp; sample_log!$D1861, "")</f>
        <v/>
      </c>
      <c r="C1861" s="5" t="str">
        <f>IF(B1861="", IF(F1861="", "", C1860), IF(sample_log!E1861="Triennial SASS", "tri_params", "params"))</f>
        <v/>
      </c>
      <c r="D1861" s="5" t="str">
        <f>IF(B1861="", "", C1861 &amp; "!" &amp; CHAR(65+MATCH(B1861, params!$B$2:$R$2, 0)))</f>
        <v/>
      </c>
      <c r="E1861" s="5" t="str">
        <f ca="1">IF(B1861="", "", COUNTA(INDIRECT(D1861 &amp; 3):INDIRECT(D1861 &amp; 24)))</f>
        <v/>
      </c>
      <c r="F1861" s="5" t="str">
        <f t="shared" si="60"/>
        <v/>
      </c>
      <c r="G1861" s="5" t="str">
        <f>IF(F1861="", "", IF(B1861&lt;&gt;"", MATCH(B1861, params!$B$2:$R$2, 0), G1860))</f>
        <v/>
      </c>
      <c r="H1861" s="5" t="str">
        <f t="shared" ca="1" si="59"/>
        <v/>
      </c>
      <c r="M1861" s="2"/>
    </row>
    <row r="1862" spans="2:13" ht="15.6" x14ac:dyDescent="0.3">
      <c r="B1862" s="5" t="str">
        <f>IF(COUNTIF(data_val!$E$3:$E$5, sample_log!$E1862), sample_log!$C1862 &amp; "_" &amp; sample_log!$D1862, "")</f>
        <v/>
      </c>
      <c r="C1862" s="5" t="str">
        <f>IF(B1862="", IF(F1862="", "", C1861), IF(sample_log!E1862="Triennial SASS", "tri_params", "params"))</f>
        <v/>
      </c>
      <c r="D1862" s="5" t="str">
        <f>IF(B1862="", "", C1862 &amp; "!" &amp; CHAR(65+MATCH(B1862, params!$B$2:$R$2, 0)))</f>
        <v/>
      </c>
      <c r="E1862" s="5" t="str">
        <f ca="1">IF(B1862="", "", COUNTA(INDIRECT(D1862 &amp; 3):INDIRECT(D1862 &amp; 24)))</f>
        <v/>
      </c>
      <c r="F1862" s="5" t="str">
        <f t="shared" si="60"/>
        <v/>
      </c>
      <c r="G1862" s="5" t="str">
        <f>IF(F1862="", "", IF(B1862&lt;&gt;"", MATCH(B1862, params!$B$2:$R$2, 0), G1861))</f>
        <v/>
      </c>
      <c r="H1862" s="5" t="str">
        <f t="shared" ca="1" si="59"/>
        <v/>
      </c>
      <c r="M1862" s="2"/>
    </row>
    <row r="1863" spans="2:13" ht="15.6" x14ac:dyDescent="0.3">
      <c r="B1863" s="5" t="str">
        <f>IF(COUNTIF(data_val!$E$3:$E$5, sample_log!$E1863), sample_log!$C1863 &amp; "_" &amp; sample_log!$D1863, "")</f>
        <v/>
      </c>
      <c r="C1863" s="5" t="str">
        <f>IF(B1863="", IF(F1863="", "", C1862), IF(sample_log!E1863="Triennial SASS", "tri_params", "params"))</f>
        <v/>
      </c>
      <c r="D1863" s="5" t="str">
        <f>IF(B1863="", "", C1863 &amp; "!" &amp; CHAR(65+MATCH(B1863, params!$B$2:$R$2, 0)))</f>
        <v/>
      </c>
      <c r="E1863" s="5" t="str">
        <f ca="1">IF(B1863="", "", COUNTA(INDIRECT(D1863 &amp; 3):INDIRECT(D1863 &amp; 24)))</f>
        <v/>
      </c>
      <c r="F1863" s="5" t="str">
        <f t="shared" si="60"/>
        <v/>
      </c>
      <c r="G1863" s="5" t="str">
        <f>IF(F1863="", "", IF(B1863&lt;&gt;"", MATCH(B1863, params!$B$2:$R$2, 0), G1862))</f>
        <v/>
      </c>
      <c r="H1863" s="5" t="str">
        <f t="shared" ca="1" si="59"/>
        <v/>
      </c>
      <c r="M1863" s="2"/>
    </row>
    <row r="1864" spans="2:13" ht="15.6" x14ac:dyDescent="0.3">
      <c r="B1864" s="5" t="str">
        <f>IF(COUNTIF(data_val!$E$3:$E$5, sample_log!$E1864), sample_log!$C1864 &amp; "_" &amp; sample_log!$D1864, "")</f>
        <v/>
      </c>
      <c r="C1864" s="5" t="str">
        <f>IF(B1864="", IF(F1864="", "", C1863), IF(sample_log!E1864="Triennial SASS", "tri_params", "params"))</f>
        <v/>
      </c>
      <c r="D1864" s="5" t="str">
        <f>IF(B1864="", "", C1864 &amp; "!" &amp; CHAR(65+MATCH(B1864, params!$B$2:$R$2, 0)))</f>
        <v/>
      </c>
      <c r="E1864" s="5" t="str">
        <f ca="1">IF(B1864="", "", COUNTA(INDIRECT(D1864 &amp; 3):INDIRECT(D1864 &amp; 24)))</f>
        <v/>
      </c>
      <c r="F1864" s="5" t="str">
        <f t="shared" si="60"/>
        <v/>
      </c>
      <c r="G1864" s="5" t="str">
        <f>IF(F1864="", "", IF(B1864&lt;&gt;"", MATCH(B1864, params!$B$2:$R$2, 0), G1863))</f>
        <v/>
      </c>
      <c r="H1864" s="5" t="str">
        <f t="shared" ca="1" si="59"/>
        <v/>
      </c>
      <c r="M1864" s="2"/>
    </row>
    <row r="1865" spans="2:13" ht="15.6" x14ac:dyDescent="0.3">
      <c r="B1865" s="5" t="str">
        <f>IF(COUNTIF(data_val!$E$3:$E$5, sample_log!$E1865), sample_log!$C1865 &amp; "_" &amp; sample_log!$D1865, "")</f>
        <v/>
      </c>
      <c r="C1865" s="5" t="str">
        <f>IF(B1865="", IF(F1865="", "", C1864), IF(sample_log!E1865="Triennial SASS", "tri_params", "params"))</f>
        <v/>
      </c>
      <c r="D1865" s="5" t="str">
        <f>IF(B1865="", "", C1865 &amp; "!" &amp; CHAR(65+MATCH(B1865, params!$B$2:$R$2, 0)))</f>
        <v/>
      </c>
      <c r="E1865" s="5" t="str">
        <f ca="1">IF(B1865="", "", COUNTA(INDIRECT(D1865 &amp; 3):INDIRECT(D1865 &amp; 24)))</f>
        <v/>
      </c>
      <c r="F1865" s="5" t="str">
        <f t="shared" si="60"/>
        <v/>
      </c>
      <c r="G1865" s="5" t="str">
        <f>IF(F1865="", "", IF(B1865&lt;&gt;"", MATCH(B1865, params!$B$2:$R$2, 0), G1864))</f>
        <v/>
      </c>
      <c r="H1865" s="5" t="str">
        <f t="shared" ca="1" si="59"/>
        <v/>
      </c>
      <c r="M1865" s="2"/>
    </row>
    <row r="1866" spans="2:13" ht="15.6" x14ac:dyDescent="0.3">
      <c r="B1866" s="5" t="str">
        <f>IF(COUNTIF(data_val!$E$3:$E$5, sample_log!$E1866), sample_log!$C1866 &amp; "_" &amp; sample_log!$D1866, "")</f>
        <v/>
      </c>
      <c r="C1866" s="5" t="str">
        <f>IF(B1866="", IF(F1866="", "", C1865), IF(sample_log!E1866="Triennial SASS", "tri_params", "params"))</f>
        <v/>
      </c>
      <c r="D1866" s="5" t="str">
        <f>IF(B1866="", "", C1866 &amp; "!" &amp; CHAR(65+MATCH(B1866, params!$B$2:$R$2, 0)))</f>
        <v/>
      </c>
      <c r="E1866" s="5" t="str">
        <f ca="1">IF(B1866="", "", COUNTA(INDIRECT(D1866 &amp; 3):INDIRECT(D1866 &amp; 24)))</f>
        <v/>
      </c>
      <c r="F1866" s="5" t="str">
        <f t="shared" si="60"/>
        <v/>
      </c>
      <c r="G1866" s="5" t="str">
        <f>IF(F1866="", "", IF(B1866&lt;&gt;"", MATCH(B1866, params!$B$2:$R$2, 0), G1865))</f>
        <v/>
      </c>
      <c r="H1866" s="5" t="str">
        <f t="shared" ca="1" si="59"/>
        <v/>
      </c>
      <c r="M1866" s="2"/>
    </row>
    <row r="1867" spans="2:13" ht="15.6" x14ac:dyDescent="0.3">
      <c r="B1867" s="5" t="str">
        <f>IF(COUNTIF(data_val!$E$3:$E$5, sample_log!$E1867), sample_log!$C1867 &amp; "_" &amp; sample_log!$D1867, "")</f>
        <v/>
      </c>
      <c r="C1867" s="5" t="str">
        <f>IF(B1867="", IF(F1867="", "", C1866), IF(sample_log!E1867="Triennial SASS", "tri_params", "params"))</f>
        <v/>
      </c>
      <c r="D1867" s="5" t="str">
        <f>IF(B1867="", "", C1867 &amp; "!" &amp; CHAR(65+MATCH(B1867, params!$B$2:$R$2, 0)))</f>
        <v/>
      </c>
      <c r="E1867" s="5" t="str">
        <f ca="1">IF(B1867="", "", COUNTA(INDIRECT(D1867 &amp; 3):INDIRECT(D1867 &amp; 24)))</f>
        <v/>
      </c>
      <c r="F1867" s="5" t="str">
        <f t="shared" si="60"/>
        <v/>
      </c>
      <c r="G1867" s="5" t="str">
        <f>IF(F1867="", "", IF(B1867&lt;&gt;"", MATCH(B1867, params!$B$2:$R$2, 0), G1866))</f>
        <v/>
      </c>
      <c r="H1867" s="5" t="str">
        <f t="shared" ca="1" si="59"/>
        <v/>
      </c>
      <c r="M1867" s="2"/>
    </row>
    <row r="1868" spans="2:13" ht="15.6" x14ac:dyDescent="0.3">
      <c r="B1868" s="5" t="str">
        <f>IF(COUNTIF(data_val!$E$3:$E$5, sample_log!$E1868), sample_log!$C1868 &amp; "_" &amp; sample_log!$D1868, "")</f>
        <v/>
      </c>
      <c r="C1868" s="5" t="str">
        <f>IF(B1868="", IF(F1868="", "", C1867), IF(sample_log!E1868="Triennial SASS", "tri_params", "params"))</f>
        <v/>
      </c>
      <c r="D1868" s="5" t="str">
        <f>IF(B1868="", "", C1868 &amp; "!" &amp; CHAR(65+MATCH(B1868, params!$B$2:$R$2, 0)))</f>
        <v/>
      </c>
      <c r="E1868" s="5" t="str">
        <f ca="1">IF(B1868="", "", COUNTA(INDIRECT(D1868 &amp; 3):INDIRECT(D1868 &amp; 24)))</f>
        <v/>
      </c>
      <c r="F1868" s="5" t="str">
        <f t="shared" si="60"/>
        <v/>
      </c>
      <c r="G1868" s="5" t="str">
        <f>IF(F1868="", "", IF(B1868&lt;&gt;"", MATCH(B1868, params!$B$2:$R$2, 0), G1867))</f>
        <v/>
      </c>
      <c r="H1868" s="5" t="str">
        <f t="shared" ca="1" si="59"/>
        <v/>
      </c>
      <c r="M1868" s="2"/>
    </row>
    <row r="1869" spans="2:13" ht="15.6" x14ac:dyDescent="0.3">
      <c r="B1869" s="5" t="str">
        <f>IF(COUNTIF(data_val!$E$3:$E$5, sample_log!$E1869), sample_log!$C1869 &amp; "_" &amp; sample_log!$D1869, "")</f>
        <v/>
      </c>
      <c r="C1869" s="5" t="str">
        <f>IF(B1869="", IF(F1869="", "", C1868), IF(sample_log!E1869="Triennial SASS", "tri_params", "params"))</f>
        <v/>
      </c>
      <c r="D1869" s="5" t="str">
        <f>IF(B1869="", "", C1869 &amp; "!" &amp; CHAR(65+MATCH(B1869, params!$B$2:$R$2, 0)))</f>
        <v/>
      </c>
      <c r="E1869" s="5" t="str">
        <f ca="1">IF(B1869="", "", COUNTA(INDIRECT(D1869 &amp; 3):INDIRECT(D1869 &amp; 24)))</f>
        <v/>
      </c>
      <c r="F1869" s="5" t="str">
        <f t="shared" si="60"/>
        <v/>
      </c>
      <c r="G1869" s="5" t="str">
        <f>IF(F1869="", "", IF(B1869&lt;&gt;"", MATCH(B1869, params!$B$2:$R$2, 0), G1868))</f>
        <v/>
      </c>
      <c r="H1869" s="5" t="str">
        <f t="shared" ca="1" si="59"/>
        <v/>
      </c>
      <c r="M1869" s="2"/>
    </row>
    <row r="1870" spans="2:13" ht="15.6" x14ac:dyDescent="0.3">
      <c r="B1870" s="5" t="str">
        <f>IF(COUNTIF(data_val!$E$3:$E$5, sample_log!$E1870), sample_log!$C1870 &amp; "_" &amp; sample_log!$D1870, "")</f>
        <v/>
      </c>
      <c r="C1870" s="5" t="str">
        <f>IF(B1870="", IF(F1870="", "", C1869), IF(sample_log!E1870="Triennial SASS", "tri_params", "params"))</f>
        <v/>
      </c>
      <c r="D1870" s="5" t="str">
        <f>IF(B1870="", "", C1870 &amp; "!" &amp; CHAR(65+MATCH(B1870, params!$B$2:$R$2, 0)))</f>
        <v/>
      </c>
      <c r="E1870" s="5" t="str">
        <f ca="1">IF(B1870="", "", COUNTA(INDIRECT(D1870 &amp; 3):INDIRECT(D1870 &amp; 24)))</f>
        <v/>
      </c>
      <c r="F1870" s="5" t="str">
        <f t="shared" si="60"/>
        <v/>
      </c>
      <c r="G1870" s="5" t="str">
        <f>IF(F1870="", "", IF(B1870&lt;&gt;"", MATCH(B1870, params!$B$2:$R$2, 0), G1869))</f>
        <v/>
      </c>
      <c r="H1870" s="5" t="str">
        <f t="shared" ca="1" si="59"/>
        <v/>
      </c>
      <c r="M1870" s="2"/>
    </row>
    <row r="1871" spans="2:13" ht="15.6" x14ac:dyDescent="0.3">
      <c r="B1871" s="5" t="str">
        <f>IF(COUNTIF(data_val!$E$3:$E$5, sample_log!$E1871), sample_log!$C1871 &amp; "_" &amp; sample_log!$D1871, "")</f>
        <v/>
      </c>
      <c r="C1871" s="5" t="str">
        <f>IF(B1871="", IF(F1871="", "", C1870), IF(sample_log!E1871="Triennial SASS", "tri_params", "params"))</f>
        <v/>
      </c>
      <c r="D1871" s="5" t="str">
        <f>IF(B1871="", "", C1871 &amp; "!" &amp; CHAR(65+MATCH(B1871, params!$B$2:$R$2, 0)))</f>
        <v/>
      </c>
      <c r="E1871" s="5" t="str">
        <f ca="1">IF(B1871="", "", COUNTA(INDIRECT(D1871 &amp; 3):INDIRECT(D1871 &amp; 24)))</f>
        <v/>
      </c>
      <c r="F1871" s="5" t="str">
        <f t="shared" si="60"/>
        <v/>
      </c>
      <c r="G1871" s="5" t="str">
        <f>IF(F1871="", "", IF(B1871&lt;&gt;"", MATCH(B1871, params!$B$2:$R$2, 0), G1870))</f>
        <v/>
      </c>
      <c r="H1871" s="5" t="str">
        <f t="shared" ca="1" si="59"/>
        <v/>
      </c>
      <c r="M1871" s="2"/>
    </row>
    <row r="1872" spans="2:13" ht="15.6" x14ac:dyDescent="0.3">
      <c r="B1872" s="5" t="str">
        <f>IF(COUNTIF(data_val!$E$3:$E$5, sample_log!$E1872), sample_log!$C1872 &amp; "_" &amp; sample_log!$D1872, "")</f>
        <v/>
      </c>
      <c r="C1872" s="5" t="str">
        <f>IF(B1872="", IF(F1872="", "", C1871), IF(sample_log!E1872="Triennial SASS", "tri_params", "params"))</f>
        <v/>
      </c>
      <c r="D1872" s="5" t="str">
        <f>IF(B1872="", "", C1872 &amp; "!" &amp; CHAR(65+MATCH(B1872, params!$B$2:$R$2, 0)))</f>
        <v/>
      </c>
      <c r="E1872" s="5" t="str">
        <f ca="1">IF(B1872="", "", COUNTA(INDIRECT(D1872 &amp; 3):INDIRECT(D1872 &amp; 24)))</f>
        <v/>
      </c>
      <c r="F1872" s="5" t="str">
        <f t="shared" si="60"/>
        <v/>
      </c>
      <c r="G1872" s="5" t="str">
        <f>IF(F1872="", "", IF(B1872&lt;&gt;"", MATCH(B1872, params!$B$2:$R$2, 0), G1871))</f>
        <v/>
      </c>
      <c r="H1872" s="5" t="str">
        <f t="shared" ca="1" si="59"/>
        <v/>
      </c>
      <c r="M1872" s="2"/>
    </row>
    <row r="1873" spans="2:13" ht="15.6" x14ac:dyDescent="0.3">
      <c r="B1873" s="5" t="str">
        <f>IF(COUNTIF(data_val!$E$3:$E$5, sample_log!$E1873), sample_log!$C1873 &amp; "_" &amp; sample_log!$D1873, "")</f>
        <v/>
      </c>
      <c r="C1873" s="5" t="str">
        <f>IF(B1873="", IF(F1873="", "", C1872), IF(sample_log!E1873="Triennial SASS", "tri_params", "params"))</f>
        <v/>
      </c>
      <c r="D1873" s="5" t="str">
        <f>IF(B1873="", "", C1873 &amp; "!" &amp; CHAR(65+MATCH(B1873, params!$B$2:$R$2, 0)))</f>
        <v/>
      </c>
      <c r="E1873" s="5" t="str">
        <f ca="1">IF(B1873="", "", COUNTA(INDIRECT(D1873 &amp; 3):INDIRECT(D1873 &amp; 24)))</f>
        <v/>
      </c>
      <c r="F1873" s="5" t="str">
        <f t="shared" si="60"/>
        <v/>
      </c>
      <c r="G1873" s="5" t="str">
        <f>IF(F1873="", "", IF(B1873&lt;&gt;"", MATCH(B1873, params!$B$2:$R$2, 0), G1872))</f>
        <v/>
      </c>
      <c r="H1873" s="5" t="str">
        <f t="shared" ca="1" si="59"/>
        <v/>
      </c>
      <c r="M1873" s="2"/>
    </row>
    <row r="1874" spans="2:13" ht="15.6" x14ac:dyDescent="0.3">
      <c r="B1874" s="5" t="str">
        <f>IF(COUNTIF(data_val!$E$3:$E$5, sample_log!$E1874), sample_log!$C1874 &amp; "_" &amp; sample_log!$D1874, "")</f>
        <v/>
      </c>
      <c r="C1874" s="5" t="str">
        <f>IF(B1874="", IF(F1874="", "", C1873), IF(sample_log!E1874="Triennial SASS", "tri_params", "params"))</f>
        <v/>
      </c>
      <c r="D1874" s="5" t="str">
        <f>IF(B1874="", "", C1874 &amp; "!" &amp; CHAR(65+MATCH(B1874, params!$B$2:$R$2, 0)))</f>
        <v/>
      </c>
      <c r="E1874" s="5" t="str">
        <f ca="1">IF(B1874="", "", COUNTA(INDIRECT(D1874 &amp; 3):INDIRECT(D1874 &amp; 24)))</f>
        <v/>
      </c>
      <c r="F1874" s="5" t="str">
        <f t="shared" si="60"/>
        <v/>
      </c>
      <c r="G1874" s="5" t="str">
        <f>IF(F1874="", "", IF(B1874&lt;&gt;"", MATCH(B1874, params!$B$2:$R$2, 0), G1873))</f>
        <v/>
      </c>
      <c r="H1874" s="5" t="str">
        <f t="shared" ca="1" si="59"/>
        <v/>
      </c>
      <c r="M1874" s="2"/>
    </row>
    <row r="1875" spans="2:13" ht="15.6" x14ac:dyDescent="0.3">
      <c r="B1875" s="5" t="str">
        <f>IF(COUNTIF(data_val!$E$3:$E$5, sample_log!$E1875), sample_log!$C1875 &amp; "_" &amp; sample_log!$D1875, "")</f>
        <v/>
      </c>
      <c r="C1875" s="5" t="str">
        <f>IF(B1875="", IF(F1875="", "", C1874), IF(sample_log!E1875="Triennial SASS", "tri_params", "params"))</f>
        <v/>
      </c>
      <c r="D1875" s="5" t="str">
        <f>IF(B1875="", "", C1875 &amp; "!" &amp; CHAR(65+MATCH(B1875, params!$B$2:$R$2, 0)))</f>
        <v/>
      </c>
      <c r="E1875" s="5" t="str">
        <f ca="1">IF(B1875="", "", COUNTA(INDIRECT(D1875 &amp; 3):INDIRECT(D1875 &amp; 24)))</f>
        <v/>
      </c>
      <c r="F1875" s="5" t="str">
        <f t="shared" si="60"/>
        <v/>
      </c>
      <c r="G1875" s="5" t="str">
        <f>IF(F1875="", "", IF(B1875&lt;&gt;"", MATCH(B1875, params!$B$2:$R$2, 0), G1874))</f>
        <v/>
      </c>
      <c r="H1875" s="5" t="str">
        <f t="shared" ca="1" si="59"/>
        <v/>
      </c>
      <c r="M1875" s="2"/>
    </row>
    <row r="1876" spans="2:13" ht="15.6" x14ac:dyDescent="0.3">
      <c r="B1876" s="5" t="str">
        <f>IF(COUNTIF(data_val!$E$3:$E$5, sample_log!$E1876), sample_log!$C1876 &amp; "_" &amp; sample_log!$D1876, "")</f>
        <v/>
      </c>
      <c r="C1876" s="5" t="str">
        <f>IF(B1876="", IF(F1876="", "", C1875), IF(sample_log!E1876="Triennial SASS", "tri_params", "params"))</f>
        <v/>
      </c>
      <c r="D1876" s="5" t="str">
        <f>IF(B1876="", "", C1876 &amp; "!" &amp; CHAR(65+MATCH(B1876, params!$B$2:$R$2, 0)))</f>
        <v/>
      </c>
      <c r="E1876" s="5" t="str">
        <f ca="1">IF(B1876="", "", COUNTA(INDIRECT(D1876 &amp; 3):INDIRECT(D1876 &amp; 24)))</f>
        <v/>
      </c>
      <c r="F1876" s="5" t="str">
        <f t="shared" si="60"/>
        <v/>
      </c>
      <c r="G1876" s="5" t="str">
        <f>IF(F1876="", "", IF(B1876&lt;&gt;"", MATCH(B1876, params!$B$2:$R$2, 0), G1875))</f>
        <v/>
      </c>
      <c r="H1876" s="5" t="str">
        <f t="shared" ca="1" si="59"/>
        <v/>
      </c>
      <c r="M1876" s="2"/>
    </row>
    <row r="1877" spans="2:13" ht="15.6" x14ac:dyDescent="0.3">
      <c r="B1877" s="5" t="str">
        <f>IF(COUNTIF(data_val!$E$3:$E$5, sample_log!$E1877), sample_log!$C1877 &amp; "_" &amp; sample_log!$D1877, "")</f>
        <v/>
      </c>
      <c r="C1877" s="5" t="str">
        <f>IF(B1877="", IF(F1877="", "", C1876), IF(sample_log!E1877="Triennial SASS", "tri_params", "params"))</f>
        <v/>
      </c>
      <c r="D1877" s="5" t="str">
        <f>IF(B1877="", "", C1877 &amp; "!" &amp; CHAR(65+MATCH(B1877, params!$B$2:$R$2, 0)))</f>
        <v/>
      </c>
      <c r="E1877" s="5" t="str">
        <f ca="1">IF(B1877="", "", COUNTA(INDIRECT(D1877 &amp; 3):INDIRECT(D1877 &amp; 24)))</f>
        <v/>
      </c>
      <c r="F1877" s="5" t="str">
        <f t="shared" si="60"/>
        <v/>
      </c>
      <c r="G1877" s="5" t="str">
        <f>IF(F1877="", "", IF(B1877&lt;&gt;"", MATCH(B1877, params!$B$2:$R$2, 0), G1876))</f>
        <v/>
      </c>
      <c r="H1877" s="5" t="str">
        <f t="shared" ca="1" si="59"/>
        <v/>
      </c>
      <c r="M1877" s="2"/>
    </row>
    <row r="1878" spans="2:13" ht="15.6" x14ac:dyDescent="0.3">
      <c r="B1878" s="5" t="str">
        <f>IF(COUNTIF(data_val!$E$3:$E$5, sample_log!$E1878), sample_log!$C1878 &amp; "_" &amp; sample_log!$D1878, "")</f>
        <v/>
      </c>
      <c r="C1878" s="5" t="str">
        <f>IF(B1878="", IF(F1878="", "", C1877), IF(sample_log!E1878="Triennial SASS", "tri_params", "params"))</f>
        <v/>
      </c>
      <c r="D1878" s="5" t="str">
        <f>IF(B1878="", "", C1878 &amp; "!" &amp; CHAR(65+MATCH(B1878, params!$B$2:$R$2, 0)))</f>
        <v/>
      </c>
      <c r="E1878" s="5" t="str">
        <f ca="1">IF(B1878="", "", COUNTA(INDIRECT(D1878 &amp; 3):INDIRECT(D1878 &amp; 24)))</f>
        <v/>
      </c>
      <c r="F1878" s="5" t="str">
        <f t="shared" si="60"/>
        <v/>
      </c>
      <c r="G1878" s="5" t="str">
        <f>IF(F1878="", "", IF(B1878&lt;&gt;"", MATCH(B1878, params!$B$2:$R$2, 0), G1877))</f>
        <v/>
      </c>
      <c r="H1878" s="5" t="str">
        <f t="shared" ca="1" si="59"/>
        <v/>
      </c>
      <c r="M1878" s="2"/>
    </row>
    <row r="1879" spans="2:13" ht="15.6" x14ac:dyDescent="0.3">
      <c r="B1879" s="5" t="str">
        <f>IF(COUNTIF(data_val!$E$3:$E$5, sample_log!$E1879), sample_log!$C1879 &amp; "_" &amp; sample_log!$D1879, "")</f>
        <v/>
      </c>
      <c r="C1879" s="5" t="str">
        <f>IF(B1879="", IF(F1879="", "", C1878), IF(sample_log!E1879="Triennial SASS", "tri_params", "params"))</f>
        <v/>
      </c>
      <c r="D1879" s="5" t="str">
        <f>IF(B1879="", "", C1879 &amp; "!" &amp; CHAR(65+MATCH(B1879, params!$B$2:$R$2, 0)))</f>
        <v/>
      </c>
      <c r="E1879" s="5" t="str">
        <f ca="1">IF(B1879="", "", COUNTA(INDIRECT(D1879 &amp; 3):INDIRECT(D1879 &amp; 24)))</f>
        <v/>
      </c>
      <c r="F1879" s="5" t="str">
        <f t="shared" si="60"/>
        <v/>
      </c>
      <c r="G1879" s="5" t="str">
        <f>IF(F1879="", "", IF(B1879&lt;&gt;"", MATCH(B1879, params!$B$2:$R$2, 0), G1878))</f>
        <v/>
      </c>
      <c r="H1879" s="5" t="str">
        <f t="shared" ca="1" si="59"/>
        <v/>
      </c>
      <c r="M1879" s="2"/>
    </row>
    <row r="1880" spans="2:13" ht="15.6" x14ac:dyDescent="0.3">
      <c r="B1880" s="5" t="str">
        <f>IF(COUNTIF(data_val!$E$3:$E$5, sample_log!$E1880), sample_log!$C1880 &amp; "_" &amp; sample_log!$D1880, "")</f>
        <v/>
      </c>
      <c r="C1880" s="5" t="str">
        <f>IF(B1880="", IF(F1880="", "", C1879), IF(sample_log!E1880="Triennial SASS", "tri_params", "params"))</f>
        <v/>
      </c>
      <c r="D1880" s="5" t="str">
        <f>IF(B1880="", "", C1880 &amp; "!" &amp; CHAR(65+MATCH(B1880, params!$B$2:$R$2, 0)))</f>
        <v/>
      </c>
      <c r="E1880" s="5" t="str">
        <f ca="1">IF(B1880="", "", COUNTA(INDIRECT(D1880 &amp; 3):INDIRECT(D1880 &amp; 24)))</f>
        <v/>
      </c>
      <c r="F1880" s="5" t="str">
        <f t="shared" si="60"/>
        <v/>
      </c>
      <c r="G1880" s="5" t="str">
        <f>IF(F1880="", "", IF(B1880&lt;&gt;"", MATCH(B1880, params!$B$2:$R$2, 0), G1879))</f>
        <v/>
      </c>
      <c r="H1880" s="5" t="str">
        <f t="shared" ca="1" si="59"/>
        <v/>
      </c>
      <c r="M1880" s="2"/>
    </row>
    <row r="1881" spans="2:13" ht="15.6" x14ac:dyDescent="0.3">
      <c r="B1881" s="5" t="str">
        <f>IF(COUNTIF(data_val!$E$3:$E$5, sample_log!$E1881), sample_log!$C1881 &amp; "_" &amp; sample_log!$D1881, "")</f>
        <v/>
      </c>
      <c r="C1881" s="5" t="str">
        <f>IF(B1881="", IF(F1881="", "", C1880), IF(sample_log!E1881="Triennial SASS", "tri_params", "params"))</f>
        <v/>
      </c>
      <c r="D1881" s="5" t="str">
        <f>IF(B1881="", "", C1881 &amp; "!" &amp; CHAR(65+MATCH(B1881, params!$B$2:$R$2, 0)))</f>
        <v/>
      </c>
      <c r="E1881" s="5" t="str">
        <f ca="1">IF(B1881="", "", COUNTA(INDIRECT(D1881 &amp; 3):INDIRECT(D1881 &amp; 24)))</f>
        <v/>
      </c>
      <c r="F1881" s="5" t="str">
        <f t="shared" si="60"/>
        <v/>
      </c>
      <c r="G1881" s="5" t="str">
        <f>IF(F1881="", "", IF(B1881&lt;&gt;"", MATCH(B1881, params!$B$2:$R$2, 0), G1880))</f>
        <v/>
      </c>
      <c r="H1881" s="5" t="str">
        <f t="shared" ref="H1881:H1944" ca="1" si="61">IF($F1881="", "", INDEX(INDIRECT("'" &amp; C1881 &amp; "'!$B$3:$R$24"), $F1881, $G1881))</f>
        <v/>
      </c>
      <c r="M1881" s="2"/>
    </row>
    <row r="1882" spans="2:13" ht="15.6" x14ac:dyDescent="0.3">
      <c r="B1882" s="5" t="str">
        <f>IF(COUNTIF(data_val!$E$3:$E$5, sample_log!$E1882), sample_log!$C1882 &amp; "_" &amp; sample_log!$D1882, "")</f>
        <v/>
      </c>
      <c r="C1882" s="5" t="str">
        <f>IF(B1882="", IF(F1882="", "", C1881), IF(sample_log!E1882="Triennial SASS", "tri_params", "params"))</f>
        <v/>
      </c>
      <c r="D1882" s="5" t="str">
        <f>IF(B1882="", "", C1882 &amp; "!" &amp; CHAR(65+MATCH(B1882, params!$B$2:$R$2, 0)))</f>
        <v/>
      </c>
      <c r="E1882" s="5" t="str">
        <f ca="1">IF(B1882="", "", COUNTA(INDIRECT(D1882 &amp; 3):INDIRECT(D1882 &amp; 24)))</f>
        <v/>
      </c>
      <c r="F1882" s="5" t="str">
        <f t="shared" si="60"/>
        <v/>
      </c>
      <c r="G1882" s="5" t="str">
        <f>IF(F1882="", "", IF(B1882&lt;&gt;"", MATCH(B1882, params!$B$2:$R$2, 0), G1881))</f>
        <v/>
      </c>
      <c r="H1882" s="5" t="str">
        <f t="shared" ca="1" si="61"/>
        <v/>
      </c>
      <c r="M1882" s="2"/>
    </row>
    <row r="1883" spans="2:13" ht="15.6" x14ac:dyDescent="0.3">
      <c r="B1883" s="5" t="str">
        <f>IF(COUNTIF(data_val!$E$3:$E$5, sample_log!$E1883), sample_log!$C1883 &amp; "_" &amp; sample_log!$D1883, "")</f>
        <v/>
      </c>
      <c r="C1883" s="5" t="str">
        <f>IF(B1883="", IF(F1883="", "", C1882), IF(sample_log!E1883="Triennial SASS", "tri_params", "params"))</f>
        <v/>
      </c>
      <c r="D1883" s="5" t="str">
        <f>IF(B1883="", "", C1883 &amp; "!" &amp; CHAR(65+MATCH(B1883, params!$B$2:$R$2, 0)))</f>
        <v/>
      </c>
      <c r="E1883" s="5" t="str">
        <f ca="1">IF(B1883="", "", COUNTA(INDIRECT(D1883 &amp; 3):INDIRECT(D1883 &amp; 24)))</f>
        <v/>
      </c>
      <c r="F1883" s="5" t="str">
        <f t="shared" si="60"/>
        <v/>
      </c>
      <c r="G1883" s="5" t="str">
        <f>IF(F1883="", "", IF(B1883&lt;&gt;"", MATCH(B1883, params!$B$2:$R$2, 0), G1882))</f>
        <v/>
      </c>
      <c r="H1883" s="5" t="str">
        <f t="shared" ca="1" si="61"/>
        <v/>
      </c>
      <c r="M1883" s="2"/>
    </row>
    <row r="1884" spans="2:13" ht="15.6" x14ac:dyDescent="0.3">
      <c r="B1884" s="5" t="str">
        <f>IF(COUNTIF(data_val!$E$3:$E$5, sample_log!$E1884), sample_log!$C1884 &amp; "_" &amp; sample_log!$D1884, "")</f>
        <v/>
      </c>
      <c r="C1884" s="5" t="str">
        <f>IF(B1884="", IF(F1884="", "", C1883), IF(sample_log!E1884="Triennial SASS", "tri_params", "params"))</f>
        <v/>
      </c>
      <c r="D1884" s="5" t="str">
        <f>IF(B1884="", "", C1884 &amp; "!" &amp; CHAR(65+MATCH(B1884, params!$B$2:$R$2, 0)))</f>
        <v/>
      </c>
      <c r="E1884" s="5" t="str">
        <f ca="1">IF(B1884="", "", COUNTA(INDIRECT(D1884 &amp; 3):INDIRECT(D1884 &amp; 24)))</f>
        <v/>
      </c>
      <c r="F1884" s="5" t="str">
        <f t="shared" si="60"/>
        <v/>
      </c>
      <c r="G1884" s="5" t="str">
        <f>IF(F1884="", "", IF(B1884&lt;&gt;"", MATCH(B1884, params!$B$2:$R$2, 0), G1883))</f>
        <v/>
      </c>
      <c r="H1884" s="5" t="str">
        <f t="shared" ca="1" si="61"/>
        <v/>
      </c>
      <c r="M1884" s="2"/>
    </row>
    <row r="1885" spans="2:13" ht="15.6" x14ac:dyDescent="0.3">
      <c r="B1885" s="5" t="str">
        <f>IF(COUNTIF(data_val!$E$3:$E$5, sample_log!$E1885), sample_log!$C1885 &amp; "_" &amp; sample_log!$D1885, "")</f>
        <v/>
      </c>
      <c r="C1885" s="5" t="str">
        <f>IF(B1885="", IF(F1885="", "", C1884), IF(sample_log!E1885="Triennial SASS", "tri_params", "params"))</f>
        <v/>
      </c>
      <c r="D1885" s="5" t="str">
        <f>IF(B1885="", "", C1885 &amp; "!" &amp; CHAR(65+MATCH(B1885, params!$B$2:$R$2, 0)))</f>
        <v/>
      </c>
      <c r="E1885" s="5" t="str">
        <f ca="1">IF(B1885="", "", COUNTA(INDIRECT(D1885 &amp; 3):INDIRECT(D1885 &amp; 24)))</f>
        <v/>
      </c>
      <c r="F1885" s="5" t="str">
        <f t="shared" si="60"/>
        <v/>
      </c>
      <c r="G1885" s="5" t="str">
        <f>IF(F1885="", "", IF(B1885&lt;&gt;"", MATCH(B1885, params!$B$2:$R$2, 0), G1884))</f>
        <v/>
      </c>
      <c r="H1885" s="5" t="str">
        <f t="shared" ca="1" si="61"/>
        <v/>
      </c>
      <c r="M1885" s="2"/>
    </row>
    <row r="1886" spans="2:13" ht="15.6" x14ac:dyDescent="0.3">
      <c r="B1886" s="5" t="str">
        <f>IF(COUNTIF(data_val!$E$3:$E$5, sample_log!$E1886), sample_log!$C1886 &amp; "_" &amp; sample_log!$D1886, "")</f>
        <v/>
      </c>
      <c r="C1886" s="5" t="str">
        <f>IF(B1886="", IF(F1886="", "", C1885), IF(sample_log!E1886="Triennial SASS", "tri_params", "params"))</f>
        <v/>
      </c>
      <c r="D1886" s="5" t="str">
        <f>IF(B1886="", "", C1886 &amp; "!" &amp; CHAR(65+MATCH(B1886, params!$B$2:$R$2, 0)))</f>
        <v/>
      </c>
      <c r="E1886" s="5" t="str">
        <f ca="1">IF(B1886="", "", COUNTA(INDIRECT(D1886 &amp; 3):INDIRECT(D1886 &amp; 24)))</f>
        <v/>
      </c>
      <c r="F1886" s="5" t="str">
        <f t="shared" si="60"/>
        <v/>
      </c>
      <c r="G1886" s="5" t="str">
        <f>IF(F1886="", "", IF(B1886&lt;&gt;"", MATCH(B1886, params!$B$2:$R$2, 0), G1885))</f>
        <v/>
      </c>
      <c r="H1886" s="5" t="str">
        <f t="shared" ca="1" si="61"/>
        <v/>
      </c>
      <c r="M1886" s="2"/>
    </row>
    <row r="1887" spans="2:13" ht="15.6" x14ac:dyDescent="0.3">
      <c r="B1887" s="5" t="str">
        <f>IF(COUNTIF(data_val!$E$3:$E$5, sample_log!$E1887), sample_log!$C1887 &amp; "_" &amp; sample_log!$D1887, "")</f>
        <v/>
      </c>
      <c r="C1887" s="5" t="str">
        <f>IF(B1887="", IF(F1887="", "", C1886), IF(sample_log!E1887="Triennial SASS", "tri_params", "params"))</f>
        <v/>
      </c>
      <c r="D1887" s="5" t="str">
        <f>IF(B1887="", "", C1887 &amp; "!" &amp; CHAR(65+MATCH(B1887, params!$B$2:$R$2, 0)))</f>
        <v/>
      </c>
      <c r="E1887" s="5" t="str">
        <f ca="1">IF(B1887="", "", COUNTA(INDIRECT(D1887 &amp; 3):INDIRECT(D1887 &amp; 24)))</f>
        <v/>
      </c>
      <c r="F1887" s="5" t="str">
        <f t="shared" si="60"/>
        <v/>
      </c>
      <c r="G1887" s="5" t="str">
        <f>IF(F1887="", "", IF(B1887&lt;&gt;"", MATCH(B1887, params!$B$2:$R$2, 0), G1886))</f>
        <v/>
      </c>
      <c r="H1887" s="5" t="str">
        <f t="shared" ca="1" si="61"/>
        <v/>
      </c>
      <c r="M1887" s="2"/>
    </row>
    <row r="1888" spans="2:13" ht="15.6" x14ac:dyDescent="0.3">
      <c r="B1888" s="5" t="str">
        <f>IF(COUNTIF(data_val!$E$3:$E$5, sample_log!$E1888), sample_log!$C1888 &amp; "_" &amp; sample_log!$D1888, "")</f>
        <v/>
      </c>
      <c r="C1888" s="5" t="str">
        <f>IF(B1888="", IF(F1888="", "", C1887), IF(sample_log!E1888="Triennial SASS", "tri_params", "params"))</f>
        <v/>
      </c>
      <c r="D1888" s="5" t="str">
        <f>IF(B1888="", "", C1888 &amp; "!" &amp; CHAR(65+MATCH(B1888, params!$B$2:$R$2, 0)))</f>
        <v/>
      </c>
      <c r="E1888" s="5" t="str">
        <f ca="1">IF(B1888="", "", COUNTA(INDIRECT(D1888 &amp; 3):INDIRECT(D1888 &amp; 24)))</f>
        <v/>
      </c>
      <c r="F1888" s="5" t="str">
        <f t="shared" si="60"/>
        <v/>
      </c>
      <c r="G1888" s="5" t="str">
        <f>IF(F1888="", "", IF(B1888&lt;&gt;"", MATCH(B1888, params!$B$2:$R$2, 0), G1887))</f>
        <v/>
      </c>
      <c r="H1888" s="5" t="str">
        <f t="shared" ca="1" si="61"/>
        <v/>
      </c>
      <c r="M1888" s="2"/>
    </row>
    <row r="1889" spans="2:13" ht="15.6" x14ac:dyDescent="0.3">
      <c r="B1889" s="5" t="str">
        <f>IF(COUNTIF(data_val!$E$3:$E$5, sample_log!$E1889), sample_log!$C1889 &amp; "_" &amp; sample_log!$D1889, "")</f>
        <v/>
      </c>
      <c r="C1889" s="5" t="str">
        <f>IF(B1889="", IF(F1889="", "", C1888), IF(sample_log!E1889="Triennial SASS", "tri_params", "params"))</f>
        <v/>
      </c>
      <c r="D1889" s="5" t="str">
        <f>IF(B1889="", "", C1889 &amp; "!" &amp; CHAR(65+MATCH(B1889, params!$B$2:$R$2, 0)))</f>
        <v/>
      </c>
      <c r="E1889" s="5" t="str">
        <f ca="1">IF(B1889="", "", COUNTA(INDIRECT(D1889 &amp; 3):INDIRECT(D1889 &amp; 24)))</f>
        <v/>
      </c>
      <c r="F1889" s="5" t="str">
        <f t="shared" si="60"/>
        <v/>
      </c>
      <c r="G1889" s="5" t="str">
        <f>IF(F1889="", "", IF(B1889&lt;&gt;"", MATCH(B1889, params!$B$2:$R$2, 0), G1888))</f>
        <v/>
      </c>
      <c r="H1889" s="5" t="str">
        <f t="shared" ca="1" si="61"/>
        <v/>
      </c>
      <c r="M1889" s="2"/>
    </row>
    <row r="1890" spans="2:13" ht="15.6" x14ac:dyDescent="0.3">
      <c r="B1890" s="5" t="str">
        <f>IF(COUNTIF(data_val!$E$3:$E$5, sample_log!$E1890), sample_log!$C1890 &amp; "_" &amp; sample_log!$D1890, "")</f>
        <v/>
      </c>
      <c r="C1890" s="5" t="str">
        <f>IF(B1890="", IF(F1890="", "", C1889), IF(sample_log!E1890="Triennial SASS", "tri_params", "params"))</f>
        <v/>
      </c>
      <c r="D1890" s="5" t="str">
        <f>IF(B1890="", "", C1890 &amp; "!" &amp; CHAR(65+MATCH(B1890, params!$B$2:$R$2, 0)))</f>
        <v/>
      </c>
      <c r="E1890" s="5" t="str">
        <f ca="1">IF(B1890="", "", COUNTA(INDIRECT(D1890 &amp; 3):INDIRECT(D1890 &amp; 24)))</f>
        <v/>
      </c>
      <c r="F1890" s="5" t="str">
        <f t="shared" si="60"/>
        <v/>
      </c>
      <c r="G1890" s="5" t="str">
        <f>IF(F1890="", "", IF(B1890&lt;&gt;"", MATCH(B1890, params!$B$2:$R$2, 0), G1889))</f>
        <v/>
      </c>
      <c r="H1890" s="5" t="str">
        <f t="shared" ca="1" si="61"/>
        <v/>
      </c>
      <c r="M1890" s="2"/>
    </row>
    <row r="1891" spans="2:13" ht="15.6" x14ac:dyDescent="0.3">
      <c r="B1891" s="5" t="str">
        <f>IF(COUNTIF(data_val!$E$3:$E$5, sample_log!$E1891), sample_log!$C1891 &amp; "_" &amp; sample_log!$D1891, "")</f>
        <v/>
      </c>
      <c r="C1891" s="5" t="str">
        <f>IF(B1891="", IF(F1891="", "", C1890), IF(sample_log!E1891="Triennial SASS", "tri_params", "params"))</f>
        <v/>
      </c>
      <c r="D1891" s="5" t="str">
        <f>IF(B1891="", "", C1891 &amp; "!" &amp; CHAR(65+MATCH(B1891, params!$B$2:$R$2, 0)))</f>
        <v/>
      </c>
      <c r="E1891" s="5" t="str">
        <f ca="1">IF(B1891="", "", COUNTA(INDIRECT(D1891 &amp; 3):INDIRECT(D1891 &amp; 24)))</f>
        <v/>
      </c>
      <c r="F1891" s="5" t="str">
        <f t="shared" si="60"/>
        <v/>
      </c>
      <c r="G1891" s="5" t="str">
        <f>IF(F1891="", "", IF(B1891&lt;&gt;"", MATCH(B1891, params!$B$2:$R$2, 0), G1890))</f>
        <v/>
      </c>
      <c r="H1891" s="5" t="str">
        <f t="shared" ca="1" si="61"/>
        <v/>
      </c>
      <c r="M1891" s="2"/>
    </row>
    <row r="1892" spans="2:13" ht="15.6" x14ac:dyDescent="0.3">
      <c r="B1892" s="5" t="str">
        <f>IF(COUNTIF(data_val!$E$3:$E$5, sample_log!$E1892), sample_log!$C1892 &amp; "_" &amp; sample_log!$D1892, "")</f>
        <v/>
      </c>
      <c r="C1892" s="5" t="str">
        <f>IF(B1892="", IF(F1892="", "", C1891), IF(sample_log!E1892="Triennial SASS", "tri_params", "params"))</f>
        <v/>
      </c>
      <c r="D1892" s="5" t="str">
        <f>IF(B1892="", "", C1892 &amp; "!" &amp; CHAR(65+MATCH(B1892, params!$B$2:$R$2, 0)))</f>
        <v/>
      </c>
      <c r="E1892" s="5" t="str">
        <f ca="1">IF(B1892="", "", COUNTA(INDIRECT(D1892 &amp; 3):INDIRECT(D1892 &amp; 24)))</f>
        <v/>
      </c>
      <c r="F1892" s="5" t="str">
        <f t="shared" si="60"/>
        <v/>
      </c>
      <c r="G1892" s="5" t="str">
        <f>IF(F1892="", "", IF(B1892&lt;&gt;"", MATCH(B1892, params!$B$2:$R$2, 0), G1891))</f>
        <v/>
      </c>
      <c r="H1892" s="5" t="str">
        <f t="shared" ca="1" si="61"/>
        <v/>
      </c>
      <c r="M1892" s="2"/>
    </row>
    <row r="1893" spans="2:13" ht="15.6" x14ac:dyDescent="0.3">
      <c r="B1893" s="5" t="str">
        <f>IF(COUNTIF(data_val!$E$3:$E$5, sample_log!$E1893), sample_log!$C1893 &amp; "_" &amp; sample_log!$D1893, "")</f>
        <v/>
      </c>
      <c r="C1893" s="5" t="str">
        <f>IF(B1893="", IF(F1893="", "", C1892), IF(sample_log!E1893="Triennial SASS", "tri_params", "params"))</f>
        <v/>
      </c>
      <c r="D1893" s="5" t="str">
        <f>IF(B1893="", "", C1893 &amp; "!" &amp; CHAR(65+MATCH(B1893, params!$B$2:$R$2, 0)))</f>
        <v/>
      </c>
      <c r="E1893" s="5" t="str">
        <f ca="1">IF(B1893="", "", COUNTA(INDIRECT(D1893 &amp; 3):INDIRECT(D1893 &amp; 24)))</f>
        <v/>
      </c>
      <c r="F1893" s="5" t="str">
        <f t="shared" si="60"/>
        <v/>
      </c>
      <c r="G1893" s="5" t="str">
        <f>IF(F1893="", "", IF(B1893&lt;&gt;"", MATCH(B1893, params!$B$2:$R$2, 0), G1892))</f>
        <v/>
      </c>
      <c r="H1893" s="5" t="str">
        <f t="shared" ca="1" si="61"/>
        <v/>
      </c>
      <c r="M1893" s="2"/>
    </row>
    <row r="1894" spans="2:13" ht="15.6" x14ac:dyDescent="0.3">
      <c r="B1894" s="5" t="str">
        <f>IF(COUNTIF(data_val!$E$3:$E$5, sample_log!$E1894), sample_log!$C1894 &amp; "_" &amp; sample_log!$D1894, "")</f>
        <v/>
      </c>
      <c r="C1894" s="5" t="str">
        <f>IF(B1894="", IF(F1894="", "", C1893), IF(sample_log!E1894="Triennial SASS", "tri_params", "params"))</f>
        <v/>
      </c>
      <c r="D1894" s="5" t="str">
        <f>IF(B1894="", "", C1894 &amp; "!" &amp; CHAR(65+MATCH(B1894, params!$B$2:$R$2, 0)))</f>
        <v/>
      </c>
      <c r="E1894" s="5" t="str">
        <f ca="1">IF(B1894="", "", COUNTA(INDIRECT(D1894 &amp; 3):INDIRECT(D1894 &amp; 24)))</f>
        <v/>
      </c>
      <c r="F1894" s="5" t="str">
        <f t="shared" si="60"/>
        <v/>
      </c>
      <c r="G1894" s="5" t="str">
        <f>IF(F1894="", "", IF(B1894&lt;&gt;"", MATCH(B1894, params!$B$2:$R$2, 0), G1893))</f>
        <v/>
      </c>
      <c r="H1894" s="5" t="str">
        <f t="shared" ca="1" si="61"/>
        <v/>
      </c>
      <c r="M1894" s="2"/>
    </row>
    <row r="1895" spans="2:13" ht="15.6" x14ac:dyDescent="0.3">
      <c r="B1895" s="5" t="str">
        <f>IF(COUNTIF(data_val!$E$3:$E$5, sample_log!$E1895), sample_log!$C1895 &amp; "_" &amp; sample_log!$D1895, "")</f>
        <v/>
      </c>
      <c r="C1895" s="5" t="str">
        <f>IF(B1895="", IF(F1895="", "", C1894), IF(sample_log!E1895="Triennial SASS", "tri_params", "params"))</f>
        <v/>
      </c>
      <c r="D1895" s="5" t="str">
        <f>IF(B1895="", "", C1895 &amp; "!" &amp; CHAR(65+MATCH(B1895, params!$B$2:$R$2, 0)))</f>
        <v/>
      </c>
      <c r="E1895" s="5" t="str">
        <f ca="1">IF(B1895="", "", COUNTA(INDIRECT(D1895 &amp; 3):INDIRECT(D1895 &amp; 24)))</f>
        <v/>
      </c>
      <c r="F1895" s="5" t="str">
        <f t="shared" si="60"/>
        <v/>
      </c>
      <c r="G1895" s="5" t="str">
        <f>IF(F1895="", "", IF(B1895&lt;&gt;"", MATCH(B1895, params!$B$2:$R$2, 0), G1894))</f>
        <v/>
      </c>
      <c r="H1895" s="5" t="str">
        <f t="shared" ca="1" si="61"/>
        <v/>
      </c>
      <c r="M1895" s="2"/>
    </row>
    <row r="1896" spans="2:13" ht="15.6" x14ac:dyDescent="0.3">
      <c r="B1896" s="5" t="str">
        <f>IF(COUNTIF(data_val!$E$3:$E$5, sample_log!$E1896), sample_log!$C1896 &amp; "_" &amp; sample_log!$D1896, "")</f>
        <v/>
      </c>
      <c r="C1896" s="5" t="str">
        <f>IF(B1896="", IF(F1896="", "", C1895), IF(sample_log!E1896="Triennial SASS", "tri_params", "params"))</f>
        <v/>
      </c>
      <c r="D1896" s="5" t="str">
        <f>IF(B1896="", "", C1896 &amp; "!" &amp; CHAR(65+MATCH(B1896, params!$B$2:$R$2, 0)))</f>
        <v/>
      </c>
      <c r="E1896" s="5" t="str">
        <f ca="1">IF(B1896="", "", COUNTA(INDIRECT(D1896 &amp; 3):INDIRECT(D1896 &amp; 24)))</f>
        <v/>
      </c>
      <c r="F1896" s="5" t="str">
        <f t="shared" si="60"/>
        <v/>
      </c>
      <c r="G1896" s="5" t="str">
        <f>IF(F1896="", "", IF(B1896&lt;&gt;"", MATCH(B1896, params!$B$2:$R$2, 0), G1895))</f>
        <v/>
      </c>
      <c r="H1896" s="5" t="str">
        <f t="shared" ca="1" si="61"/>
        <v/>
      </c>
      <c r="M1896" s="2"/>
    </row>
    <row r="1897" spans="2:13" ht="15.6" x14ac:dyDescent="0.3">
      <c r="B1897" s="5" t="str">
        <f>IF(COUNTIF(data_val!$E$3:$E$5, sample_log!$E1897), sample_log!$C1897 &amp; "_" &amp; sample_log!$D1897, "")</f>
        <v/>
      </c>
      <c r="C1897" s="5" t="str">
        <f>IF(B1897="", IF(F1897="", "", C1896), IF(sample_log!E1897="Triennial SASS", "tri_params", "params"))</f>
        <v/>
      </c>
      <c r="D1897" s="5" t="str">
        <f>IF(B1897="", "", C1897 &amp; "!" &amp; CHAR(65+MATCH(B1897, params!$B$2:$R$2, 0)))</f>
        <v/>
      </c>
      <c r="E1897" s="5" t="str">
        <f ca="1">IF(B1897="", "", COUNTA(INDIRECT(D1897 &amp; 3):INDIRECT(D1897 &amp; 24)))</f>
        <v/>
      </c>
      <c r="F1897" s="5" t="str">
        <f t="shared" si="60"/>
        <v/>
      </c>
      <c r="G1897" s="5" t="str">
        <f>IF(F1897="", "", IF(B1897&lt;&gt;"", MATCH(B1897, params!$B$2:$R$2, 0), G1896))</f>
        <v/>
      </c>
      <c r="H1897" s="5" t="str">
        <f t="shared" ca="1" si="61"/>
        <v/>
      </c>
      <c r="M1897" s="2"/>
    </row>
    <row r="1898" spans="2:13" ht="15.6" x14ac:dyDescent="0.3">
      <c r="B1898" s="5" t="str">
        <f>IF(COUNTIF(data_val!$E$3:$E$5, sample_log!$E1898), sample_log!$C1898 &amp; "_" &amp; sample_log!$D1898, "")</f>
        <v/>
      </c>
      <c r="C1898" s="5" t="str">
        <f>IF(B1898="", IF(F1898="", "", C1897), IF(sample_log!E1898="Triennial SASS", "tri_params", "params"))</f>
        <v/>
      </c>
      <c r="D1898" s="5" t="str">
        <f>IF(B1898="", "", C1898 &amp; "!" &amp; CHAR(65+MATCH(B1898, params!$B$2:$R$2, 0)))</f>
        <v/>
      </c>
      <c r="E1898" s="5" t="str">
        <f ca="1">IF(B1898="", "", COUNTA(INDIRECT(D1898 &amp; 3):INDIRECT(D1898 &amp; 24)))</f>
        <v/>
      </c>
      <c r="F1898" s="5" t="str">
        <f t="shared" si="60"/>
        <v/>
      </c>
      <c r="G1898" s="5" t="str">
        <f>IF(F1898="", "", IF(B1898&lt;&gt;"", MATCH(B1898, params!$B$2:$R$2, 0), G1897))</f>
        <v/>
      </c>
      <c r="H1898" s="5" t="str">
        <f t="shared" ca="1" si="61"/>
        <v/>
      </c>
      <c r="M1898" s="2"/>
    </row>
    <row r="1899" spans="2:13" ht="15.6" x14ac:dyDescent="0.3">
      <c r="B1899" s="5" t="str">
        <f>IF(COUNTIF(data_val!$E$3:$E$5, sample_log!$E1899), sample_log!$C1899 &amp; "_" &amp; sample_log!$D1899, "")</f>
        <v/>
      </c>
      <c r="C1899" s="5" t="str">
        <f>IF(B1899="", IF(F1899="", "", C1898), IF(sample_log!E1899="Triennial SASS", "tri_params", "params"))</f>
        <v/>
      </c>
      <c r="D1899" s="5" t="str">
        <f>IF(B1899="", "", C1899 &amp; "!" &amp; CHAR(65+MATCH(B1899, params!$B$2:$R$2, 0)))</f>
        <v/>
      </c>
      <c r="E1899" s="5" t="str">
        <f ca="1">IF(B1899="", "", COUNTA(INDIRECT(D1899 &amp; 3):INDIRECT(D1899 &amp; 24)))</f>
        <v/>
      </c>
      <c r="F1899" s="5" t="str">
        <f t="shared" si="60"/>
        <v/>
      </c>
      <c r="G1899" s="5" t="str">
        <f>IF(F1899="", "", IF(B1899&lt;&gt;"", MATCH(B1899, params!$B$2:$R$2, 0), G1898))</f>
        <v/>
      </c>
      <c r="H1899" s="5" t="str">
        <f t="shared" ca="1" si="61"/>
        <v/>
      </c>
      <c r="M1899" s="2"/>
    </row>
    <row r="1900" spans="2:13" ht="15.6" x14ac:dyDescent="0.3">
      <c r="B1900" s="5" t="str">
        <f>IF(COUNTIF(data_val!$E$3:$E$5, sample_log!$E1900), sample_log!$C1900 &amp; "_" &amp; sample_log!$D1900, "")</f>
        <v/>
      </c>
      <c r="C1900" s="5" t="str">
        <f>IF(B1900="", IF(F1900="", "", C1899), IF(sample_log!E1900="Triennial SASS", "tri_params", "params"))</f>
        <v/>
      </c>
      <c r="D1900" s="5" t="str">
        <f>IF(B1900="", "", C1900 &amp; "!" &amp; CHAR(65+MATCH(B1900, params!$B$2:$R$2, 0)))</f>
        <v/>
      </c>
      <c r="E1900" s="5" t="str">
        <f ca="1">IF(B1900="", "", COUNTA(INDIRECT(D1900 &amp; 3):INDIRECT(D1900 &amp; 24)))</f>
        <v/>
      </c>
      <c r="F1900" s="5" t="str">
        <f t="shared" si="60"/>
        <v/>
      </c>
      <c r="G1900" s="5" t="str">
        <f>IF(F1900="", "", IF(B1900&lt;&gt;"", MATCH(B1900, params!$B$2:$R$2, 0), G1899))</f>
        <v/>
      </c>
      <c r="H1900" s="5" t="str">
        <f t="shared" ca="1" si="61"/>
        <v/>
      </c>
      <c r="M1900" s="2"/>
    </row>
    <row r="1901" spans="2:13" ht="15.6" x14ac:dyDescent="0.3">
      <c r="B1901" s="5" t="str">
        <f>IF(COUNTIF(data_val!$E$3:$E$5, sample_log!$E1901), sample_log!$C1901 &amp; "_" &amp; sample_log!$D1901, "")</f>
        <v/>
      </c>
      <c r="C1901" s="5" t="str">
        <f>IF(B1901="", IF(F1901="", "", C1900), IF(sample_log!E1901="Triennial SASS", "tri_params", "params"))</f>
        <v/>
      </c>
      <c r="D1901" s="5" t="str">
        <f>IF(B1901="", "", C1901 &amp; "!" &amp; CHAR(65+MATCH(B1901, params!$B$2:$R$2, 0)))</f>
        <v/>
      </c>
      <c r="E1901" s="5" t="str">
        <f ca="1">IF(B1901="", "", COUNTA(INDIRECT(D1901 &amp; 3):INDIRECT(D1901 &amp; 24)))</f>
        <v/>
      </c>
      <c r="F1901" s="5" t="str">
        <f t="shared" si="60"/>
        <v/>
      </c>
      <c r="G1901" s="5" t="str">
        <f>IF(F1901="", "", IF(B1901&lt;&gt;"", MATCH(B1901, params!$B$2:$R$2, 0), G1900))</f>
        <v/>
      </c>
      <c r="H1901" s="5" t="str">
        <f t="shared" ca="1" si="61"/>
        <v/>
      </c>
      <c r="M1901" s="2"/>
    </row>
    <row r="1902" spans="2:13" ht="15.6" x14ac:dyDescent="0.3">
      <c r="B1902" s="5" t="str">
        <f>IF(COUNTIF(data_val!$E$3:$E$5, sample_log!$E1902), sample_log!$C1902 &amp; "_" &amp; sample_log!$D1902, "")</f>
        <v/>
      </c>
      <c r="C1902" s="5" t="str">
        <f>IF(B1902="", IF(F1902="", "", C1901), IF(sample_log!E1902="Triennial SASS", "tri_params", "params"))</f>
        <v/>
      </c>
      <c r="D1902" s="5" t="str">
        <f>IF(B1902="", "", C1902 &amp; "!" &amp; CHAR(65+MATCH(B1902, params!$B$2:$R$2, 0)))</f>
        <v/>
      </c>
      <c r="E1902" s="5" t="str">
        <f ca="1">IF(B1902="", "", COUNTA(INDIRECT(D1902 &amp; 3):INDIRECT(D1902 &amp; 24)))</f>
        <v/>
      </c>
      <c r="F1902" s="5" t="str">
        <f t="shared" si="60"/>
        <v/>
      </c>
      <c r="G1902" s="5" t="str">
        <f>IF(F1902="", "", IF(B1902&lt;&gt;"", MATCH(B1902, params!$B$2:$R$2, 0), G1901))</f>
        <v/>
      </c>
      <c r="H1902" s="5" t="str">
        <f t="shared" ca="1" si="61"/>
        <v/>
      </c>
      <c r="M1902" s="2"/>
    </row>
    <row r="1903" spans="2:13" ht="15.6" x14ac:dyDescent="0.3">
      <c r="B1903" s="5" t="str">
        <f>IF(COUNTIF(data_val!$E$3:$E$5, sample_log!$E1903), sample_log!$C1903 &amp; "_" &amp; sample_log!$D1903, "")</f>
        <v/>
      </c>
      <c r="C1903" s="5" t="str">
        <f>IF(B1903="", IF(F1903="", "", C1902), IF(sample_log!E1903="Triennial SASS", "tri_params", "params"))</f>
        <v/>
      </c>
      <c r="D1903" s="5" t="str">
        <f>IF(B1903="", "", C1903 &amp; "!" &amp; CHAR(65+MATCH(B1903, params!$B$2:$R$2, 0)))</f>
        <v/>
      </c>
      <c r="E1903" s="5" t="str">
        <f ca="1">IF(B1903="", "", COUNTA(INDIRECT(D1903 &amp; 3):INDIRECT(D1903 &amp; 24)))</f>
        <v/>
      </c>
      <c r="F1903" s="5" t="str">
        <f t="shared" si="60"/>
        <v/>
      </c>
      <c r="G1903" s="5" t="str">
        <f>IF(F1903="", "", IF(B1903&lt;&gt;"", MATCH(B1903, params!$B$2:$R$2, 0), G1902))</f>
        <v/>
      </c>
      <c r="H1903" s="5" t="str">
        <f t="shared" ca="1" si="61"/>
        <v/>
      </c>
      <c r="M1903" s="2"/>
    </row>
    <row r="1904" spans="2:13" ht="15.6" x14ac:dyDescent="0.3">
      <c r="B1904" s="5" t="str">
        <f>IF(COUNTIF(data_val!$E$3:$E$5, sample_log!$E1904), sample_log!$C1904 &amp; "_" &amp; sample_log!$D1904, "")</f>
        <v/>
      </c>
      <c r="C1904" s="5" t="str">
        <f>IF(B1904="", IF(F1904="", "", C1903), IF(sample_log!E1904="Triennial SASS", "tri_params", "params"))</f>
        <v/>
      </c>
      <c r="D1904" s="5" t="str">
        <f>IF(B1904="", "", C1904 &amp; "!" &amp; CHAR(65+MATCH(B1904, params!$B$2:$R$2, 0)))</f>
        <v/>
      </c>
      <c r="E1904" s="5" t="str">
        <f ca="1">IF(B1904="", "", COUNTA(INDIRECT(D1904 &amp; 3):INDIRECT(D1904 &amp; 24)))</f>
        <v/>
      </c>
      <c r="F1904" s="5" t="str">
        <f t="shared" si="60"/>
        <v/>
      </c>
      <c r="G1904" s="5" t="str">
        <f>IF(F1904="", "", IF(B1904&lt;&gt;"", MATCH(B1904, params!$B$2:$R$2, 0), G1903))</f>
        <v/>
      </c>
      <c r="H1904" s="5" t="str">
        <f t="shared" ca="1" si="61"/>
        <v/>
      </c>
      <c r="M1904" s="2"/>
    </row>
    <row r="1905" spans="2:13" ht="15.6" x14ac:dyDescent="0.3">
      <c r="B1905" s="5" t="str">
        <f>IF(COUNTIF(data_val!$E$3:$E$5, sample_log!$E1905), sample_log!$C1905 &amp; "_" &amp; sample_log!$D1905, "")</f>
        <v/>
      </c>
      <c r="C1905" s="5" t="str">
        <f>IF(B1905="", IF(F1905="", "", C1904), IF(sample_log!E1905="Triennial SASS", "tri_params", "params"))</f>
        <v/>
      </c>
      <c r="D1905" s="5" t="str">
        <f>IF(B1905="", "", C1905 &amp; "!" &amp; CHAR(65+MATCH(B1905, params!$B$2:$R$2, 0)))</f>
        <v/>
      </c>
      <c r="E1905" s="5" t="str">
        <f ca="1">IF(B1905="", "", COUNTA(INDIRECT(D1905 &amp; 3):INDIRECT(D1905 &amp; 24)))</f>
        <v/>
      </c>
      <c r="F1905" s="5" t="str">
        <f t="shared" si="60"/>
        <v/>
      </c>
      <c r="G1905" s="5" t="str">
        <f>IF(F1905="", "", IF(B1905&lt;&gt;"", MATCH(B1905, params!$B$2:$R$2, 0), G1904))</f>
        <v/>
      </c>
      <c r="H1905" s="5" t="str">
        <f t="shared" ca="1" si="61"/>
        <v/>
      </c>
      <c r="M1905" s="2"/>
    </row>
    <row r="1906" spans="2:13" ht="15.6" x14ac:dyDescent="0.3">
      <c r="B1906" s="5" t="str">
        <f>IF(COUNTIF(data_val!$E$3:$E$5, sample_log!$E1906), sample_log!$C1906 &amp; "_" &amp; sample_log!$D1906, "")</f>
        <v/>
      </c>
      <c r="C1906" s="5" t="str">
        <f>IF(B1906="", IF(F1906="", "", C1905), IF(sample_log!E1906="Triennial SASS", "tri_params", "params"))</f>
        <v/>
      </c>
      <c r="D1906" s="5" t="str">
        <f>IF(B1906="", "", C1906 &amp; "!" &amp; CHAR(65+MATCH(B1906, params!$B$2:$R$2, 0)))</f>
        <v/>
      </c>
      <c r="E1906" s="5" t="str">
        <f ca="1">IF(B1906="", "", COUNTA(INDIRECT(D1906 &amp; 3):INDIRECT(D1906 &amp; 24)))</f>
        <v/>
      </c>
      <c r="F1906" s="5" t="str">
        <f t="shared" si="60"/>
        <v/>
      </c>
      <c r="G1906" s="5" t="str">
        <f>IF(F1906="", "", IF(B1906&lt;&gt;"", MATCH(B1906, params!$B$2:$R$2, 0), G1905))</f>
        <v/>
      </c>
      <c r="H1906" s="5" t="str">
        <f t="shared" ca="1" si="61"/>
        <v/>
      </c>
      <c r="M1906" s="2"/>
    </row>
    <row r="1907" spans="2:13" ht="15.6" x14ac:dyDescent="0.3">
      <c r="B1907" s="5" t="str">
        <f>IF(COUNTIF(data_val!$E$3:$E$5, sample_log!$E1907), sample_log!$C1907 &amp; "_" &amp; sample_log!$D1907, "")</f>
        <v/>
      </c>
      <c r="C1907" s="5" t="str">
        <f>IF(B1907="", IF(F1907="", "", C1906), IF(sample_log!E1907="Triennial SASS", "tri_params", "params"))</f>
        <v/>
      </c>
      <c r="D1907" s="5" t="str">
        <f>IF(B1907="", "", C1907 &amp; "!" &amp; CHAR(65+MATCH(B1907, params!$B$2:$R$2, 0)))</f>
        <v/>
      </c>
      <c r="E1907" s="5" t="str">
        <f ca="1">IF(B1907="", "", COUNTA(INDIRECT(D1907 &amp; 3):INDIRECT(D1907 &amp; 24)))</f>
        <v/>
      </c>
      <c r="F1907" s="5" t="str">
        <f t="shared" si="60"/>
        <v/>
      </c>
      <c r="G1907" s="5" t="str">
        <f>IF(F1907="", "", IF(B1907&lt;&gt;"", MATCH(B1907, params!$B$2:$R$2, 0), G1906))</f>
        <v/>
      </c>
      <c r="H1907" s="5" t="str">
        <f t="shared" ca="1" si="61"/>
        <v/>
      </c>
      <c r="M1907" s="2"/>
    </row>
    <row r="1908" spans="2:13" ht="15.6" x14ac:dyDescent="0.3">
      <c r="B1908" s="5" t="str">
        <f>IF(COUNTIF(data_val!$E$3:$E$5, sample_log!$E1908), sample_log!$C1908 &amp; "_" &amp; sample_log!$D1908, "")</f>
        <v/>
      </c>
      <c r="C1908" s="5" t="str">
        <f>IF(B1908="", IF(F1908="", "", C1907), IF(sample_log!E1908="Triennial SASS", "tri_params", "params"))</f>
        <v/>
      </c>
      <c r="D1908" s="5" t="str">
        <f>IF(B1908="", "", C1908 &amp; "!" &amp; CHAR(65+MATCH(B1908, params!$B$2:$R$2, 0)))</f>
        <v/>
      </c>
      <c r="E1908" s="5" t="str">
        <f ca="1">IF(B1908="", "", COUNTA(INDIRECT(D1908 &amp; 3):INDIRECT(D1908 &amp; 24)))</f>
        <v/>
      </c>
      <c r="F1908" s="5" t="str">
        <f t="shared" si="60"/>
        <v/>
      </c>
      <c r="G1908" s="5" t="str">
        <f>IF(F1908="", "", IF(B1908&lt;&gt;"", MATCH(B1908, params!$B$2:$R$2, 0), G1907))</f>
        <v/>
      </c>
      <c r="H1908" s="5" t="str">
        <f t="shared" ca="1" si="61"/>
        <v/>
      </c>
      <c r="M1908" s="2"/>
    </row>
    <row r="1909" spans="2:13" ht="15.6" x14ac:dyDescent="0.3">
      <c r="B1909" s="5" t="str">
        <f>IF(COUNTIF(data_val!$E$3:$E$5, sample_log!$E1909), sample_log!$C1909 &amp; "_" &amp; sample_log!$D1909, "")</f>
        <v/>
      </c>
      <c r="C1909" s="5" t="str">
        <f>IF(B1909="", IF(F1909="", "", C1908), IF(sample_log!E1909="Triennial SASS", "tri_params", "params"))</f>
        <v/>
      </c>
      <c r="D1909" s="5" t="str">
        <f>IF(B1909="", "", C1909 &amp; "!" &amp; CHAR(65+MATCH(B1909, params!$B$2:$R$2, 0)))</f>
        <v/>
      </c>
      <c r="E1909" s="5" t="str">
        <f ca="1">IF(B1909="", "", COUNTA(INDIRECT(D1909 &amp; 3):INDIRECT(D1909 &amp; 24)))</f>
        <v/>
      </c>
      <c r="F1909" s="5" t="str">
        <f t="shared" si="60"/>
        <v/>
      </c>
      <c r="G1909" s="5" t="str">
        <f>IF(F1909="", "", IF(B1909&lt;&gt;"", MATCH(B1909, params!$B$2:$R$2, 0), G1908))</f>
        <v/>
      </c>
      <c r="H1909" s="5" t="str">
        <f t="shared" ca="1" si="61"/>
        <v/>
      </c>
      <c r="M1909" s="2"/>
    </row>
    <row r="1910" spans="2:13" ht="15.6" x14ac:dyDescent="0.3">
      <c r="B1910" s="5" t="str">
        <f>IF(COUNTIF(data_val!$E$3:$E$5, sample_log!$E1910), sample_log!$C1910 &amp; "_" &amp; sample_log!$D1910, "")</f>
        <v/>
      </c>
      <c r="C1910" s="5" t="str">
        <f>IF(B1910="", IF(F1910="", "", C1909), IF(sample_log!E1910="Triennial SASS", "tri_params", "params"))</f>
        <v/>
      </c>
      <c r="D1910" s="5" t="str">
        <f>IF(B1910="", "", C1910 &amp; "!" &amp; CHAR(65+MATCH(B1910, params!$B$2:$R$2, 0)))</f>
        <v/>
      </c>
      <c r="E1910" s="5" t="str">
        <f ca="1">IF(B1910="", "", COUNTA(INDIRECT(D1910 &amp; 3):INDIRECT(D1910 &amp; 24)))</f>
        <v/>
      </c>
      <c r="F1910" s="5" t="str">
        <f t="shared" si="60"/>
        <v/>
      </c>
      <c r="G1910" s="5" t="str">
        <f>IF(F1910="", "", IF(B1910&lt;&gt;"", MATCH(B1910, params!$B$2:$R$2, 0), G1909))</f>
        <v/>
      </c>
      <c r="H1910" s="5" t="str">
        <f t="shared" ca="1" si="61"/>
        <v/>
      </c>
      <c r="M1910" s="2"/>
    </row>
    <row r="1911" spans="2:13" ht="15.6" x14ac:dyDescent="0.3">
      <c r="B1911" s="5" t="str">
        <f>IF(COUNTIF(data_val!$E$3:$E$5, sample_log!$E1911), sample_log!$C1911 &amp; "_" &amp; sample_log!$D1911, "")</f>
        <v/>
      </c>
      <c r="C1911" s="5" t="str">
        <f>IF(B1911="", IF(F1911="", "", C1910), IF(sample_log!E1911="Triennial SASS", "tri_params", "params"))</f>
        <v/>
      </c>
      <c r="D1911" s="5" t="str">
        <f>IF(B1911="", "", C1911 &amp; "!" &amp; CHAR(65+MATCH(B1911, params!$B$2:$R$2, 0)))</f>
        <v/>
      </c>
      <c r="E1911" s="5" t="str">
        <f ca="1">IF(B1911="", "", COUNTA(INDIRECT(D1911 &amp; 3):INDIRECT(D1911 &amp; 24)))</f>
        <v/>
      </c>
      <c r="F1911" s="5" t="str">
        <f t="shared" si="60"/>
        <v/>
      </c>
      <c r="G1911" s="5" t="str">
        <f>IF(F1911="", "", IF(B1911&lt;&gt;"", MATCH(B1911, params!$B$2:$R$2, 0), G1910))</f>
        <v/>
      </c>
      <c r="H1911" s="5" t="str">
        <f t="shared" ca="1" si="61"/>
        <v/>
      </c>
      <c r="M1911" s="2"/>
    </row>
    <row r="1912" spans="2:13" ht="15.6" x14ac:dyDescent="0.3">
      <c r="B1912" s="5" t="str">
        <f>IF(COUNTIF(data_val!$E$3:$E$5, sample_log!$E1912), sample_log!$C1912 &amp; "_" &amp; sample_log!$D1912, "")</f>
        <v/>
      </c>
      <c r="C1912" s="5" t="str">
        <f>IF(B1912="", IF(F1912="", "", C1911), IF(sample_log!E1912="Triennial SASS", "tri_params", "params"))</f>
        <v/>
      </c>
      <c r="D1912" s="5" t="str">
        <f>IF(B1912="", "", C1912 &amp; "!" &amp; CHAR(65+MATCH(B1912, params!$B$2:$R$2, 0)))</f>
        <v/>
      </c>
      <c r="E1912" s="5" t="str">
        <f ca="1">IF(B1912="", "", COUNTA(INDIRECT(D1912 &amp; 3):INDIRECT(D1912 &amp; 24)))</f>
        <v/>
      </c>
      <c r="F1912" s="5" t="str">
        <f t="shared" si="60"/>
        <v/>
      </c>
      <c r="G1912" s="5" t="str">
        <f>IF(F1912="", "", IF(B1912&lt;&gt;"", MATCH(B1912, params!$B$2:$R$2, 0), G1911))</f>
        <v/>
      </c>
      <c r="H1912" s="5" t="str">
        <f t="shared" ca="1" si="61"/>
        <v/>
      </c>
      <c r="M1912" s="2"/>
    </row>
    <row r="1913" spans="2:13" ht="15.6" x14ac:dyDescent="0.3">
      <c r="B1913" s="5" t="str">
        <f>IF(COUNTIF(data_val!$E$3:$E$5, sample_log!$E1913), sample_log!$C1913 &amp; "_" &amp; sample_log!$D1913, "")</f>
        <v/>
      </c>
      <c r="C1913" s="5" t="str">
        <f>IF(B1913="", IF(F1913="", "", C1912), IF(sample_log!E1913="Triennial SASS", "tri_params", "params"))</f>
        <v/>
      </c>
      <c r="D1913" s="5" t="str">
        <f>IF(B1913="", "", C1913 &amp; "!" &amp; CHAR(65+MATCH(B1913, params!$B$2:$R$2, 0)))</f>
        <v/>
      </c>
      <c r="E1913" s="5" t="str">
        <f ca="1">IF(B1913="", "", COUNTA(INDIRECT(D1913 &amp; 3):INDIRECT(D1913 &amp; 24)))</f>
        <v/>
      </c>
      <c r="F1913" s="5" t="str">
        <f t="shared" si="60"/>
        <v/>
      </c>
      <c r="G1913" s="5" t="str">
        <f>IF(F1913="", "", IF(B1913&lt;&gt;"", MATCH(B1913, params!$B$2:$R$2, 0), G1912))</f>
        <v/>
      </c>
      <c r="H1913" s="5" t="str">
        <f t="shared" ca="1" si="61"/>
        <v/>
      </c>
      <c r="M1913" s="2"/>
    </row>
    <row r="1914" spans="2:13" ht="15.6" x14ac:dyDescent="0.3">
      <c r="B1914" s="5" t="str">
        <f>IF(COUNTIF(data_val!$E$3:$E$5, sample_log!$E1914), sample_log!$C1914 &amp; "_" &amp; sample_log!$D1914, "")</f>
        <v/>
      </c>
      <c r="C1914" s="5" t="str">
        <f>IF(B1914="", IF(F1914="", "", C1913), IF(sample_log!E1914="Triennial SASS", "tri_params", "params"))</f>
        <v/>
      </c>
      <c r="D1914" s="5" t="str">
        <f>IF(B1914="", "", C1914 &amp; "!" &amp; CHAR(65+MATCH(B1914, params!$B$2:$R$2, 0)))</f>
        <v/>
      </c>
      <c r="E1914" s="5" t="str">
        <f ca="1">IF(B1914="", "", COUNTA(INDIRECT(D1914 &amp; 3):INDIRECT(D1914 &amp; 24)))</f>
        <v/>
      </c>
      <c r="F1914" s="5" t="str">
        <f t="shared" si="60"/>
        <v/>
      </c>
      <c r="G1914" s="5" t="str">
        <f>IF(F1914="", "", IF(B1914&lt;&gt;"", MATCH(B1914, params!$B$2:$R$2, 0), G1913))</f>
        <v/>
      </c>
      <c r="H1914" s="5" t="str">
        <f t="shared" ca="1" si="61"/>
        <v/>
      </c>
      <c r="M1914" s="2"/>
    </row>
    <row r="1915" spans="2:13" ht="15.6" x14ac:dyDescent="0.3">
      <c r="B1915" s="5" t="str">
        <f>IF(COUNTIF(data_val!$E$3:$E$5, sample_log!$E1915), sample_log!$C1915 &amp; "_" &amp; sample_log!$D1915, "")</f>
        <v/>
      </c>
      <c r="C1915" s="5" t="str">
        <f>IF(B1915="", IF(F1915="", "", C1914), IF(sample_log!E1915="Triennial SASS", "tri_params", "params"))</f>
        <v/>
      </c>
      <c r="D1915" s="5" t="str">
        <f>IF(B1915="", "", C1915 &amp; "!" &amp; CHAR(65+MATCH(B1915, params!$B$2:$R$2, 0)))</f>
        <v/>
      </c>
      <c r="E1915" s="5" t="str">
        <f ca="1">IF(B1915="", "", COUNTA(INDIRECT(D1915 &amp; 3):INDIRECT(D1915 &amp; 24)))</f>
        <v/>
      </c>
      <c r="F1915" s="5" t="str">
        <f t="shared" si="60"/>
        <v/>
      </c>
      <c r="G1915" s="5" t="str">
        <f>IF(F1915="", "", IF(B1915&lt;&gt;"", MATCH(B1915, params!$B$2:$R$2, 0), G1914))</f>
        <v/>
      </c>
      <c r="H1915" s="5" t="str">
        <f t="shared" ca="1" si="61"/>
        <v/>
      </c>
      <c r="M1915" s="2"/>
    </row>
    <row r="1916" spans="2:13" ht="15.6" x14ac:dyDescent="0.3">
      <c r="B1916" s="5" t="str">
        <f>IF(COUNTIF(data_val!$E$3:$E$5, sample_log!$E1916), sample_log!$C1916 &amp; "_" &amp; sample_log!$D1916, "")</f>
        <v/>
      </c>
      <c r="C1916" s="5" t="str">
        <f>IF(B1916="", IF(F1916="", "", C1915), IF(sample_log!E1916="Triennial SASS", "tri_params", "params"))</f>
        <v/>
      </c>
      <c r="D1916" s="5" t="str">
        <f>IF(B1916="", "", C1916 &amp; "!" &amp; CHAR(65+MATCH(B1916, params!$B$2:$R$2, 0)))</f>
        <v/>
      </c>
      <c r="E1916" s="5" t="str">
        <f ca="1">IF(B1916="", "", COUNTA(INDIRECT(D1916 &amp; 3):INDIRECT(D1916 &amp; 24)))</f>
        <v/>
      </c>
      <c r="F1916" s="5" t="str">
        <f t="shared" si="60"/>
        <v/>
      </c>
      <c r="G1916" s="5" t="str">
        <f>IF(F1916="", "", IF(B1916&lt;&gt;"", MATCH(B1916, params!$B$2:$R$2, 0), G1915))</f>
        <v/>
      </c>
      <c r="H1916" s="5" t="str">
        <f t="shared" ca="1" si="61"/>
        <v/>
      </c>
      <c r="M1916" s="2"/>
    </row>
    <row r="1917" spans="2:13" ht="15.6" x14ac:dyDescent="0.3">
      <c r="B1917" s="5" t="str">
        <f>IF(COUNTIF(data_val!$E$3:$E$5, sample_log!$E1917), sample_log!$C1917 &amp; "_" &amp; sample_log!$D1917, "")</f>
        <v/>
      </c>
      <c r="C1917" s="5" t="str">
        <f>IF(B1917="", IF(F1917="", "", C1916), IF(sample_log!E1917="Triennial SASS", "tri_params", "params"))</f>
        <v/>
      </c>
      <c r="D1917" s="5" t="str">
        <f>IF(B1917="", "", C1917 &amp; "!" &amp; CHAR(65+MATCH(B1917, params!$B$2:$R$2, 0)))</f>
        <v/>
      </c>
      <c r="E1917" s="5" t="str">
        <f ca="1">IF(B1917="", "", COUNTA(INDIRECT(D1917 &amp; 3):INDIRECT(D1917 &amp; 24)))</f>
        <v/>
      </c>
      <c r="F1917" s="5" t="str">
        <f t="shared" si="60"/>
        <v/>
      </c>
      <c r="G1917" s="5" t="str">
        <f>IF(F1917="", "", IF(B1917&lt;&gt;"", MATCH(B1917, params!$B$2:$R$2, 0), G1916))</f>
        <v/>
      </c>
      <c r="H1917" s="5" t="str">
        <f t="shared" ca="1" si="61"/>
        <v/>
      </c>
      <c r="M1917" s="2"/>
    </row>
    <row r="1918" spans="2:13" ht="15.6" x14ac:dyDescent="0.3">
      <c r="B1918" s="5" t="str">
        <f>IF(COUNTIF(data_val!$E$3:$E$5, sample_log!$E1918), sample_log!$C1918 &amp; "_" &amp; sample_log!$D1918, "")</f>
        <v/>
      </c>
      <c r="C1918" s="5" t="str">
        <f>IF(B1918="", IF(F1918="", "", C1917), IF(sample_log!E1918="Triennial SASS", "tri_params", "params"))</f>
        <v/>
      </c>
      <c r="D1918" s="5" t="str">
        <f>IF(B1918="", "", C1918 &amp; "!" &amp; CHAR(65+MATCH(B1918, params!$B$2:$R$2, 0)))</f>
        <v/>
      </c>
      <c r="E1918" s="5" t="str">
        <f ca="1">IF(B1918="", "", COUNTA(INDIRECT(D1918 &amp; 3):INDIRECT(D1918 &amp; 24)))</f>
        <v/>
      </c>
      <c r="F1918" s="5" t="str">
        <f t="shared" si="60"/>
        <v/>
      </c>
      <c r="G1918" s="5" t="str">
        <f>IF(F1918="", "", IF(B1918&lt;&gt;"", MATCH(B1918, params!$B$2:$R$2, 0), G1917))</f>
        <v/>
      </c>
      <c r="H1918" s="5" t="str">
        <f t="shared" ca="1" si="61"/>
        <v/>
      </c>
      <c r="M1918" s="2"/>
    </row>
    <row r="1919" spans="2:13" ht="15.6" x14ac:dyDescent="0.3">
      <c r="B1919" s="5" t="str">
        <f>IF(COUNTIF(data_val!$E$3:$E$5, sample_log!$E1919), sample_log!$C1919 &amp; "_" &amp; sample_log!$D1919, "")</f>
        <v/>
      </c>
      <c r="C1919" s="5" t="str">
        <f>IF(B1919="", IF(F1919="", "", C1918), IF(sample_log!E1919="Triennial SASS", "tri_params", "params"))</f>
        <v/>
      </c>
      <c r="D1919" s="5" t="str">
        <f>IF(B1919="", "", C1919 &amp; "!" &amp; CHAR(65+MATCH(B1919, params!$B$2:$R$2, 0)))</f>
        <v/>
      </c>
      <c r="E1919" s="5" t="str">
        <f ca="1">IF(B1919="", "", COUNTA(INDIRECT(D1919 &amp; 3):INDIRECT(D1919 &amp; 24)))</f>
        <v/>
      </c>
      <c r="F1919" s="5" t="str">
        <f t="shared" si="60"/>
        <v/>
      </c>
      <c r="G1919" s="5" t="str">
        <f>IF(F1919="", "", IF(B1919&lt;&gt;"", MATCH(B1919, params!$B$2:$R$2, 0), G1918))</f>
        <v/>
      </c>
      <c r="H1919" s="5" t="str">
        <f t="shared" ca="1" si="61"/>
        <v/>
      </c>
      <c r="M1919" s="2"/>
    </row>
    <row r="1920" spans="2:13" ht="15.6" x14ac:dyDescent="0.3">
      <c r="B1920" s="5" t="str">
        <f>IF(COUNTIF(data_val!$E$3:$E$5, sample_log!$E1920), sample_log!$C1920 &amp; "_" &amp; sample_log!$D1920, "")</f>
        <v/>
      </c>
      <c r="C1920" s="5" t="str">
        <f>IF(B1920="", IF(F1920="", "", C1919), IF(sample_log!E1920="Triennial SASS", "tri_params", "params"))</f>
        <v/>
      </c>
      <c r="D1920" s="5" t="str">
        <f>IF(B1920="", "", C1920 &amp; "!" &amp; CHAR(65+MATCH(B1920, params!$B$2:$R$2, 0)))</f>
        <v/>
      </c>
      <c r="E1920" s="5" t="str">
        <f ca="1">IF(B1920="", "", COUNTA(INDIRECT(D1920 &amp; 3):INDIRECT(D1920 &amp; 24)))</f>
        <v/>
      </c>
      <c r="F1920" s="5" t="str">
        <f t="shared" si="60"/>
        <v/>
      </c>
      <c r="G1920" s="5" t="str">
        <f>IF(F1920="", "", IF(B1920&lt;&gt;"", MATCH(B1920, params!$B$2:$R$2, 0), G1919))</f>
        <v/>
      </c>
      <c r="H1920" s="5" t="str">
        <f t="shared" ca="1" si="61"/>
        <v/>
      </c>
      <c r="M1920" s="2"/>
    </row>
    <row r="1921" spans="2:13" ht="15.6" x14ac:dyDescent="0.3">
      <c r="B1921" s="5" t="str">
        <f>IF(COUNTIF(data_val!$E$3:$E$5, sample_log!$E1921), sample_log!$C1921 &amp; "_" &amp; sample_log!$D1921, "")</f>
        <v/>
      </c>
      <c r="C1921" s="5" t="str">
        <f>IF(B1921="", IF(F1921="", "", C1920), IF(sample_log!E1921="Triennial SASS", "tri_params", "params"))</f>
        <v/>
      </c>
      <c r="D1921" s="5" t="str">
        <f>IF(B1921="", "", C1921 &amp; "!" &amp; CHAR(65+MATCH(B1921, params!$B$2:$R$2, 0)))</f>
        <v/>
      </c>
      <c r="E1921" s="5" t="str">
        <f ca="1">IF(B1921="", "", COUNTA(INDIRECT(D1921 &amp; 3):INDIRECT(D1921 &amp; 24)))</f>
        <v/>
      </c>
      <c r="F1921" s="5" t="str">
        <f t="shared" si="60"/>
        <v/>
      </c>
      <c r="G1921" s="5" t="str">
        <f>IF(F1921="", "", IF(B1921&lt;&gt;"", MATCH(B1921, params!$B$2:$R$2, 0), G1920))</f>
        <v/>
      </c>
      <c r="H1921" s="5" t="str">
        <f t="shared" ca="1" si="61"/>
        <v/>
      </c>
      <c r="M1921" s="2"/>
    </row>
    <row r="1922" spans="2:13" ht="15.6" x14ac:dyDescent="0.3">
      <c r="B1922" s="5" t="str">
        <f>IF(COUNTIF(data_val!$E$3:$E$5, sample_log!$E1922), sample_log!$C1922 &amp; "_" &amp; sample_log!$D1922, "")</f>
        <v/>
      </c>
      <c r="C1922" s="5" t="str">
        <f>IF(B1922="", IF(F1922="", "", C1921), IF(sample_log!E1922="Triennial SASS", "tri_params", "params"))</f>
        <v/>
      </c>
      <c r="D1922" s="5" t="str">
        <f>IF(B1922="", "", C1922 &amp; "!" &amp; CHAR(65+MATCH(B1922, params!$B$2:$R$2, 0)))</f>
        <v/>
      </c>
      <c r="E1922" s="5" t="str">
        <f ca="1">IF(B1922="", "", COUNTA(INDIRECT(D1922 &amp; 3):INDIRECT(D1922 &amp; 24)))</f>
        <v/>
      </c>
      <c r="F1922" s="5" t="str">
        <f t="shared" si="60"/>
        <v/>
      </c>
      <c r="G1922" s="5" t="str">
        <f>IF(F1922="", "", IF(B1922&lt;&gt;"", MATCH(B1922, params!$B$2:$R$2, 0), G1921))</f>
        <v/>
      </c>
      <c r="H1922" s="5" t="str">
        <f t="shared" ca="1" si="61"/>
        <v/>
      </c>
      <c r="M1922" s="2"/>
    </row>
    <row r="1923" spans="2:13" ht="15.6" x14ac:dyDescent="0.3">
      <c r="B1923" s="5" t="str">
        <f>IF(COUNTIF(data_val!$E$3:$E$5, sample_log!$E1923), sample_log!$C1923 &amp; "_" &amp; sample_log!$D1923, "")</f>
        <v/>
      </c>
      <c r="C1923" s="5" t="str">
        <f>IF(B1923="", IF(F1923="", "", C1922), IF(sample_log!E1923="Triennial SASS", "tri_params", "params"))</f>
        <v/>
      </c>
      <c r="D1923" s="5" t="str">
        <f>IF(B1923="", "", C1923 &amp; "!" &amp; CHAR(65+MATCH(B1923, params!$B$2:$R$2, 0)))</f>
        <v/>
      </c>
      <c r="E1923" s="5" t="str">
        <f ca="1">IF(B1923="", "", COUNTA(INDIRECT(D1923 &amp; 3):INDIRECT(D1923 &amp; 24)))</f>
        <v/>
      </c>
      <c r="F1923" s="5" t="str">
        <f t="shared" ref="F1923:F1986" si="62">IF(B1923="", IF(NOT(ISNUMBER(F1922)), "", IF(F1922-1&gt;0, F1922-1, "")), E1923)</f>
        <v/>
      </c>
      <c r="G1923" s="5" t="str">
        <f>IF(F1923="", "", IF(B1923&lt;&gt;"", MATCH(B1923, params!$B$2:$R$2, 0), G1922))</f>
        <v/>
      </c>
      <c r="H1923" s="5" t="str">
        <f t="shared" ca="1" si="61"/>
        <v/>
      </c>
      <c r="M1923" s="2"/>
    </row>
    <row r="1924" spans="2:13" ht="15.6" x14ac:dyDescent="0.3">
      <c r="B1924" s="5" t="str">
        <f>IF(COUNTIF(data_val!$E$3:$E$5, sample_log!$E1924), sample_log!$C1924 &amp; "_" &amp; sample_log!$D1924, "")</f>
        <v/>
      </c>
      <c r="C1924" s="5" t="str">
        <f>IF(B1924="", IF(F1924="", "", C1923), IF(sample_log!E1924="Triennial SASS", "tri_params", "params"))</f>
        <v/>
      </c>
      <c r="D1924" s="5" t="str">
        <f>IF(B1924="", "", C1924 &amp; "!" &amp; CHAR(65+MATCH(B1924, params!$B$2:$R$2, 0)))</f>
        <v/>
      </c>
      <c r="E1924" s="5" t="str">
        <f ca="1">IF(B1924="", "", COUNTA(INDIRECT(D1924 &amp; 3):INDIRECT(D1924 &amp; 24)))</f>
        <v/>
      </c>
      <c r="F1924" s="5" t="str">
        <f t="shared" si="62"/>
        <v/>
      </c>
      <c r="G1924" s="5" t="str">
        <f>IF(F1924="", "", IF(B1924&lt;&gt;"", MATCH(B1924, params!$B$2:$R$2, 0), G1923))</f>
        <v/>
      </c>
      <c r="H1924" s="5" t="str">
        <f t="shared" ca="1" si="61"/>
        <v/>
      </c>
      <c r="M1924" s="2"/>
    </row>
    <row r="1925" spans="2:13" ht="15.6" x14ac:dyDescent="0.3">
      <c r="B1925" s="5" t="str">
        <f>IF(COUNTIF(data_val!$E$3:$E$5, sample_log!$E1925), sample_log!$C1925 &amp; "_" &amp; sample_log!$D1925, "")</f>
        <v/>
      </c>
      <c r="C1925" s="5" t="str">
        <f>IF(B1925="", IF(F1925="", "", C1924), IF(sample_log!E1925="Triennial SASS", "tri_params", "params"))</f>
        <v/>
      </c>
      <c r="D1925" s="5" t="str">
        <f>IF(B1925="", "", C1925 &amp; "!" &amp; CHAR(65+MATCH(B1925, params!$B$2:$R$2, 0)))</f>
        <v/>
      </c>
      <c r="E1925" s="5" t="str">
        <f ca="1">IF(B1925="", "", COUNTA(INDIRECT(D1925 &amp; 3):INDIRECT(D1925 &amp; 24)))</f>
        <v/>
      </c>
      <c r="F1925" s="5" t="str">
        <f t="shared" si="62"/>
        <v/>
      </c>
      <c r="G1925" s="5" t="str">
        <f>IF(F1925="", "", IF(B1925&lt;&gt;"", MATCH(B1925, params!$B$2:$R$2, 0), G1924))</f>
        <v/>
      </c>
      <c r="H1925" s="5" t="str">
        <f t="shared" ca="1" si="61"/>
        <v/>
      </c>
      <c r="M1925" s="2"/>
    </row>
    <row r="1926" spans="2:13" ht="15.6" x14ac:dyDescent="0.3">
      <c r="B1926" s="5" t="str">
        <f>IF(COUNTIF(data_val!$E$3:$E$5, sample_log!$E1926), sample_log!$C1926 &amp; "_" &amp; sample_log!$D1926, "")</f>
        <v/>
      </c>
      <c r="C1926" s="5" t="str">
        <f>IF(B1926="", IF(F1926="", "", C1925), IF(sample_log!E1926="Triennial SASS", "tri_params", "params"))</f>
        <v/>
      </c>
      <c r="D1926" s="5" t="str">
        <f>IF(B1926="", "", C1926 &amp; "!" &amp; CHAR(65+MATCH(B1926, params!$B$2:$R$2, 0)))</f>
        <v/>
      </c>
      <c r="E1926" s="5" t="str">
        <f ca="1">IF(B1926="", "", COUNTA(INDIRECT(D1926 &amp; 3):INDIRECT(D1926 &amp; 24)))</f>
        <v/>
      </c>
      <c r="F1926" s="5" t="str">
        <f t="shared" si="62"/>
        <v/>
      </c>
      <c r="G1926" s="5" t="str">
        <f>IF(F1926="", "", IF(B1926&lt;&gt;"", MATCH(B1926, params!$B$2:$R$2, 0), G1925))</f>
        <v/>
      </c>
      <c r="H1926" s="5" t="str">
        <f t="shared" ca="1" si="61"/>
        <v/>
      </c>
      <c r="M1926" s="2"/>
    </row>
    <row r="1927" spans="2:13" ht="15.6" x14ac:dyDescent="0.3">
      <c r="B1927" s="5" t="str">
        <f>IF(COUNTIF(data_val!$E$3:$E$5, sample_log!$E1927), sample_log!$C1927 &amp; "_" &amp; sample_log!$D1927, "")</f>
        <v/>
      </c>
      <c r="C1927" s="5" t="str">
        <f>IF(B1927="", IF(F1927="", "", C1926), IF(sample_log!E1927="Triennial SASS", "tri_params", "params"))</f>
        <v/>
      </c>
      <c r="D1927" s="5" t="str">
        <f>IF(B1927="", "", C1927 &amp; "!" &amp; CHAR(65+MATCH(B1927, params!$B$2:$R$2, 0)))</f>
        <v/>
      </c>
      <c r="E1927" s="5" t="str">
        <f ca="1">IF(B1927="", "", COUNTA(INDIRECT(D1927 &amp; 3):INDIRECT(D1927 &amp; 24)))</f>
        <v/>
      </c>
      <c r="F1927" s="5" t="str">
        <f t="shared" si="62"/>
        <v/>
      </c>
      <c r="G1927" s="5" t="str">
        <f>IF(F1927="", "", IF(B1927&lt;&gt;"", MATCH(B1927, params!$B$2:$R$2, 0), G1926))</f>
        <v/>
      </c>
      <c r="H1927" s="5" t="str">
        <f t="shared" ca="1" si="61"/>
        <v/>
      </c>
      <c r="M1927" s="2"/>
    </row>
    <row r="1928" spans="2:13" ht="15.6" x14ac:dyDescent="0.3">
      <c r="B1928" s="5" t="str">
        <f>IF(COUNTIF(data_val!$E$3:$E$5, sample_log!$E1928), sample_log!$C1928 &amp; "_" &amp; sample_log!$D1928, "")</f>
        <v/>
      </c>
      <c r="C1928" s="5" t="str">
        <f>IF(B1928="", IF(F1928="", "", C1927), IF(sample_log!E1928="Triennial SASS", "tri_params", "params"))</f>
        <v/>
      </c>
      <c r="D1928" s="5" t="str">
        <f>IF(B1928="", "", C1928 &amp; "!" &amp; CHAR(65+MATCH(B1928, params!$B$2:$R$2, 0)))</f>
        <v/>
      </c>
      <c r="E1928" s="5" t="str">
        <f ca="1">IF(B1928="", "", COUNTA(INDIRECT(D1928 &amp; 3):INDIRECT(D1928 &amp; 24)))</f>
        <v/>
      </c>
      <c r="F1928" s="5" t="str">
        <f t="shared" si="62"/>
        <v/>
      </c>
      <c r="G1928" s="5" t="str">
        <f>IF(F1928="", "", IF(B1928&lt;&gt;"", MATCH(B1928, params!$B$2:$R$2, 0), G1927))</f>
        <v/>
      </c>
      <c r="H1928" s="5" t="str">
        <f t="shared" ca="1" si="61"/>
        <v/>
      </c>
      <c r="M1928" s="2"/>
    </row>
    <row r="1929" spans="2:13" ht="15.6" x14ac:dyDescent="0.3">
      <c r="B1929" s="5" t="str">
        <f>IF(COUNTIF(data_val!$E$3:$E$5, sample_log!$E1929), sample_log!$C1929 &amp; "_" &amp; sample_log!$D1929, "")</f>
        <v/>
      </c>
      <c r="C1929" s="5" t="str">
        <f>IF(B1929="", IF(F1929="", "", C1928), IF(sample_log!E1929="Triennial SASS", "tri_params", "params"))</f>
        <v/>
      </c>
      <c r="D1929" s="5" t="str">
        <f>IF(B1929="", "", C1929 &amp; "!" &amp; CHAR(65+MATCH(B1929, params!$B$2:$R$2, 0)))</f>
        <v/>
      </c>
      <c r="E1929" s="5" t="str">
        <f ca="1">IF(B1929="", "", COUNTA(INDIRECT(D1929 &amp; 3):INDIRECT(D1929 &amp; 24)))</f>
        <v/>
      </c>
      <c r="F1929" s="5" t="str">
        <f t="shared" si="62"/>
        <v/>
      </c>
      <c r="G1929" s="5" t="str">
        <f>IF(F1929="", "", IF(B1929&lt;&gt;"", MATCH(B1929, params!$B$2:$R$2, 0), G1928))</f>
        <v/>
      </c>
      <c r="H1929" s="5" t="str">
        <f t="shared" ca="1" si="61"/>
        <v/>
      </c>
      <c r="M1929" s="2"/>
    </row>
    <row r="1930" spans="2:13" ht="15.6" x14ac:dyDescent="0.3">
      <c r="B1930" s="5" t="str">
        <f>IF(COUNTIF(data_val!$E$3:$E$5, sample_log!$E1930), sample_log!$C1930 &amp; "_" &amp; sample_log!$D1930, "")</f>
        <v/>
      </c>
      <c r="C1930" s="5" t="str">
        <f>IF(B1930="", IF(F1930="", "", C1929), IF(sample_log!E1930="Triennial SASS", "tri_params", "params"))</f>
        <v/>
      </c>
      <c r="D1930" s="5" t="str">
        <f>IF(B1930="", "", C1930 &amp; "!" &amp; CHAR(65+MATCH(B1930, params!$B$2:$R$2, 0)))</f>
        <v/>
      </c>
      <c r="E1930" s="5" t="str">
        <f ca="1">IF(B1930="", "", COUNTA(INDIRECT(D1930 &amp; 3):INDIRECT(D1930 &amp; 24)))</f>
        <v/>
      </c>
      <c r="F1930" s="5" t="str">
        <f t="shared" si="62"/>
        <v/>
      </c>
      <c r="G1930" s="5" t="str">
        <f>IF(F1930="", "", IF(B1930&lt;&gt;"", MATCH(B1930, params!$B$2:$R$2, 0), G1929))</f>
        <v/>
      </c>
      <c r="H1930" s="5" t="str">
        <f t="shared" ca="1" si="61"/>
        <v/>
      </c>
      <c r="M1930" s="2"/>
    </row>
    <row r="1931" spans="2:13" ht="15.6" x14ac:dyDescent="0.3">
      <c r="B1931" s="5" t="str">
        <f>IF(COUNTIF(data_val!$E$3:$E$5, sample_log!$E1931), sample_log!$C1931 &amp; "_" &amp; sample_log!$D1931, "")</f>
        <v/>
      </c>
      <c r="C1931" s="5" t="str">
        <f>IF(B1931="", IF(F1931="", "", C1930), IF(sample_log!E1931="Triennial SASS", "tri_params", "params"))</f>
        <v/>
      </c>
      <c r="D1931" s="5" t="str">
        <f>IF(B1931="", "", C1931 &amp; "!" &amp; CHAR(65+MATCH(B1931, params!$B$2:$R$2, 0)))</f>
        <v/>
      </c>
      <c r="E1931" s="5" t="str">
        <f ca="1">IF(B1931="", "", COUNTA(INDIRECT(D1931 &amp; 3):INDIRECT(D1931 &amp; 24)))</f>
        <v/>
      </c>
      <c r="F1931" s="5" t="str">
        <f t="shared" si="62"/>
        <v/>
      </c>
      <c r="G1931" s="5" t="str">
        <f>IF(F1931="", "", IF(B1931&lt;&gt;"", MATCH(B1931, params!$B$2:$R$2, 0), G1930))</f>
        <v/>
      </c>
      <c r="H1931" s="5" t="str">
        <f t="shared" ca="1" si="61"/>
        <v/>
      </c>
      <c r="M1931" s="2"/>
    </row>
    <row r="1932" spans="2:13" ht="15.6" x14ac:dyDescent="0.3">
      <c r="B1932" s="5" t="str">
        <f>IF(COUNTIF(data_val!$E$3:$E$5, sample_log!$E1932), sample_log!$C1932 &amp; "_" &amp; sample_log!$D1932, "")</f>
        <v/>
      </c>
      <c r="C1932" s="5" t="str">
        <f>IF(B1932="", IF(F1932="", "", C1931), IF(sample_log!E1932="Triennial SASS", "tri_params", "params"))</f>
        <v/>
      </c>
      <c r="D1932" s="5" t="str">
        <f>IF(B1932="", "", C1932 &amp; "!" &amp; CHAR(65+MATCH(B1932, params!$B$2:$R$2, 0)))</f>
        <v/>
      </c>
      <c r="E1932" s="5" t="str">
        <f ca="1">IF(B1932="", "", COUNTA(INDIRECT(D1932 &amp; 3):INDIRECT(D1932 &amp; 24)))</f>
        <v/>
      </c>
      <c r="F1932" s="5" t="str">
        <f t="shared" si="62"/>
        <v/>
      </c>
      <c r="G1932" s="5" t="str">
        <f>IF(F1932="", "", IF(B1932&lt;&gt;"", MATCH(B1932, params!$B$2:$R$2, 0), G1931))</f>
        <v/>
      </c>
      <c r="H1932" s="5" t="str">
        <f t="shared" ca="1" si="61"/>
        <v/>
      </c>
      <c r="M1932" s="2"/>
    </row>
    <row r="1933" spans="2:13" ht="15.6" x14ac:dyDescent="0.3">
      <c r="B1933" s="5" t="str">
        <f>IF(COUNTIF(data_val!$E$3:$E$5, sample_log!$E1933), sample_log!$C1933 &amp; "_" &amp; sample_log!$D1933, "")</f>
        <v/>
      </c>
      <c r="C1933" s="5" t="str">
        <f>IF(B1933="", IF(F1933="", "", C1932), IF(sample_log!E1933="Triennial SASS", "tri_params", "params"))</f>
        <v/>
      </c>
      <c r="D1933" s="5" t="str">
        <f>IF(B1933="", "", C1933 &amp; "!" &amp; CHAR(65+MATCH(B1933, params!$B$2:$R$2, 0)))</f>
        <v/>
      </c>
      <c r="E1933" s="5" t="str">
        <f ca="1">IF(B1933="", "", COUNTA(INDIRECT(D1933 &amp; 3):INDIRECT(D1933 &amp; 24)))</f>
        <v/>
      </c>
      <c r="F1933" s="5" t="str">
        <f t="shared" si="62"/>
        <v/>
      </c>
      <c r="G1933" s="5" t="str">
        <f>IF(F1933="", "", IF(B1933&lt;&gt;"", MATCH(B1933, params!$B$2:$R$2, 0), G1932))</f>
        <v/>
      </c>
      <c r="H1933" s="5" t="str">
        <f t="shared" ca="1" si="61"/>
        <v/>
      </c>
      <c r="M1933" s="2"/>
    </row>
    <row r="1934" spans="2:13" ht="15.6" x14ac:dyDescent="0.3">
      <c r="B1934" s="5" t="str">
        <f>IF(COUNTIF(data_val!$E$3:$E$5, sample_log!$E1934), sample_log!$C1934 &amp; "_" &amp; sample_log!$D1934, "")</f>
        <v/>
      </c>
      <c r="C1934" s="5" t="str">
        <f>IF(B1934="", IF(F1934="", "", C1933), IF(sample_log!E1934="Triennial SASS", "tri_params", "params"))</f>
        <v/>
      </c>
      <c r="D1934" s="5" t="str">
        <f>IF(B1934="", "", C1934 &amp; "!" &amp; CHAR(65+MATCH(B1934, params!$B$2:$R$2, 0)))</f>
        <v/>
      </c>
      <c r="E1934" s="5" t="str">
        <f ca="1">IF(B1934="", "", COUNTA(INDIRECT(D1934 &amp; 3):INDIRECT(D1934 &amp; 24)))</f>
        <v/>
      </c>
      <c r="F1934" s="5" t="str">
        <f t="shared" si="62"/>
        <v/>
      </c>
      <c r="G1934" s="5" t="str">
        <f>IF(F1934="", "", IF(B1934&lt;&gt;"", MATCH(B1934, params!$B$2:$R$2, 0), G1933))</f>
        <v/>
      </c>
      <c r="H1934" s="5" t="str">
        <f t="shared" ca="1" si="61"/>
        <v/>
      </c>
      <c r="M1934" s="2"/>
    </row>
    <row r="1935" spans="2:13" ht="15.6" x14ac:dyDescent="0.3">
      <c r="B1935" s="5" t="str">
        <f>IF(COUNTIF(data_val!$E$3:$E$5, sample_log!$E1935), sample_log!$C1935 &amp; "_" &amp; sample_log!$D1935, "")</f>
        <v/>
      </c>
      <c r="C1935" s="5" t="str">
        <f>IF(B1935="", IF(F1935="", "", C1934), IF(sample_log!E1935="Triennial SASS", "tri_params", "params"))</f>
        <v/>
      </c>
      <c r="D1935" s="5" t="str">
        <f>IF(B1935="", "", C1935 &amp; "!" &amp; CHAR(65+MATCH(B1935, params!$B$2:$R$2, 0)))</f>
        <v/>
      </c>
      <c r="E1935" s="5" t="str">
        <f ca="1">IF(B1935="", "", COUNTA(INDIRECT(D1935 &amp; 3):INDIRECT(D1935 &amp; 24)))</f>
        <v/>
      </c>
      <c r="F1935" s="5" t="str">
        <f t="shared" si="62"/>
        <v/>
      </c>
      <c r="G1935" s="5" t="str">
        <f>IF(F1935="", "", IF(B1935&lt;&gt;"", MATCH(B1935, params!$B$2:$R$2, 0), G1934))</f>
        <v/>
      </c>
      <c r="H1935" s="5" t="str">
        <f t="shared" ca="1" si="61"/>
        <v/>
      </c>
      <c r="M1935" s="2"/>
    </row>
    <row r="1936" spans="2:13" ht="15.6" x14ac:dyDescent="0.3">
      <c r="B1936" s="5" t="str">
        <f>IF(COUNTIF(data_val!$E$3:$E$5, sample_log!$E1936), sample_log!$C1936 &amp; "_" &amp; sample_log!$D1936, "")</f>
        <v/>
      </c>
      <c r="C1936" s="5" t="str">
        <f>IF(B1936="", IF(F1936="", "", C1935), IF(sample_log!E1936="Triennial SASS", "tri_params", "params"))</f>
        <v/>
      </c>
      <c r="D1936" s="5" t="str">
        <f>IF(B1936="", "", C1936 &amp; "!" &amp; CHAR(65+MATCH(B1936, params!$B$2:$R$2, 0)))</f>
        <v/>
      </c>
      <c r="E1936" s="5" t="str">
        <f ca="1">IF(B1936="", "", COUNTA(INDIRECT(D1936 &amp; 3):INDIRECT(D1936 &amp; 24)))</f>
        <v/>
      </c>
      <c r="F1936" s="5" t="str">
        <f t="shared" si="62"/>
        <v/>
      </c>
      <c r="G1936" s="5" t="str">
        <f>IF(F1936="", "", IF(B1936&lt;&gt;"", MATCH(B1936, params!$B$2:$R$2, 0), G1935))</f>
        <v/>
      </c>
      <c r="H1936" s="5" t="str">
        <f t="shared" ca="1" si="61"/>
        <v/>
      </c>
      <c r="M1936" s="2"/>
    </row>
    <row r="1937" spans="2:13" ht="15.6" x14ac:dyDescent="0.3">
      <c r="B1937" s="5" t="str">
        <f>IF(COUNTIF(data_val!$E$3:$E$5, sample_log!$E1937), sample_log!$C1937 &amp; "_" &amp; sample_log!$D1937, "")</f>
        <v/>
      </c>
      <c r="C1937" s="5" t="str">
        <f>IF(B1937="", IF(F1937="", "", C1936), IF(sample_log!E1937="Triennial SASS", "tri_params", "params"))</f>
        <v/>
      </c>
      <c r="D1937" s="5" t="str">
        <f>IF(B1937="", "", C1937 &amp; "!" &amp; CHAR(65+MATCH(B1937, params!$B$2:$R$2, 0)))</f>
        <v/>
      </c>
      <c r="E1937" s="5" t="str">
        <f ca="1">IF(B1937="", "", COUNTA(INDIRECT(D1937 &amp; 3):INDIRECT(D1937 &amp; 24)))</f>
        <v/>
      </c>
      <c r="F1937" s="5" t="str">
        <f t="shared" si="62"/>
        <v/>
      </c>
      <c r="G1937" s="5" t="str">
        <f>IF(F1937="", "", IF(B1937&lt;&gt;"", MATCH(B1937, params!$B$2:$R$2, 0), G1936))</f>
        <v/>
      </c>
      <c r="H1937" s="5" t="str">
        <f t="shared" ca="1" si="61"/>
        <v/>
      </c>
      <c r="M1937" s="2"/>
    </row>
    <row r="1938" spans="2:13" ht="15.6" x14ac:dyDescent="0.3">
      <c r="B1938" s="5" t="str">
        <f>IF(COUNTIF(data_val!$E$3:$E$5, sample_log!$E1938), sample_log!$C1938 &amp; "_" &amp; sample_log!$D1938, "")</f>
        <v/>
      </c>
      <c r="C1938" s="5" t="str">
        <f>IF(B1938="", IF(F1938="", "", C1937), IF(sample_log!E1938="Triennial SASS", "tri_params", "params"))</f>
        <v/>
      </c>
      <c r="D1938" s="5" t="str">
        <f>IF(B1938="", "", C1938 &amp; "!" &amp; CHAR(65+MATCH(B1938, params!$B$2:$R$2, 0)))</f>
        <v/>
      </c>
      <c r="E1938" s="5" t="str">
        <f ca="1">IF(B1938="", "", COUNTA(INDIRECT(D1938 &amp; 3):INDIRECT(D1938 &amp; 24)))</f>
        <v/>
      </c>
      <c r="F1938" s="5" t="str">
        <f t="shared" si="62"/>
        <v/>
      </c>
      <c r="G1938" s="5" t="str">
        <f>IF(F1938="", "", IF(B1938&lt;&gt;"", MATCH(B1938, params!$B$2:$R$2, 0), G1937))</f>
        <v/>
      </c>
      <c r="H1938" s="5" t="str">
        <f t="shared" ca="1" si="61"/>
        <v/>
      </c>
      <c r="M1938" s="2"/>
    </row>
    <row r="1939" spans="2:13" ht="15.6" x14ac:dyDescent="0.3">
      <c r="B1939" s="5" t="str">
        <f>IF(COUNTIF(data_val!$E$3:$E$5, sample_log!$E1939), sample_log!$C1939 &amp; "_" &amp; sample_log!$D1939, "")</f>
        <v/>
      </c>
      <c r="C1939" s="5" t="str">
        <f>IF(B1939="", IF(F1939="", "", C1938), IF(sample_log!E1939="Triennial SASS", "tri_params", "params"))</f>
        <v/>
      </c>
      <c r="D1939" s="5" t="str">
        <f>IF(B1939="", "", C1939 &amp; "!" &amp; CHAR(65+MATCH(B1939, params!$B$2:$R$2, 0)))</f>
        <v/>
      </c>
      <c r="E1939" s="5" t="str">
        <f ca="1">IF(B1939="", "", COUNTA(INDIRECT(D1939 &amp; 3):INDIRECT(D1939 &amp; 24)))</f>
        <v/>
      </c>
      <c r="F1939" s="5" t="str">
        <f t="shared" si="62"/>
        <v/>
      </c>
      <c r="G1939" s="5" t="str">
        <f>IF(F1939="", "", IF(B1939&lt;&gt;"", MATCH(B1939, params!$B$2:$R$2, 0), G1938))</f>
        <v/>
      </c>
      <c r="H1939" s="5" t="str">
        <f t="shared" ca="1" si="61"/>
        <v/>
      </c>
      <c r="M1939" s="2"/>
    </row>
    <row r="1940" spans="2:13" ht="15.6" x14ac:dyDescent="0.3">
      <c r="B1940" s="5" t="str">
        <f>IF(COUNTIF(data_val!$E$3:$E$5, sample_log!$E1940), sample_log!$C1940 &amp; "_" &amp; sample_log!$D1940, "")</f>
        <v/>
      </c>
      <c r="C1940" s="5" t="str">
        <f>IF(B1940="", IF(F1940="", "", C1939), IF(sample_log!E1940="Triennial SASS", "tri_params", "params"))</f>
        <v/>
      </c>
      <c r="D1940" s="5" t="str">
        <f>IF(B1940="", "", C1940 &amp; "!" &amp; CHAR(65+MATCH(B1940, params!$B$2:$R$2, 0)))</f>
        <v/>
      </c>
      <c r="E1940" s="5" t="str">
        <f ca="1">IF(B1940="", "", COUNTA(INDIRECT(D1940 &amp; 3):INDIRECT(D1940 &amp; 24)))</f>
        <v/>
      </c>
      <c r="F1940" s="5" t="str">
        <f t="shared" si="62"/>
        <v/>
      </c>
      <c r="G1940" s="5" t="str">
        <f>IF(F1940="", "", IF(B1940&lt;&gt;"", MATCH(B1940, params!$B$2:$R$2, 0), G1939))</f>
        <v/>
      </c>
      <c r="H1940" s="5" t="str">
        <f t="shared" ca="1" si="61"/>
        <v/>
      </c>
      <c r="M1940" s="2"/>
    </row>
    <row r="1941" spans="2:13" ht="15.6" x14ac:dyDescent="0.3">
      <c r="B1941" s="5" t="str">
        <f>IF(COUNTIF(data_val!$E$3:$E$5, sample_log!$E1941), sample_log!$C1941 &amp; "_" &amp; sample_log!$D1941, "")</f>
        <v/>
      </c>
      <c r="C1941" s="5" t="str">
        <f>IF(B1941="", IF(F1941="", "", C1940), IF(sample_log!E1941="Triennial SASS", "tri_params", "params"))</f>
        <v/>
      </c>
      <c r="D1941" s="5" t="str">
        <f>IF(B1941="", "", C1941 &amp; "!" &amp; CHAR(65+MATCH(B1941, params!$B$2:$R$2, 0)))</f>
        <v/>
      </c>
      <c r="E1941" s="5" t="str">
        <f ca="1">IF(B1941="", "", COUNTA(INDIRECT(D1941 &amp; 3):INDIRECT(D1941 &amp; 24)))</f>
        <v/>
      </c>
      <c r="F1941" s="5" t="str">
        <f t="shared" si="62"/>
        <v/>
      </c>
      <c r="G1941" s="5" t="str">
        <f>IF(F1941="", "", IF(B1941&lt;&gt;"", MATCH(B1941, params!$B$2:$R$2, 0), G1940))</f>
        <v/>
      </c>
      <c r="H1941" s="5" t="str">
        <f t="shared" ca="1" si="61"/>
        <v/>
      </c>
      <c r="M1941" s="2"/>
    </row>
    <row r="1942" spans="2:13" ht="15.6" x14ac:dyDescent="0.3">
      <c r="B1942" s="5" t="str">
        <f>IF(COUNTIF(data_val!$E$3:$E$5, sample_log!$E1942), sample_log!$C1942 &amp; "_" &amp; sample_log!$D1942, "")</f>
        <v/>
      </c>
      <c r="C1942" s="5" t="str">
        <f>IF(B1942="", IF(F1942="", "", C1941), IF(sample_log!E1942="Triennial SASS", "tri_params", "params"))</f>
        <v/>
      </c>
      <c r="D1942" s="5" t="str">
        <f>IF(B1942="", "", C1942 &amp; "!" &amp; CHAR(65+MATCH(B1942, params!$B$2:$R$2, 0)))</f>
        <v/>
      </c>
      <c r="E1942" s="5" t="str">
        <f ca="1">IF(B1942="", "", COUNTA(INDIRECT(D1942 &amp; 3):INDIRECT(D1942 &amp; 24)))</f>
        <v/>
      </c>
      <c r="F1942" s="5" t="str">
        <f t="shared" si="62"/>
        <v/>
      </c>
      <c r="G1942" s="5" t="str">
        <f>IF(F1942="", "", IF(B1942&lt;&gt;"", MATCH(B1942, params!$B$2:$R$2, 0), G1941))</f>
        <v/>
      </c>
      <c r="H1942" s="5" t="str">
        <f t="shared" ca="1" si="61"/>
        <v/>
      </c>
      <c r="M1942" s="2"/>
    </row>
    <row r="1943" spans="2:13" ht="15.6" x14ac:dyDescent="0.3">
      <c r="B1943" s="5" t="str">
        <f>IF(COUNTIF(data_val!$E$3:$E$5, sample_log!$E1943), sample_log!$C1943 &amp; "_" &amp; sample_log!$D1943, "")</f>
        <v/>
      </c>
      <c r="C1943" s="5" t="str">
        <f>IF(B1943="", IF(F1943="", "", C1942), IF(sample_log!E1943="Triennial SASS", "tri_params", "params"))</f>
        <v/>
      </c>
      <c r="D1943" s="5" t="str">
        <f>IF(B1943="", "", C1943 &amp; "!" &amp; CHAR(65+MATCH(B1943, params!$B$2:$R$2, 0)))</f>
        <v/>
      </c>
      <c r="E1943" s="5" t="str">
        <f ca="1">IF(B1943="", "", COUNTA(INDIRECT(D1943 &amp; 3):INDIRECT(D1943 &amp; 24)))</f>
        <v/>
      </c>
      <c r="F1943" s="5" t="str">
        <f t="shared" si="62"/>
        <v/>
      </c>
      <c r="G1943" s="5" t="str">
        <f>IF(F1943="", "", IF(B1943&lt;&gt;"", MATCH(B1943, params!$B$2:$R$2, 0), G1942))</f>
        <v/>
      </c>
      <c r="H1943" s="5" t="str">
        <f t="shared" ca="1" si="61"/>
        <v/>
      </c>
      <c r="M1943" s="2"/>
    </row>
    <row r="1944" spans="2:13" ht="15.6" x14ac:dyDescent="0.3">
      <c r="B1944" s="5" t="str">
        <f>IF(COUNTIF(data_val!$E$3:$E$5, sample_log!$E1944), sample_log!$C1944 &amp; "_" &amp; sample_log!$D1944, "")</f>
        <v/>
      </c>
      <c r="C1944" s="5" t="str">
        <f>IF(B1944="", IF(F1944="", "", C1943), IF(sample_log!E1944="Triennial SASS", "tri_params", "params"))</f>
        <v/>
      </c>
      <c r="D1944" s="5" t="str">
        <f>IF(B1944="", "", C1944 &amp; "!" &amp; CHAR(65+MATCH(B1944, params!$B$2:$R$2, 0)))</f>
        <v/>
      </c>
      <c r="E1944" s="5" t="str">
        <f ca="1">IF(B1944="", "", COUNTA(INDIRECT(D1944 &amp; 3):INDIRECT(D1944 &amp; 24)))</f>
        <v/>
      </c>
      <c r="F1944" s="5" t="str">
        <f t="shared" si="62"/>
        <v/>
      </c>
      <c r="G1944" s="5" t="str">
        <f>IF(F1944="", "", IF(B1944&lt;&gt;"", MATCH(B1944, params!$B$2:$R$2, 0), G1943))</f>
        <v/>
      </c>
      <c r="H1944" s="5" t="str">
        <f t="shared" ca="1" si="61"/>
        <v/>
      </c>
      <c r="M1944" s="2"/>
    </row>
    <row r="1945" spans="2:13" ht="15.6" x14ac:dyDescent="0.3">
      <c r="B1945" s="5" t="str">
        <f>IF(COUNTIF(data_val!$E$3:$E$5, sample_log!$E1945), sample_log!$C1945 &amp; "_" &amp; sample_log!$D1945, "")</f>
        <v/>
      </c>
      <c r="C1945" s="5" t="str">
        <f>IF(B1945="", IF(F1945="", "", C1944), IF(sample_log!E1945="Triennial SASS", "tri_params", "params"))</f>
        <v/>
      </c>
      <c r="D1945" s="5" t="str">
        <f>IF(B1945="", "", C1945 &amp; "!" &amp; CHAR(65+MATCH(B1945, params!$B$2:$R$2, 0)))</f>
        <v/>
      </c>
      <c r="E1945" s="5" t="str">
        <f ca="1">IF(B1945="", "", COUNTA(INDIRECT(D1945 &amp; 3):INDIRECT(D1945 &amp; 24)))</f>
        <v/>
      </c>
      <c r="F1945" s="5" t="str">
        <f t="shared" si="62"/>
        <v/>
      </c>
      <c r="G1945" s="5" t="str">
        <f>IF(F1945="", "", IF(B1945&lt;&gt;"", MATCH(B1945, params!$B$2:$R$2, 0), G1944))</f>
        <v/>
      </c>
      <c r="H1945" s="5" t="str">
        <f t="shared" ref="H1945:H1999" ca="1" si="63">IF($F1945="", "", INDEX(INDIRECT("'" &amp; C1945 &amp; "'!$B$3:$R$24"), $F1945, $G1945))</f>
        <v/>
      </c>
      <c r="M1945" s="2"/>
    </row>
    <row r="1946" spans="2:13" ht="15.6" x14ac:dyDescent="0.3">
      <c r="B1946" s="5" t="str">
        <f>IF(COUNTIF(data_val!$E$3:$E$5, sample_log!$E1946), sample_log!$C1946 &amp; "_" &amp; sample_log!$D1946, "")</f>
        <v/>
      </c>
      <c r="C1946" s="5" t="str">
        <f>IF(B1946="", IF(F1946="", "", C1945), IF(sample_log!E1946="Triennial SASS", "tri_params", "params"))</f>
        <v/>
      </c>
      <c r="D1946" s="5" t="str">
        <f>IF(B1946="", "", C1946 &amp; "!" &amp; CHAR(65+MATCH(B1946, params!$B$2:$R$2, 0)))</f>
        <v/>
      </c>
      <c r="E1946" s="5" t="str">
        <f ca="1">IF(B1946="", "", COUNTA(INDIRECT(D1946 &amp; 3):INDIRECT(D1946 &amp; 24)))</f>
        <v/>
      </c>
      <c r="F1946" s="5" t="str">
        <f t="shared" si="62"/>
        <v/>
      </c>
      <c r="G1946" s="5" t="str">
        <f>IF(F1946="", "", IF(B1946&lt;&gt;"", MATCH(B1946, params!$B$2:$R$2, 0), G1945))</f>
        <v/>
      </c>
      <c r="H1946" s="5" t="str">
        <f t="shared" ca="1" si="63"/>
        <v/>
      </c>
      <c r="M1946" s="2"/>
    </row>
    <row r="1947" spans="2:13" ht="15.6" x14ac:dyDescent="0.3">
      <c r="B1947" s="5" t="str">
        <f>IF(COUNTIF(data_val!$E$3:$E$5, sample_log!$E1947), sample_log!$C1947 &amp; "_" &amp; sample_log!$D1947, "")</f>
        <v/>
      </c>
      <c r="C1947" s="5" t="str">
        <f>IF(B1947="", IF(F1947="", "", C1946), IF(sample_log!E1947="Triennial SASS", "tri_params", "params"))</f>
        <v/>
      </c>
      <c r="D1947" s="5" t="str">
        <f>IF(B1947="", "", C1947 &amp; "!" &amp; CHAR(65+MATCH(B1947, params!$B$2:$R$2, 0)))</f>
        <v/>
      </c>
      <c r="E1947" s="5" t="str">
        <f ca="1">IF(B1947="", "", COUNTA(INDIRECT(D1947 &amp; 3):INDIRECT(D1947 &amp; 24)))</f>
        <v/>
      </c>
      <c r="F1947" s="5" t="str">
        <f t="shared" si="62"/>
        <v/>
      </c>
      <c r="G1947" s="5" t="str">
        <f>IF(F1947="", "", IF(B1947&lt;&gt;"", MATCH(B1947, params!$B$2:$R$2, 0), G1946))</f>
        <v/>
      </c>
      <c r="H1947" s="5" t="str">
        <f t="shared" ca="1" si="63"/>
        <v/>
      </c>
      <c r="M1947" s="2"/>
    </row>
    <row r="1948" spans="2:13" ht="15.6" x14ac:dyDescent="0.3">
      <c r="B1948" s="5" t="str">
        <f>IF(COUNTIF(data_val!$E$3:$E$5, sample_log!$E1948), sample_log!$C1948 &amp; "_" &amp; sample_log!$D1948, "")</f>
        <v/>
      </c>
      <c r="C1948" s="5" t="str">
        <f>IF(B1948="", IF(F1948="", "", C1947), IF(sample_log!E1948="Triennial SASS", "tri_params", "params"))</f>
        <v/>
      </c>
      <c r="D1948" s="5" t="str">
        <f>IF(B1948="", "", C1948 &amp; "!" &amp; CHAR(65+MATCH(B1948, params!$B$2:$R$2, 0)))</f>
        <v/>
      </c>
      <c r="E1948" s="5" t="str">
        <f ca="1">IF(B1948="", "", COUNTA(INDIRECT(D1948 &amp; 3):INDIRECT(D1948 &amp; 24)))</f>
        <v/>
      </c>
      <c r="F1948" s="5" t="str">
        <f t="shared" si="62"/>
        <v/>
      </c>
      <c r="G1948" s="5" t="str">
        <f>IF(F1948="", "", IF(B1948&lt;&gt;"", MATCH(B1948, params!$B$2:$R$2, 0), G1947))</f>
        <v/>
      </c>
      <c r="H1948" s="5" t="str">
        <f t="shared" ca="1" si="63"/>
        <v/>
      </c>
      <c r="M1948" s="2"/>
    </row>
    <row r="1949" spans="2:13" ht="15.6" x14ac:dyDescent="0.3">
      <c r="B1949" s="5" t="str">
        <f>IF(COUNTIF(data_val!$E$3:$E$5, sample_log!$E1949), sample_log!$C1949 &amp; "_" &amp; sample_log!$D1949, "")</f>
        <v/>
      </c>
      <c r="C1949" s="5" t="str">
        <f>IF(B1949="", IF(F1949="", "", C1948), IF(sample_log!E1949="Triennial SASS", "tri_params", "params"))</f>
        <v/>
      </c>
      <c r="D1949" s="5" t="str">
        <f>IF(B1949="", "", C1949 &amp; "!" &amp; CHAR(65+MATCH(B1949, params!$B$2:$R$2, 0)))</f>
        <v/>
      </c>
      <c r="E1949" s="5" t="str">
        <f ca="1">IF(B1949="", "", COUNTA(INDIRECT(D1949 &amp; 3):INDIRECT(D1949 &amp; 24)))</f>
        <v/>
      </c>
      <c r="F1949" s="5" t="str">
        <f t="shared" si="62"/>
        <v/>
      </c>
      <c r="G1949" s="5" t="str">
        <f>IF(F1949="", "", IF(B1949&lt;&gt;"", MATCH(B1949, params!$B$2:$R$2, 0), G1948))</f>
        <v/>
      </c>
      <c r="H1949" s="5" t="str">
        <f t="shared" ca="1" si="63"/>
        <v/>
      </c>
      <c r="M1949" s="2"/>
    </row>
    <row r="1950" spans="2:13" ht="15.6" x14ac:dyDescent="0.3">
      <c r="B1950" s="5" t="str">
        <f>IF(COUNTIF(data_val!$E$3:$E$5, sample_log!$E1950), sample_log!$C1950 &amp; "_" &amp; sample_log!$D1950, "")</f>
        <v/>
      </c>
      <c r="C1950" s="5" t="str">
        <f>IF(B1950="", IF(F1950="", "", C1949), IF(sample_log!E1950="Triennial SASS", "tri_params", "params"))</f>
        <v/>
      </c>
      <c r="D1950" s="5" t="str">
        <f>IF(B1950="", "", C1950 &amp; "!" &amp; CHAR(65+MATCH(B1950, params!$B$2:$R$2, 0)))</f>
        <v/>
      </c>
      <c r="E1950" s="5" t="str">
        <f ca="1">IF(B1950="", "", COUNTA(INDIRECT(D1950 &amp; 3):INDIRECT(D1950 &amp; 24)))</f>
        <v/>
      </c>
      <c r="F1950" s="5" t="str">
        <f t="shared" si="62"/>
        <v/>
      </c>
      <c r="G1950" s="5" t="str">
        <f>IF(F1950="", "", IF(B1950&lt;&gt;"", MATCH(B1950, params!$B$2:$R$2, 0), G1949))</f>
        <v/>
      </c>
      <c r="H1950" s="5" t="str">
        <f t="shared" ca="1" si="63"/>
        <v/>
      </c>
      <c r="M1950" s="2"/>
    </row>
    <row r="1951" spans="2:13" ht="15.6" x14ac:dyDescent="0.3">
      <c r="B1951" s="5" t="str">
        <f>IF(COUNTIF(data_val!$E$3:$E$5, sample_log!$E1951), sample_log!$C1951 &amp; "_" &amp; sample_log!$D1951, "")</f>
        <v/>
      </c>
      <c r="C1951" s="5" t="str">
        <f>IF(B1951="", IF(F1951="", "", C1950), IF(sample_log!E1951="Triennial SASS", "tri_params", "params"))</f>
        <v/>
      </c>
      <c r="D1951" s="5" t="str">
        <f>IF(B1951="", "", C1951 &amp; "!" &amp; CHAR(65+MATCH(B1951, params!$B$2:$R$2, 0)))</f>
        <v/>
      </c>
      <c r="E1951" s="5" t="str">
        <f ca="1">IF(B1951="", "", COUNTA(INDIRECT(D1951 &amp; 3):INDIRECT(D1951 &amp; 24)))</f>
        <v/>
      </c>
      <c r="F1951" s="5" t="str">
        <f t="shared" si="62"/>
        <v/>
      </c>
      <c r="G1951" s="5" t="str">
        <f>IF(F1951="", "", IF(B1951&lt;&gt;"", MATCH(B1951, params!$B$2:$R$2, 0), G1950))</f>
        <v/>
      </c>
      <c r="H1951" s="5" t="str">
        <f t="shared" ca="1" si="63"/>
        <v/>
      </c>
      <c r="M1951" s="2"/>
    </row>
    <row r="1952" spans="2:13" ht="15.6" x14ac:dyDescent="0.3">
      <c r="B1952" s="5" t="str">
        <f>IF(COUNTIF(data_val!$E$3:$E$5, sample_log!$E1952), sample_log!$C1952 &amp; "_" &amp; sample_log!$D1952, "")</f>
        <v/>
      </c>
      <c r="C1952" s="5" t="str">
        <f>IF(B1952="", IF(F1952="", "", C1951), IF(sample_log!E1952="Triennial SASS", "tri_params", "params"))</f>
        <v/>
      </c>
      <c r="D1952" s="5" t="str">
        <f>IF(B1952="", "", C1952 &amp; "!" &amp; CHAR(65+MATCH(B1952, params!$B$2:$R$2, 0)))</f>
        <v/>
      </c>
      <c r="E1952" s="5" t="str">
        <f ca="1">IF(B1952="", "", COUNTA(INDIRECT(D1952 &amp; 3):INDIRECT(D1952 &amp; 24)))</f>
        <v/>
      </c>
      <c r="F1952" s="5" t="str">
        <f t="shared" si="62"/>
        <v/>
      </c>
      <c r="G1952" s="5" t="str">
        <f>IF(F1952="", "", IF(B1952&lt;&gt;"", MATCH(B1952, params!$B$2:$R$2, 0), G1951))</f>
        <v/>
      </c>
      <c r="H1952" s="5" t="str">
        <f t="shared" ca="1" si="63"/>
        <v/>
      </c>
      <c r="M1952" s="2"/>
    </row>
    <row r="1953" spans="2:13" ht="15.6" x14ac:dyDescent="0.3">
      <c r="B1953" s="5" t="str">
        <f>IF(COUNTIF(data_val!$E$3:$E$5, sample_log!$E1953), sample_log!$C1953 &amp; "_" &amp; sample_log!$D1953, "")</f>
        <v/>
      </c>
      <c r="C1953" s="5" t="str">
        <f>IF(B1953="", IF(F1953="", "", C1952), IF(sample_log!E1953="Triennial SASS", "tri_params", "params"))</f>
        <v/>
      </c>
      <c r="D1953" s="5" t="str">
        <f>IF(B1953="", "", C1953 &amp; "!" &amp; CHAR(65+MATCH(B1953, params!$B$2:$R$2, 0)))</f>
        <v/>
      </c>
      <c r="E1953" s="5" t="str">
        <f ca="1">IF(B1953="", "", COUNTA(INDIRECT(D1953 &amp; 3):INDIRECT(D1953 &amp; 24)))</f>
        <v/>
      </c>
      <c r="F1953" s="5" t="str">
        <f t="shared" si="62"/>
        <v/>
      </c>
      <c r="G1953" s="5" t="str">
        <f>IF(F1953="", "", IF(B1953&lt;&gt;"", MATCH(B1953, params!$B$2:$R$2, 0), G1952))</f>
        <v/>
      </c>
      <c r="H1953" s="5" t="str">
        <f t="shared" ca="1" si="63"/>
        <v/>
      </c>
      <c r="M1953" s="2"/>
    </row>
    <row r="1954" spans="2:13" ht="15.6" x14ac:dyDescent="0.3">
      <c r="B1954" s="5" t="str">
        <f>IF(COUNTIF(data_val!$E$3:$E$5, sample_log!$E1954), sample_log!$C1954 &amp; "_" &amp; sample_log!$D1954, "")</f>
        <v/>
      </c>
      <c r="C1954" s="5" t="str">
        <f>IF(B1954="", IF(F1954="", "", C1953), IF(sample_log!E1954="Triennial SASS", "tri_params", "params"))</f>
        <v/>
      </c>
      <c r="D1954" s="5" t="str">
        <f>IF(B1954="", "", C1954 &amp; "!" &amp; CHAR(65+MATCH(B1954, params!$B$2:$R$2, 0)))</f>
        <v/>
      </c>
      <c r="E1954" s="5" t="str">
        <f ca="1">IF(B1954="", "", COUNTA(INDIRECT(D1954 &amp; 3):INDIRECT(D1954 &amp; 24)))</f>
        <v/>
      </c>
      <c r="F1954" s="5" t="str">
        <f t="shared" si="62"/>
        <v/>
      </c>
      <c r="G1954" s="5" t="str">
        <f>IF(F1954="", "", IF(B1954&lt;&gt;"", MATCH(B1954, params!$B$2:$R$2, 0), G1953))</f>
        <v/>
      </c>
      <c r="H1954" s="5" t="str">
        <f t="shared" ca="1" si="63"/>
        <v/>
      </c>
      <c r="M1954" s="2"/>
    </row>
    <row r="1955" spans="2:13" ht="15.6" x14ac:dyDescent="0.3">
      <c r="B1955" s="5" t="str">
        <f>IF(COUNTIF(data_val!$E$3:$E$5, sample_log!$E1955), sample_log!$C1955 &amp; "_" &amp; sample_log!$D1955, "")</f>
        <v/>
      </c>
      <c r="C1955" s="5" t="str">
        <f>IF(B1955="", IF(F1955="", "", C1954), IF(sample_log!E1955="Triennial SASS", "tri_params", "params"))</f>
        <v/>
      </c>
      <c r="D1955" s="5" t="str">
        <f>IF(B1955="", "", C1955 &amp; "!" &amp; CHAR(65+MATCH(B1955, params!$B$2:$R$2, 0)))</f>
        <v/>
      </c>
      <c r="E1955" s="5" t="str">
        <f ca="1">IF(B1955="", "", COUNTA(INDIRECT(D1955 &amp; 3):INDIRECT(D1955 &amp; 24)))</f>
        <v/>
      </c>
      <c r="F1955" s="5" t="str">
        <f t="shared" si="62"/>
        <v/>
      </c>
      <c r="G1955" s="5" t="str">
        <f>IF(F1955="", "", IF(B1955&lt;&gt;"", MATCH(B1955, params!$B$2:$R$2, 0), G1954))</f>
        <v/>
      </c>
      <c r="H1955" s="5" t="str">
        <f t="shared" ca="1" si="63"/>
        <v/>
      </c>
      <c r="M1955" s="2"/>
    </row>
    <row r="1956" spans="2:13" ht="15.6" x14ac:dyDescent="0.3">
      <c r="B1956" s="5" t="str">
        <f>IF(COUNTIF(data_val!$E$3:$E$5, sample_log!$E1956), sample_log!$C1956 &amp; "_" &amp; sample_log!$D1956, "")</f>
        <v/>
      </c>
      <c r="C1956" s="5" t="str">
        <f>IF(B1956="", IF(F1956="", "", C1955), IF(sample_log!E1956="Triennial SASS", "tri_params", "params"))</f>
        <v/>
      </c>
      <c r="D1956" s="5" t="str">
        <f>IF(B1956="", "", C1956 &amp; "!" &amp; CHAR(65+MATCH(B1956, params!$B$2:$R$2, 0)))</f>
        <v/>
      </c>
      <c r="E1956" s="5" t="str">
        <f ca="1">IF(B1956="", "", COUNTA(INDIRECT(D1956 &amp; 3):INDIRECT(D1956 &amp; 24)))</f>
        <v/>
      </c>
      <c r="F1956" s="5" t="str">
        <f t="shared" si="62"/>
        <v/>
      </c>
      <c r="G1956" s="5" t="str">
        <f>IF(F1956="", "", IF(B1956&lt;&gt;"", MATCH(B1956, params!$B$2:$R$2, 0), G1955))</f>
        <v/>
      </c>
      <c r="H1956" s="5" t="str">
        <f t="shared" ca="1" si="63"/>
        <v/>
      </c>
      <c r="M1956" s="2"/>
    </row>
    <row r="1957" spans="2:13" ht="15.6" x14ac:dyDescent="0.3">
      <c r="B1957" s="5" t="str">
        <f>IF(COUNTIF(data_val!$E$3:$E$5, sample_log!$E1957), sample_log!$C1957 &amp; "_" &amp; sample_log!$D1957, "")</f>
        <v/>
      </c>
      <c r="C1957" s="5" t="str">
        <f>IF(B1957="", IF(F1957="", "", C1956), IF(sample_log!E1957="Triennial SASS", "tri_params", "params"))</f>
        <v/>
      </c>
      <c r="D1957" s="5" t="str">
        <f>IF(B1957="", "", C1957 &amp; "!" &amp; CHAR(65+MATCH(B1957, params!$B$2:$R$2, 0)))</f>
        <v/>
      </c>
      <c r="E1957" s="5" t="str">
        <f ca="1">IF(B1957="", "", COUNTA(INDIRECT(D1957 &amp; 3):INDIRECT(D1957 &amp; 24)))</f>
        <v/>
      </c>
      <c r="F1957" s="5" t="str">
        <f t="shared" si="62"/>
        <v/>
      </c>
      <c r="G1957" s="5" t="str">
        <f>IF(F1957="", "", IF(B1957&lt;&gt;"", MATCH(B1957, params!$B$2:$R$2, 0), G1956))</f>
        <v/>
      </c>
      <c r="H1957" s="5" t="str">
        <f t="shared" ca="1" si="63"/>
        <v/>
      </c>
      <c r="M1957" s="2"/>
    </row>
    <row r="1958" spans="2:13" ht="15.6" x14ac:dyDescent="0.3">
      <c r="B1958" s="5" t="str">
        <f>IF(COUNTIF(data_val!$E$3:$E$5, sample_log!$E1958), sample_log!$C1958 &amp; "_" &amp; sample_log!$D1958, "")</f>
        <v/>
      </c>
      <c r="C1958" s="5" t="str">
        <f>IF(B1958="", IF(F1958="", "", C1957), IF(sample_log!E1958="Triennial SASS", "tri_params", "params"))</f>
        <v/>
      </c>
      <c r="D1958" s="5" t="str">
        <f>IF(B1958="", "", C1958 &amp; "!" &amp; CHAR(65+MATCH(B1958, params!$B$2:$R$2, 0)))</f>
        <v/>
      </c>
      <c r="E1958" s="5" t="str">
        <f ca="1">IF(B1958="", "", COUNTA(INDIRECT(D1958 &amp; 3):INDIRECT(D1958 &amp; 24)))</f>
        <v/>
      </c>
      <c r="F1958" s="5" t="str">
        <f t="shared" si="62"/>
        <v/>
      </c>
      <c r="G1958" s="5" t="str">
        <f>IF(F1958="", "", IF(B1958&lt;&gt;"", MATCH(B1958, params!$B$2:$R$2, 0), G1957))</f>
        <v/>
      </c>
      <c r="H1958" s="5" t="str">
        <f t="shared" ca="1" si="63"/>
        <v/>
      </c>
      <c r="M1958" s="2"/>
    </row>
    <row r="1959" spans="2:13" ht="15.6" x14ac:dyDescent="0.3">
      <c r="B1959" s="5" t="str">
        <f>IF(COUNTIF(data_val!$E$3:$E$5, sample_log!$E1959), sample_log!$C1959 &amp; "_" &amp; sample_log!$D1959, "")</f>
        <v/>
      </c>
      <c r="C1959" s="5" t="str">
        <f>IF(B1959="", IF(F1959="", "", C1958), IF(sample_log!E1959="Triennial SASS", "tri_params", "params"))</f>
        <v/>
      </c>
      <c r="D1959" s="5" t="str">
        <f>IF(B1959="", "", C1959 &amp; "!" &amp; CHAR(65+MATCH(B1959, params!$B$2:$R$2, 0)))</f>
        <v/>
      </c>
      <c r="E1959" s="5" t="str">
        <f ca="1">IF(B1959="", "", COUNTA(INDIRECT(D1959 &amp; 3):INDIRECT(D1959 &amp; 24)))</f>
        <v/>
      </c>
      <c r="F1959" s="5" t="str">
        <f t="shared" si="62"/>
        <v/>
      </c>
      <c r="G1959" s="5" t="str">
        <f>IF(F1959="", "", IF(B1959&lt;&gt;"", MATCH(B1959, params!$B$2:$R$2, 0), G1958))</f>
        <v/>
      </c>
      <c r="H1959" s="5" t="str">
        <f t="shared" ca="1" si="63"/>
        <v/>
      </c>
      <c r="M1959" s="2"/>
    </row>
    <row r="1960" spans="2:13" ht="15.6" x14ac:dyDescent="0.3">
      <c r="B1960" s="5" t="str">
        <f>IF(COUNTIF(data_val!$E$3:$E$5, sample_log!$E1960), sample_log!$C1960 &amp; "_" &amp; sample_log!$D1960, "")</f>
        <v/>
      </c>
      <c r="C1960" s="5" t="str">
        <f>IF(B1960="", IF(F1960="", "", C1959), IF(sample_log!E1960="Triennial SASS", "tri_params", "params"))</f>
        <v/>
      </c>
      <c r="D1960" s="5" t="str">
        <f>IF(B1960="", "", C1960 &amp; "!" &amp; CHAR(65+MATCH(B1960, params!$B$2:$R$2, 0)))</f>
        <v/>
      </c>
      <c r="E1960" s="5" t="str">
        <f ca="1">IF(B1960="", "", COUNTA(INDIRECT(D1960 &amp; 3):INDIRECT(D1960 &amp; 24)))</f>
        <v/>
      </c>
      <c r="F1960" s="5" t="str">
        <f t="shared" si="62"/>
        <v/>
      </c>
      <c r="G1960" s="5" t="str">
        <f>IF(F1960="", "", IF(B1960&lt;&gt;"", MATCH(B1960, params!$B$2:$R$2, 0), G1959))</f>
        <v/>
      </c>
      <c r="H1960" s="5" t="str">
        <f t="shared" ca="1" si="63"/>
        <v/>
      </c>
      <c r="M1960" s="2"/>
    </row>
    <row r="1961" spans="2:13" ht="15.6" x14ac:dyDescent="0.3">
      <c r="B1961" s="5" t="str">
        <f>IF(COUNTIF(data_val!$E$3:$E$5, sample_log!$E1961), sample_log!$C1961 &amp; "_" &amp; sample_log!$D1961, "")</f>
        <v/>
      </c>
      <c r="C1961" s="5" t="str">
        <f>IF(B1961="", IF(F1961="", "", C1960), IF(sample_log!E1961="Triennial SASS", "tri_params", "params"))</f>
        <v/>
      </c>
      <c r="D1961" s="5" t="str">
        <f>IF(B1961="", "", C1961 &amp; "!" &amp; CHAR(65+MATCH(B1961, params!$B$2:$R$2, 0)))</f>
        <v/>
      </c>
      <c r="E1961" s="5" t="str">
        <f ca="1">IF(B1961="", "", COUNTA(INDIRECT(D1961 &amp; 3):INDIRECT(D1961 &amp; 24)))</f>
        <v/>
      </c>
      <c r="F1961" s="5" t="str">
        <f t="shared" si="62"/>
        <v/>
      </c>
      <c r="G1961" s="5" t="str">
        <f>IF(F1961="", "", IF(B1961&lt;&gt;"", MATCH(B1961, params!$B$2:$R$2, 0), G1960))</f>
        <v/>
      </c>
      <c r="H1961" s="5" t="str">
        <f t="shared" ca="1" si="63"/>
        <v/>
      </c>
      <c r="M1961" s="2"/>
    </row>
    <row r="1962" spans="2:13" ht="15.6" x14ac:dyDescent="0.3">
      <c r="B1962" s="5" t="str">
        <f>IF(COUNTIF(data_val!$E$3:$E$5, sample_log!$E1962), sample_log!$C1962 &amp; "_" &amp; sample_log!$D1962, "")</f>
        <v/>
      </c>
      <c r="C1962" s="5" t="str">
        <f>IF(B1962="", IF(F1962="", "", C1961), IF(sample_log!E1962="Triennial SASS", "tri_params", "params"))</f>
        <v/>
      </c>
      <c r="D1962" s="5" t="str">
        <f>IF(B1962="", "", C1962 &amp; "!" &amp; CHAR(65+MATCH(B1962, params!$B$2:$R$2, 0)))</f>
        <v/>
      </c>
      <c r="E1962" s="5" t="str">
        <f ca="1">IF(B1962="", "", COUNTA(INDIRECT(D1962 &amp; 3):INDIRECT(D1962 &amp; 24)))</f>
        <v/>
      </c>
      <c r="F1962" s="5" t="str">
        <f t="shared" si="62"/>
        <v/>
      </c>
      <c r="G1962" s="5" t="str">
        <f>IF(F1962="", "", IF(B1962&lt;&gt;"", MATCH(B1962, params!$B$2:$R$2, 0), G1961))</f>
        <v/>
      </c>
      <c r="H1962" s="5" t="str">
        <f t="shared" ca="1" si="63"/>
        <v/>
      </c>
      <c r="M1962" s="2"/>
    </row>
    <row r="1963" spans="2:13" ht="15.6" x14ac:dyDescent="0.3">
      <c r="B1963" s="5" t="str">
        <f>IF(COUNTIF(data_val!$E$3:$E$5, sample_log!$E1963), sample_log!$C1963 &amp; "_" &amp; sample_log!$D1963, "")</f>
        <v/>
      </c>
      <c r="C1963" s="5" t="str">
        <f>IF(B1963="", IF(F1963="", "", C1962), IF(sample_log!E1963="Triennial SASS", "tri_params", "params"))</f>
        <v/>
      </c>
      <c r="D1963" s="5" t="str">
        <f>IF(B1963="", "", C1963 &amp; "!" &amp; CHAR(65+MATCH(B1963, params!$B$2:$R$2, 0)))</f>
        <v/>
      </c>
      <c r="E1963" s="5" t="str">
        <f ca="1">IF(B1963="", "", COUNTA(INDIRECT(D1963 &amp; 3):INDIRECT(D1963 &amp; 24)))</f>
        <v/>
      </c>
      <c r="F1963" s="5" t="str">
        <f t="shared" si="62"/>
        <v/>
      </c>
      <c r="G1963" s="5" t="str">
        <f>IF(F1963="", "", IF(B1963&lt;&gt;"", MATCH(B1963, params!$B$2:$R$2, 0), G1962))</f>
        <v/>
      </c>
      <c r="H1963" s="5" t="str">
        <f t="shared" ca="1" si="63"/>
        <v/>
      </c>
      <c r="M1963" s="2"/>
    </row>
    <row r="1964" spans="2:13" ht="15.6" x14ac:dyDescent="0.3">
      <c r="B1964" s="5" t="str">
        <f>IF(COUNTIF(data_val!$E$3:$E$5, sample_log!$E1964), sample_log!$C1964 &amp; "_" &amp; sample_log!$D1964, "")</f>
        <v/>
      </c>
      <c r="C1964" s="5" t="str">
        <f>IF(B1964="", IF(F1964="", "", C1963), IF(sample_log!E1964="Triennial SASS", "tri_params", "params"))</f>
        <v/>
      </c>
      <c r="D1964" s="5" t="str">
        <f>IF(B1964="", "", C1964 &amp; "!" &amp; CHAR(65+MATCH(B1964, params!$B$2:$R$2, 0)))</f>
        <v/>
      </c>
      <c r="E1964" s="5" t="str">
        <f ca="1">IF(B1964="", "", COUNTA(INDIRECT(D1964 &amp; 3):INDIRECT(D1964 &amp; 24)))</f>
        <v/>
      </c>
      <c r="F1964" s="5" t="str">
        <f t="shared" si="62"/>
        <v/>
      </c>
      <c r="G1964" s="5" t="str">
        <f>IF(F1964="", "", IF(B1964&lt;&gt;"", MATCH(B1964, params!$B$2:$R$2, 0), G1963))</f>
        <v/>
      </c>
      <c r="H1964" s="5" t="str">
        <f t="shared" ca="1" si="63"/>
        <v/>
      </c>
      <c r="M1964" s="2"/>
    </row>
    <row r="1965" spans="2:13" ht="15.6" x14ac:dyDescent="0.3">
      <c r="B1965" s="5" t="str">
        <f>IF(COUNTIF(data_val!$E$3:$E$5, sample_log!$E1965), sample_log!$C1965 &amp; "_" &amp; sample_log!$D1965, "")</f>
        <v/>
      </c>
      <c r="C1965" s="5" t="str">
        <f>IF(B1965="", IF(F1965="", "", C1964), IF(sample_log!E1965="Triennial SASS", "tri_params", "params"))</f>
        <v/>
      </c>
      <c r="D1965" s="5" t="str">
        <f>IF(B1965="", "", C1965 &amp; "!" &amp; CHAR(65+MATCH(B1965, params!$B$2:$R$2, 0)))</f>
        <v/>
      </c>
      <c r="E1965" s="5" t="str">
        <f ca="1">IF(B1965="", "", COUNTA(INDIRECT(D1965 &amp; 3):INDIRECT(D1965 &amp; 24)))</f>
        <v/>
      </c>
      <c r="F1965" s="5" t="str">
        <f t="shared" si="62"/>
        <v/>
      </c>
      <c r="G1965" s="5" t="str">
        <f>IF(F1965="", "", IF(B1965&lt;&gt;"", MATCH(B1965, params!$B$2:$R$2, 0), G1964))</f>
        <v/>
      </c>
      <c r="H1965" s="5" t="str">
        <f t="shared" ca="1" si="63"/>
        <v/>
      </c>
      <c r="M1965" s="2"/>
    </row>
    <row r="1966" spans="2:13" ht="15.6" x14ac:dyDescent="0.3">
      <c r="B1966" s="5" t="str">
        <f>IF(COUNTIF(data_val!$E$3:$E$5, sample_log!$E1966), sample_log!$C1966 &amp; "_" &amp; sample_log!$D1966, "")</f>
        <v/>
      </c>
      <c r="C1966" s="5" t="str">
        <f>IF(B1966="", IF(F1966="", "", C1965), IF(sample_log!E1966="Triennial SASS", "tri_params", "params"))</f>
        <v/>
      </c>
      <c r="D1966" s="5" t="str">
        <f>IF(B1966="", "", C1966 &amp; "!" &amp; CHAR(65+MATCH(B1966, params!$B$2:$R$2, 0)))</f>
        <v/>
      </c>
      <c r="E1966" s="5" t="str">
        <f ca="1">IF(B1966="", "", COUNTA(INDIRECT(D1966 &amp; 3):INDIRECT(D1966 &amp; 24)))</f>
        <v/>
      </c>
      <c r="F1966" s="5" t="str">
        <f t="shared" si="62"/>
        <v/>
      </c>
      <c r="G1966" s="5" t="str">
        <f>IF(F1966="", "", IF(B1966&lt;&gt;"", MATCH(B1966, params!$B$2:$R$2, 0), G1965))</f>
        <v/>
      </c>
      <c r="H1966" s="5" t="str">
        <f t="shared" ca="1" si="63"/>
        <v/>
      </c>
      <c r="M1966" s="2"/>
    </row>
    <row r="1967" spans="2:13" ht="15.6" x14ac:dyDescent="0.3">
      <c r="B1967" s="5" t="str">
        <f>IF(COUNTIF(data_val!$E$3:$E$5, sample_log!$E1967), sample_log!$C1967 &amp; "_" &amp; sample_log!$D1967, "")</f>
        <v/>
      </c>
      <c r="C1967" s="5" t="str">
        <f>IF(B1967="", IF(F1967="", "", C1966), IF(sample_log!E1967="Triennial SASS", "tri_params", "params"))</f>
        <v/>
      </c>
      <c r="D1967" s="5" t="str">
        <f>IF(B1967="", "", C1967 &amp; "!" &amp; CHAR(65+MATCH(B1967, params!$B$2:$R$2, 0)))</f>
        <v/>
      </c>
      <c r="E1967" s="5" t="str">
        <f ca="1">IF(B1967="", "", COUNTA(INDIRECT(D1967 &amp; 3):INDIRECT(D1967 &amp; 24)))</f>
        <v/>
      </c>
      <c r="F1967" s="5" t="str">
        <f t="shared" si="62"/>
        <v/>
      </c>
      <c r="G1967" s="5" t="str">
        <f>IF(F1967="", "", IF(B1967&lt;&gt;"", MATCH(B1967, params!$B$2:$R$2, 0), G1966))</f>
        <v/>
      </c>
      <c r="H1967" s="5" t="str">
        <f t="shared" ca="1" si="63"/>
        <v/>
      </c>
      <c r="M1967" s="2"/>
    </row>
    <row r="1968" spans="2:13" ht="15.6" x14ac:dyDescent="0.3">
      <c r="B1968" s="5" t="str">
        <f>IF(COUNTIF(data_val!$E$3:$E$5, sample_log!$E1968), sample_log!$C1968 &amp; "_" &amp; sample_log!$D1968, "")</f>
        <v/>
      </c>
      <c r="C1968" s="5" t="str">
        <f>IF(B1968="", IF(F1968="", "", C1967), IF(sample_log!E1968="Triennial SASS", "tri_params", "params"))</f>
        <v/>
      </c>
      <c r="D1968" s="5" t="str">
        <f>IF(B1968="", "", C1968 &amp; "!" &amp; CHAR(65+MATCH(B1968, params!$B$2:$R$2, 0)))</f>
        <v/>
      </c>
      <c r="E1968" s="5" t="str">
        <f ca="1">IF(B1968="", "", COUNTA(INDIRECT(D1968 &amp; 3):INDIRECT(D1968 &amp; 24)))</f>
        <v/>
      </c>
      <c r="F1968" s="5" t="str">
        <f t="shared" si="62"/>
        <v/>
      </c>
      <c r="G1968" s="5" t="str">
        <f>IF(F1968="", "", IF(B1968&lt;&gt;"", MATCH(B1968, params!$B$2:$R$2, 0), G1967))</f>
        <v/>
      </c>
      <c r="H1968" s="5" t="str">
        <f t="shared" ca="1" si="63"/>
        <v/>
      </c>
      <c r="M1968" s="2"/>
    </row>
    <row r="1969" spans="2:13" ht="15.6" x14ac:dyDescent="0.3">
      <c r="B1969" s="5" t="str">
        <f>IF(COUNTIF(data_val!$E$3:$E$5, sample_log!$E1969), sample_log!$C1969 &amp; "_" &amp; sample_log!$D1969, "")</f>
        <v/>
      </c>
      <c r="C1969" s="5" t="str">
        <f>IF(B1969="", IF(F1969="", "", C1968), IF(sample_log!E1969="Triennial SASS", "tri_params", "params"))</f>
        <v/>
      </c>
      <c r="D1969" s="5" t="str">
        <f>IF(B1969="", "", C1969 &amp; "!" &amp; CHAR(65+MATCH(B1969, params!$B$2:$R$2, 0)))</f>
        <v/>
      </c>
      <c r="E1969" s="5" t="str">
        <f ca="1">IF(B1969="", "", COUNTA(INDIRECT(D1969 &amp; 3):INDIRECT(D1969 &amp; 24)))</f>
        <v/>
      </c>
      <c r="F1969" s="5" t="str">
        <f t="shared" si="62"/>
        <v/>
      </c>
      <c r="G1969" s="5" t="str">
        <f>IF(F1969="", "", IF(B1969&lt;&gt;"", MATCH(B1969, params!$B$2:$R$2, 0), G1968))</f>
        <v/>
      </c>
      <c r="H1969" s="5" t="str">
        <f t="shared" ca="1" si="63"/>
        <v/>
      </c>
      <c r="M1969" s="2"/>
    </row>
    <row r="1970" spans="2:13" ht="15.6" x14ac:dyDescent="0.3">
      <c r="B1970" s="5" t="str">
        <f>IF(COUNTIF(data_val!$E$3:$E$5, sample_log!$E1970), sample_log!$C1970 &amp; "_" &amp; sample_log!$D1970, "")</f>
        <v/>
      </c>
      <c r="C1970" s="5" t="str">
        <f>IF(B1970="", IF(F1970="", "", C1969), IF(sample_log!E1970="Triennial SASS", "tri_params", "params"))</f>
        <v/>
      </c>
      <c r="D1970" s="5" t="str">
        <f>IF(B1970="", "", C1970 &amp; "!" &amp; CHAR(65+MATCH(B1970, params!$B$2:$R$2, 0)))</f>
        <v/>
      </c>
      <c r="E1970" s="5" t="str">
        <f ca="1">IF(B1970="", "", COUNTA(INDIRECT(D1970 &amp; 3):INDIRECT(D1970 &amp; 24)))</f>
        <v/>
      </c>
      <c r="F1970" s="5" t="str">
        <f t="shared" si="62"/>
        <v/>
      </c>
      <c r="G1970" s="5" t="str">
        <f>IF(F1970="", "", IF(B1970&lt;&gt;"", MATCH(B1970, params!$B$2:$R$2, 0), G1969))</f>
        <v/>
      </c>
      <c r="H1970" s="5" t="str">
        <f t="shared" ca="1" si="63"/>
        <v/>
      </c>
      <c r="M1970" s="2"/>
    </row>
    <row r="1971" spans="2:13" ht="15.6" x14ac:dyDescent="0.3">
      <c r="B1971" s="5" t="str">
        <f>IF(COUNTIF(data_val!$E$3:$E$5, sample_log!$E1971), sample_log!$C1971 &amp; "_" &amp; sample_log!$D1971, "")</f>
        <v/>
      </c>
      <c r="C1971" s="5" t="str">
        <f>IF(B1971="", IF(F1971="", "", C1970), IF(sample_log!E1971="Triennial SASS", "tri_params", "params"))</f>
        <v/>
      </c>
      <c r="D1971" s="5" t="str">
        <f>IF(B1971="", "", C1971 &amp; "!" &amp; CHAR(65+MATCH(B1971, params!$B$2:$R$2, 0)))</f>
        <v/>
      </c>
      <c r="E1971" s="5" t="str">
        <f ca="1">IF(B1971="", "", COUNTA(INDIRECT(D1971 &amp; 3):INDIRECT(D1971 &amp; 24)))</f>
        <v/>
      </c>
      <c r="F1971" s="5" t="str">
        <f t="shared" si="62"/>
        <v/>
      </c>
      <c r="G1971" s="5" t="str">
        <f>IF(F1971="", "", IF(B1971&lt;&gt;"", MATCH(B1971, params!$B$2:$R$2, 0), G1970))</f>
        <v/>
      </c>
      <c r="H1971" s="5" t="str">
        <f t="shared" ca="1" si="63"/>
        <v/>
      </c>
      <c r="M1971" s="2"/>
    </row>
    <row r="1972" spans="2:13" ht="15.6" x14ac:dyDescent="0.3">
      <c r="B1972" s="5" t="str">
        <f>IF(COUNTIF(data_val!$E$3:$E$5, sample_log!$E1972), sample_log!$C1972 &amp; "_" &amp; sample_log!$D1972, "")</f>
        <v/>
      </c>
      <c r="C1972" s="5" t="str">
        <f>IF(B1972="", IF(F1972="", "", C1971), IF(sample_log!E1972="Triennial SASS", "tri_params", "params"))</f>
        <v/>
      </c>
      <c r="D1972" s="5" t="str">
        <f>IF(B1972="", "", C1972 &amp; "!" &amp; CHAR(65+MATCH(B1972, params!$B$2:$R$2, 0)))</f>
        <v/>
      </c>
      <c r="E1972" s="5" t="str">
        <f ca="1">IF(B1972="", "", COUNTA(INDIRECT(D1972 &amp; 3):INDIRECT(D1972 &amp; 24)))</f>
        <v/>
      </c>
      <c r="F1972" s="5" t="str">
        <f t="shared" si="62"/>
        <v/>
      </c>
      <c r="G1972" s="5" t="str">
        <f>IF(F1972="", "", IF(B1972&lt;&gt;"", MATCH(B1972, params!$B$2:$R$2, 0), G1971))</f>
        <v/>
      </c>
      <c r="H1972" s="5" t="str">
        <f t="shared" ca="1" si="63"/>
        <v/>
      </c>
      <c r="M1972" s="2"/>
    </row>
    <row r="1973" spans="2:13" ht="15.6" x14ac:dyDescent="0.3">
      <c r="B1973" s="5" t="str">
        <f>IF(COUNTIF(data_val!$E$3:$E$5, sample_log!$E1973), sample_log!$C1973 &amp; "_" &amp; sample_log!$D1973, "")</f>
        <v/>
      </c>
      <c r="C1973" s="5" t="str">
        <f>IF(B1973="", IF(F1973="", "", C1972), IF(sample_log!E1973="Triennial SASS", "tri_params", "params"))</f>
        <v/>
      </c>
      <c r="D1973" s="5" t="str">
        <f>IF(B1973="", "", C1973 &amp; "!" &amp; CHAR(65+MATCH(B1973, params!$B$2:$R$2, 0)))</f>
        <v/>
      </c>
      <c r="E1973" s="5" t="str">
        <f ca="1">IF(B1973="", "", COUNTA(INDIRECT(D1973 &amp; 3):INDIRECT(D1973 &amp; 24)))</f>
        <v/>
      </c>
      <c r="F1973" s="5" t="str">
        <f t="shared" si="62"/>
        <v/>
      </c>
      <c r="G1973" s="5" t="str">
        <f>IF(F1973="", "", IF(B1973&lt;&gt;"", MATCH(B1973, params!$B$2:$R$2, 0), G1972))</f>
        <v/>
      </c>
      <c r="H1973" s="5" t="str">
        <f t="shared" ca="1" si="63"/>
        <v/>
      </c>
      <c r="M1973" s="2"/>
    </row>
    <row r="1974" spans="2:13" ht="15.6" x14ac:dyDescent="0.3">
      <c r="B1974" s="5" t="str">
        <f>IF(COUNTIF(data_val!$E$3:$E$5, sample_log!$E1974), sample_log!$C1974 &amp; "_" &amp; sample_log!$D1974, "")</f>
        <v/>
      </c>
      <c r="C1974" s="5" t="str">
        <f>IF(B1974="", IF(F1974="", "", C1973), IF(sample_log!E1974="Triennial SASS", "tri_params", "params"))</f>
        <v/>
      </c>
      <c r="D1974" s="5" t="str">
        <f>IF(B1974="", "", C1974 &amp; "!" &amp; CHAR(65+MATCH(B1974, params!$B$2:$R$2, 0)))</f>
        <v/>
      </c>
      <c r="E1974" s="5" t="str">
        <f ca="1">IF(B1974="", "", COUNTA(INDIRECT(D1974 &amp; 3):INDIRECT(D1974 &amp; 24)))</f>
        <v/>
      </c>
      <c r="F1974" s="5" t="str">
        <f t="shared" si="62"/>
        <v/>
      </c>
      <c r="G1974" s="5" t="str">
        <f>IF(F1974="", "", IF(B1974&lt;&gt;"", MATCH(B1974, params!$B$2:$R$2, 0), G1973))</f>
        <v/>
      </c>
      <c r="H1974" s="5" t="str">
        <f t="shared" ca="1" si="63"/>
        <v/>
      </c>
      <c r="M1974" s="2"/>
    </row>
    <row r="1975" spans="2:13" ht="15.6" x14ac:dyDescent="0.3">
      <c r="B1975" s="5" t="str">
        <f>IF(COUNTIF(data_val!$E$3:$E$5, sample_log!$E1975), sample_log!$C1975 &amp; "_" &amp; sample_log!$D1975, "")</f>
        <v/>
      </c>
      <c r="C1975" s="5" t="str">
        <f>IF(B1975="", IF(F1975="", "", C1974), IF(sample_log!E1975="Triennial SASS", "tri_params", "params"))</f>
        <v/>
      </c>
      <c r="D1975" s="5" t="str">
        <f>IF(B1975="", "", C1975 &amp; "!" &amp; CHAR(65+MATCH(B1975, params!$B$2:$R$2, 0)))</f>
        <v/>
      </c>
      <c r="E1975" s="5" t="str">
        <f ca="1">IF(B1975="", "", COUNTA(INDIRECT(D1975 &amp; 3):INDIRECT(D1975 &amp; 24)))</f>
        <v/>
      </c>
      <c r="F1975" s="5" t="str">
        <f t="shared" si="62"/>
        <v/>
      </c>
      <c r="G1975" s="5" t="str">
        <f>IF(F1975="", "", IF(B1975&lt;&gt;"", MATCH(B1975, params!$B$2:$R$2, 0), G1974))</f>
        <v/>
      </c>
      <c r="H1975" s="5" t="str">
        <f t="shared" ca="1" si="63"/>
        <v/>
      </c>
      <c r="M1975" s="2"/>
    </row>
    <row r="1976" spans="2:13" ht="15.6" x14ac:dyDescent="0.3">
      <c r="B1976" s="5" t="str">
        <f>IF(COUNTIF(data_val!$E$3:$E$5, sample_log!$E1976), sample_log!$C1976 &amp; "_" &amp; sample_log!$D1976, "")</f>
        <v/>
      </c>
      <c r="C1976" s="5" t="str">
        <f>IF(B1976="", IF(F1976="", "", C1975), IF(sample_log!E1976="Triennial SASS", "tri_params", "params"))</f>
        <v/>
      </c>
      <c r="D1976" s="5" t="str">
        <f>IF(B1976="", "", C1976 &amp; "!" &amp; CHAR(65+MATCH(B1976, params!$B$2:$R$2, 0)))</f>
        <v/>
      </c>
      <c r="E1976" s="5" t="str">
        <f ca="1">IF(B1976="", "", COUNTA(INDIRECT(D1976 &amp; 3):INDIRECT(D1976 &amp; 24)))</f>
        <v/>
      </c>
      <c r="F1976" s="5" t="str">
        <f t="shared" si="62"/>
        <v/>
      </c>
      <c r="G1976" s="5" t="str">
        <f>IF(F1976="", "", IF(B1976&lt;&gt;"", MATCH(B1976, params!$B$2:$R$2, 0), G1975))</f>
        <v/>
      </c>
      <c r="H1976" s="5" t="str">
        <f t="shared" ca="1" si="63"/>
        <v/>
      </c>
      <c r="M1976" s="2"/>
    </row>
    <row r="1977" spans="2:13" ht="15.6" x14ac:dyDescent="0.3">
      <c r="B1977" s="5" t="str">
        <f>IF(COUNTIF(data_val!$E$3:$E$5, sample_log!$E1977), sample_log!$C1977 &amp; "_" &amp; sample_log!$D1977, "")</f>
        <v/>
      </c>
      <c r="C1977" s="5" t="str">
        <f>IF(B1977="", IF(F1977="", "", C1976), IF(sample_log!E1977="Triennial SASS", "tri_params", "params"))</f>
        <v/>
      </c>
      <c r="D1977" s="5" t="str">
        <f>IF(B1977="", "", C1977 &amp; "!" &amp; CHAR(65+MATCH(B1977, params!$B$2:$R$2, 0)))</f>
        <v/>
      </c>
      <c r="E1977" s="5" t="str">
        <f ca="1">IF(B1977="", "", COUNTA(INDIRECT(D1977 &amp; 3):INDIRECT(D1977 &amp; 24)))</f>
        <v/>
      </c>
      <c r="F1977" s="5" t="str">
        <f t="shared" si="62"/>
        <v/>
      </c>
      <c r="G1977" s="5" t="str">
        <f>IF(F1977="", "", IF(B1977&lt;&gt;"", MATCH(B1977, params!$B$2:$R$2, 0), G1976))</f>
        <v/>
      </c>
      <c r="H1977" s="5" t="str">
        <f t="shared" ca="1" si="63"/>
        <v/>
      </c>
      <c r="M1977" s="2"/>
    </row>
    <row r="1978" spans="2:13" ht="15.6" x14ac:dyDescent="0.3">
      <c r="B1978" s="5" t="str">
        <f>IF(COUNTIF(data_val!$E$3:$E$5, sample_log!$E1978), sample_log!$C1978 &amp; "_" &amp; sample_log!$D1978, "")</f>
        <v/>
      </c>
      <c r="C1978" s="5" t="str">
        <f>IF(B1978="", IF(F1978="", "", C1977), IF(sample_log!E1978="Triennial SASS", "tri_params", "params"))</f>
        <v/>
      </c>
      <c r="D1978" s="5" t="str">
        <f>IF(B1978="", "", C1978 &amp; "!" &amp; CHAR(65+MATCH(B1978, params!$B$2:$R$2, 0)))</f>
        <v/>
      </c>
      <c r="E1978" s="5" t="str">
        <f ca="1">IF(B1978="", "", COUNTA(INDIRECT(D1978 &amp; 3):INDIRECT(D1978 &amp; 24)))</f>
        <v/>
      </c>
      <c r="F1978" s="5" t="str">
        <f t="shared" si="62"/>
        <v/>
      </c>
      <c r="G1978" s="5" t="str">
        <f>IF(F1978="", "", IF(B1978&lt;&gt;"", MATCH(B1978, params!$B$2:$R$2, 0), G1977))</f>
        <v/>
      </c>
      <c r="H1978" s="5" t="str">
        <f t="shared" ca="1" si="63"/>
        <v/>
      </c>
      <c r="M1978" s="2"/>
    </row>
    <row r="1979" spans="2:13" ht="15.6" x14ac:dyDescent="0.3">
      <c r="B1979" s="5" t="str">
        <f>IF(COUNTIF(data_val!$E$3:$E$5, sample_log!$E1979), sample_log!$C1979 &amp; "_" &amp; sample_log!$D1979, "")</f>
        <v/>
      </c>
      <c r="C1979" s="5" t="str">
        <f>IF(B1979="", IF(F1979="", "", C1978), IF(sample_log!E1979="Triennial SASS", "tri_params", "params"))</f>
        <v/>
      </c>
      <c r="D1979" s="5" t="str">
        <f>IF(B1979="", "", C1979 &amp; "!" &amp; CHAR(65+MATCH(B1979, params!$B$2:$R$2, 0)))</f>
        <v/>
      </c>
      <c r="E1979" s="5" t="str">
        <f ca="1">IF(B1979="", "", COUNTA(INDIRECT(D1979 &amp; 3):INDIRECT(D1979 &amp; 24)))</f>
        <v/>
      </c>
      <c r="F1979" s="5" t="str">
        <f t="shared" si="62"/>
        <v/>
      </c>
      <c r="G1979" s="5" t="str">
        <f>IF(F1979="", "", IF(B1979&lt;&gt;"", MATCH(B1979, params!$B$2:$R$2, 0), G1978))</f>
        <v/>
      </c>
      <c r="H1979" s="5" t="str">
        <f t="shared" ca="1" si="63"/>
        <v/>
      </c>
      <c r="M1979" s="2"/>
    </row>
    <row r="1980" spans="2:13" ht="15.6" x14ac:dyDescent="0.3">
      <c r="B1980" s="5" t="str">
        <f>IF(COUNTIF(data_val!$E$3:$E$5, sample_log!$E1980), sample_log!$C1980 &amp; "_" &amp; sample_log!$D1980, "")</f>
        <v/>
      </c>
      <c r="C1980" s="5" t="str">
        <f>IF(B1980="", IF(F1980="", "", C1979), IF(sample_log!E1980="Triennial SASS", "tri_params", "params"))</f>
        <v/>
      </c>
      <c r="D1980" s="5" t="str">
        <f>IF(B1980="", "", C1980 &amp; "!" &amp; CHAR(65+MATCH(B1980, params!$B$2:$R$2, 0)))</f>
        <v/>
      </c>
      <c r="E1980" s="5" t="str">
        <f ca="1">IF(B1980="", "", COUNTA(INDIRECT(D1980 &amp; 3):INDIRECT(D1980 &amp; 24)))</f>
        <v/>
      </c>
      <c r="F1980" s="5" t="str">
        <f t="shared" si="62"/>
        <v/>
      </c>
      <c r="G1980" s="5" t="str">
        <f>IF(F1980="", "", IF(B1980&lt;&gt;"", MATCH(B1980, params!$B$2:$R$2, 0), G1979))</f>
        <v/>
      </c>
      <c r="H1980" s="5" t="str">
        <f t="shared" ca="1" si="63"/>
        <v/>
      </c>
      <c r="M1980" s="2"/>
    </row>
    <row r="1981" spans="2:13" ht="15.6" x14ac:dyDescent="0.3">
      <c r="B1981" s="5" t="str">
        <f>IF(COUNTIF(data_val!$E$3:$E$5, sample_log!$E1981), sample_log!$C1981 &amp; "_" &amp; sample_log!$D1981, "")</f>
        <v/>
      </c>
      <c r="C1981" s="5" t="str">
        <f>IF(B1981="", IF(F1981="", "", C1980), IF(sample_log!E1981="Triennial SASS", "tri_params", "params"))</f>
        <v/>
      </c>
      <c r="D1981" s="5" t="str">
        <f>IF(B1981="", "", C1981 &amp; "!" &amp; CHAR(65+MATCH(B1981, params!$B$2:$R$2, 0)))</f>
        <v/>
      </c>
      <c r="E1981" s="5" t="str">
        <f ca="1">IF(B1981="", "", COUNTA(INDIRECT(D1981 &amp; 3):INDIRECT(D1981 &amp; 24)))</f>
        <v/>
      </c>
      <c r="F1981" s="5" t="str">
        <f t="shared" si="62"/>
        <v/>
      </c>
      <c r="G1981" s="5" t="str">
        <f>IF(F1981="", "", IF(B1981&lt;&gt;"", MATCH(B1981, params!$B$2:$R$2, 0), G1980))</f>
        <v/>
      </c>
      <c r="H1981" s="5" t="str">
        <f t="shared" ca="1" si="63"/>
        <v/>
      </c>
      <c r="M1981" s="2"/>
    </row>
    <row r="1982" spans="2:13" ht="15.6" x14ac:dyDescent="0.3">
      <c r="B1982" s="5" t="str">
        <f>IF(COUNTIF(data_val!$E$3:$E$5, sample_log!$E1982), sample_log!$C1982 &amp; "_" &amp; sample_log!$D1982, "")</f>
        <v/>
      </c>
      <c r="C1982" s="5" t="str">
        <f>IF(B1982="", IF(F1982="", "", C1981), IF(sample_log!E1982="Triennial SASS", "tri_params", "params"))</f>
        <v/>
      </c>
      <c r="D1982" s="5" t="str">
        <f>IF(B1982="", "", C1982 &amp; "!" &amp; CHAR(65+MATCH(B1982, params!$B$2:$R$2, 0)))</f>
        <v/>
      </c>
      <c r="E1982" s="5" t="str">
        <f ca="1">IF(B1982="", "", COUNTA(INDIRECT(D1982 &amp; 3):INDIRECT(D1982 &amp; 24)))</f>
        <v/>
      </c>
      <c r="F1982" s="5" t="str">
        <f t="shared" si="62"/>
        <v/>
      </c>
      <c r="G1982" s="5" t="str">
        <f>IF(F1982="", "", IF(B1982&lt;&gt;"", MATCH(B1982, params!$B$2:$R$2, 0), G1981))</f>
        <v/>
      </c>
      <c r="H1982" s="5" t="str">
        <f t="shared" ca="1" si="63"/>
        <v/>
      </c>
      <c r="M1982" s="2"/>
    </row>
    <row r="1983" spans="2:13" ht="15.6" x14ac:dyDescent="0.3">
      <c r="B1983" s="5" t="str">
        <f>IF(COUNTIF(data_val!$E$3:$E$5, sample_log!$E1983), sample_log!$C1983 &amp; "_" &amp; sample_log!$D1983, "")</f>
        <v/>
      </c>
      <c r="C1983" s="5" t="str">
        <f>IF(B1983="", IF(F1983="", "", C1982), IF(sample_log!E1983="Triennial SASS", "tri_params", "params"))</f>
        <v/>
      </c>
      <c r="D1983" s="5" t="str">
        <f>IF(B1983="", "", C1983 &amp; "!" &amp; CHAR(65+MATCH(B1983, params!$B$2:$R$2, 0)))</f>
        <v/>
      </c>
      <c r="E1983" s="5" t="str">
        <f ca="1">IF(B1983="", "", COUNTA(INDIRECT(D1983 &amp; 3):INDIRECT(D1983 &amp; 24)))</f>
        <v/>
      </c>
      <c r="F1983" s="5" t="str">
        <f t="shared" si="62"/>
        <v/>
      </c>
      <c r="G1983" s="5" t="str">
        <f>IF(F1983="", "", IF(B1983&lt;&gt;"", MATCH(B1983, params!$B$2:$R$2, 0), G1982))</f>
        <v/>
      </c>
      <c r="H1983" s="5" t="str">
        <f t="shared" ca="1" si="63"/>
        <v/>
      </c>
      <c r="M1983" s="2"/>
    </row>
    <row r="1984" spans="2:13" ht="15.6" x14ac:dyDescent="0.3">
      <c r="B1984" s="5" t="str">
        <f>IF(COUNTIF(data_val!$E$3:$E$5, sample_log!$E1984), sample_log!$C1984 &amp; "_" &amp; sample_log!$D1984, "")</f>
        <v/>
      </c>
      <c r="C1984" s="5" t="str">
        <f>IF(B1984="", IF(F1984="", "", C1983), IF(sample_log!E1984="Triennial SASS", "tri_params", "params"))</f>
        <v/>
      </c>
      <c r="D1984" s="5" t="str">
        <f>IF(B1984="", "", C1984 &amp; "!" &amp; CHAR(65+MATCH(B1984, params!$B$2:$R$2, 0)))</f>
        <v/>
      </c>
      <c r="E1984" s="5" t="str">
        <f ca="1">IF(B1984="", "", COUNTA(INDIRECT(D1984 &amp; 3):INDIRECT(D1984 &amp; 24)))</f>
        <v/>
      </c>
      <c r="F1984" s="5" t="str">
        <f t="shared" si="62"/>
        <v/>
      </c>
      <c r="G1984" s="5" t="str">
        <f>IF(F1984="", "", IF(B1984&lt;&gt;"", MATCH(B1984, params!$B$2:$R$2, 0), G1983))</f>
        <v/>
      </c>
      <c r="H1984" s="5" t="str">
        <f t="shared" ca="1" si="63"/>
        <v/>
      </c>
      <c r="M1984" s="2"/>
    </row>
    <row r="1985" spans="2:13" ht="15.6" x14ac:dyDescent="0.3">
      <c r="B1985" s="5" t="str">
        <f>IF(COUNTIF(data_val!$E$3:$E$5, sample_log!$E1985), sample_log!$C1985 &amp; "_" &amp; sample_log!$D1985, "")</f>
        <v/>
      </c>
      <c r="C1985" s="5" t="str">
        <f>IF(B1985="", IF(F1985="", "", C1984), IF(sample_log!E1985="Triennial SASS", "tri_params", "params"))</f>
        <v/>
      </c>
      <c r="D1985" s="5" t="str">
        <f>IF(B1985="", "", C1985 &amp; "!" &amp; CHAR(65+MATCH(B1985, params!$B$2:$R$2, 0)))</f>
        <v/>
      </c>
      <c r="E1985" s="5" t="str">
        <f ca="1">IF(B1985="", "", COUNTA(INDIRECT(D1985 &amp; 3):INDIRECT(D1985 &amp; 24)))</f>
        <v/>
      </c>
      <c r="F1985" s="5" t="str">
        <f t="shared" si="62"/>
        <v/>
      </c>
      <c r="G1985" s="5" t="str">
        <f>IF(F1985="", "", IF(B1985&lt;&gt;"", MATCH(B1985, params!$B$2:$R$2, 0), G1984))</f>
        <v/>
      </c>
      <c r="H1985" s="5" t="str">
        <f t="shared" ca="1" si="63"/>
        <v/>
      </c>
      <c r="M1985" s="2"/>
    </row>
    <row r="1986" spans="2:13" ht="15.6" x14ac:dyDescent="0.3">
      <c r="B1986" s="5" t="str">
        <f>IF(COUNTIF(data_val!$E$3:$E$5, sample_log!$E1986), sample_log!$C1986 &amp; "_" &amp; sample_log!$D1986, "")</f>
        <v/>
      </c>
      <c r="C1986" s="5" t="str">
        <f>IF(B1986="", IF(F1986="", "", C1985), IF(sample_log!E1986="Triennial SASS", "tri_params", "params"))</f>
        <v/>
      </c>
      <c r="D1986" s="5" t="str">
        <f>IF(B1986="", "", C1986 &amp; "!" &amp; CHAR(65+MATCH(B1986, params!$B$2:$R$2, 0)))</f>
        <v/>
      </c>
      <c r="E1986" s="5" t="str">
        <f ca="1">IF(B1986="", "", COUNTA(INDIRECT(D1986 &amp; 3):INDIRECT(D1986 &amp; 24)))</f>
        <v/>
      </c>
      <c r="F1986" s="5" t="str">
        <f t="shared" si="62"/>
        <v/>
      </c>
      <c r="G1986" s="5" t="str">
        <f>IF(F1986="", "", IF(B1986&lt;&gt;"", MATCH(B1986, params!$B$2:$R$2, 0), G1985))</f>
        <v/>
      </c>
      <c r="H1986" s="5" t="str">
        <f t="shared" ca="1" si="63"/>
        <v/>
      </c>
      <c r="M1986" s="2"/>
    </row>
    <row r="1987" spans="2:13" ht="15.6" x14ac:dyDescent="0.3">
      <c r="B1987" s="5" t="str">
        <f>IF(COUNTIF(data_val!$E$3:$E$5, sample_log!$E1987), sample_log!$C1987 &amp; "_" &amp; sample_log!$D1987, "")</f>
        <v/>
      </c>
      <c r="C1987" s="5" t="str">
        <f>IF(B1987="", IF(F1987="", "", C1986), IF(sample_log!E1987="Triennial SASS", "tri_params", "params"))</f>
        <v/>
      </c>
      <c r="D1987" s="5" t="str">
        <f>IF(B1987="", "", C1987 &amp; "!" &amp; CHAR(65+MATCH(B1987, params!$B$2:$R$2, 0)))</f>
        <v/>
      </c>
      <c r="E1987" s="5" t="str">
        <f ca="1">IF(B1987="", "", COUNTA(INDIRECT(D1987 &amp; 3):INDIRECT(D1987 &amp; 24)))</f>
        <v/>
      </c>
      <c r="F1987" s="5" t="str">
        <f t="shared" ref="F1987:F1999" si="64">IF(B1987="", IF(NOT(ISNUMBER(F1986)), "", IF(F1986-1&gt;0, F1986-1, "")), E1987)</f>
        <v/>
      </c>
      <c r="G1987" s="5" t="str">
        <f>IF(F1987="", "", IF(B1987&lt;&gt;"", MATCH(B1987, params!$B$2:$R$2, 0), G1986))</f>
        <v/>
      </c>
      <c r="H1987" s="5" t="str">
        <f t="shared" ca="1" si="63"/>
        <v/>
      </c>
      <c r="M1987" s="2"/>
    </row>
    <row r="1988" spans="2:13" ht="15.6" x14ac:dyDescent="0.3">
      <c r="B1988" s="5" t="str">
        <f>IF(COUNTIF(data_val!$E$3:$E$5, sample_log!$E1988), sample_log!$C1988 &amp; "_" &amp; sample_log!$D1988, "")</f>
        <v/>
      </c>
      <c r="C1988" s="5" t="str">
        <f>IF(B1988="", IF(F1988="", "", C1987), IF(sample_log!E1988="Triennial SASS", "tri_params", "params"))</f>
        <v/>
      </c>
      <c r="D1988" s="5" t="str">
        <f>IF(B1988="", "", C1988 &amp; "!" &amp; CHAR(65+MATCH(B1988, params!$B$2:$R$2, 0)))</f>
        <v/>
      </c>
      <c r="E1988" s="5" t="str">
        <f ca="1">IF(B1988="", "", COUNTA(INDIRECT(D1988 &amp; 3):INDIRECT(D1988 &amp; 24)))</f>
        <v/>
      </c>
      <c r="F1988" s="5" t="str">
        <f t="shared" si="64"/>
        <v/>
      </c>
      <c r="G1988" s="5" t="str">
        <f>IF(F1988="", "", IF(B1988&lt;&gt;"", MATCH(B1988, params!$B$2:$R$2, 0), G1987))</f>
        <v/>
      </c>
      <c r="H1988" s="5" t="str">
        <f t="shared" ca="1" si="63"/>
        <v/>
      </c>
      <c r="M1988" s="2"/>
    </row>
    <row r="1989" spans="2:13" ht="15.6" x14ac:dyDescent="0.3">
      <c r="B1989" s="5" t="str">
        <f>IF(COUNTIF(data_val!$E$3:$E$5, sample_log!$E1989), sample_log!$C1989 &amp; "_" &amp; sample_log!$D1989, "")</f>
        <v/>
      </c>
      <c r="C1989" s="5" t="str">
        <f>IF(B1989="", IF(F1989="", "", C1988), IF(sample_log!E1989="Triennial SASS", "tri_params", "params"))</f>
        <v/>
      </c>
      <c r="D1989" s="5" t="str">
        <f>IF(B1989="", "", C1989 &amp; "!" &amp; CHAR(65+MATCH(B1989, params!$B$2:$R$2, 0)))</f>
        <v/>
      </c>
      <c r="E1989" s="5" t="str">
        <f ca="1">IF(B1989="", "", COUNTA(INDIRECT(D1989 &amp; 3):INDIRECT(D1989 &amp; 24)))</f>
        <v/>
      </c>
      <c r="F1989" s="5" t="str">
        <f t="shared" si="64"/>
        <v/>
      </c>
      <c r="G1989" s="5" t="str">
        <f>IF(F1989="", "", IF(B1989&lt;&gt;"", MATCH(B1989, params!$B$2:$R$2, 0), G1988))</f>
        <v/>
      </c>
      <c r="H1989" s="5" t="str">
        <f t="shared" ca="1" si="63"/>
        <v/>
      </c>
      <c r="M1989" s="2"/>
    </row>
    <row r="1990" spans="2:13" ht="15.6" x14ac:dyDescent="0.3">
      <c r="B1990" s="5" t="str">
        <f>IF(COUNTIF(data_val!$E$3:$E$5, sample_log!$E1990), sample_log!$C1990 &amp; "_" &amp; sample_log!$D1990, "")</f>
        <v/>
      </c>
      <c r="C1990" s="5" t="str">
        <f>IF(B1990="", IF(F1990="", "", C1989), IF(sample_log!E1990="Triennial SASS", "tri_params", "params"))</f>
        <v/>
      </c>
      <c r="D1990" s="5" t="str">
        <f>IF(B1990="", "", C1990 &amp; "!" &amp; CHAR(65+MATCH(B1990, params!$B$2:$R$2, 0)))</f>
        <v/>
      </c>
      <c r="E1990" s="5" t="str">
        <f ca="1">IF(B1990="", "", COUNTA(INDIRECT(D1990 &amp; 3):INDIRECT(D1990 &amp; 24)))</f>
        <v/>
      </c>
      <c r="F1990" s="5" t="str">
        <f t="shared" si="64"/>
        <v/>
      </c>
      <c r="G1990" s="5" t="str">
        <f>IF(F1990="", "", IF(B1990&lt;&gt;"", MATCH(B1990, params!$B$2:$R$2, 0), G1989))</f>
        <v/>
      </c>
      <c r="H1990" s="5" t="str">
        <f t="shared" ca="1" si="63"/>
        <v/>
      </c>
      <c r="M1990" s="2"/>
    </row>
    <row r="1991" spans="2:13" ht="15.6" x14ac:dyDescent="0.3">
      <c r="B1991" s="5" t="str">
        <f>IF(COUNTIF(data_val!$E$3:$E$5, sample_log!$E1991), sample_log!$C1991 &amp; "_" &amp; sample_log!$D1991, "")</f>
        <v/>
      </c>
      <c r="C1991" s="5" t="str">
        <f>IF(B1991="", IF(F1991="", "", C1990), IF(sample_log!E1991="Triennial SASS", "tri_params", "params"))</f>
        <v/>
      </c>
      <c r="D1991" s="5" t="str">
        <f>IF(B1991="", "", C1991 &amp; "!" &amp; CHAR(65+MATCH(B1991, params!$B$2:$R$2, 0)))</f>
        <v/>
      </c>
      <c r="E1991" s="5" t="str">
        <f ca="1">IF(B1991="", "", COUNTA(INDIRECT(D1991 &amp; 3):INDIRECT(D1991 &amp; 24)))</f>
        <v/>
      </c>
      <c r="F1991" s="5" t="str">
        <f t="shared" si="64"/>
        <v/>
      </c>
      <c r="G1991" s="5" t="str">
        <f>IF(F1991="", "", IF(B1991&lt;&gt;"", MATCH(B1991, params!$B$2:$R$2, 0), G1990))</f>
        <v/>
      </c>
      <c r="H1991" s="5" t="str">
        <f t="shared" ca="1" si="63"/>
        <v/>
      </c>
      <c r="M1991" s="2"/>
    </row>
    <row r="1992" spans="2:13" ht="15.6" x14ac:dyDescent="0.3">
      <c r="B1992" s="5" t="str">
        <f>IF(COUNTIF(data_val!$E$3:$E$5, sample_log!$E1992), sample_log!$C1992 &amp; "_" &amp; sample_log!$D1992, "")</f>
        <v/>
      </c>
      <c r="C1992" s="5" t="str">
        <f>IF(B1992="", IF(F1992="", "", C1991), IF(sample_log!E1992="Triennial SASS", "tri_params", "params"))</f>
        <v/>
      </c>
      <c r="D1992" s="5" t="str">
        <f>IF(B1992="", "", C1992 &amp; "!" &amp; CHAR(65+MATCH(B1992, params!$B$2:$R$2, 0)))</f>
        <v/>
      </c>
      <c r="E1992" s="5" t="str">
        <f ca="1">IF(B1992="", "", COUNTA(INDIRECT(D1992 &amp; 3):INDIRECT(D1992 &amp; 24)))</f>
        <v/>
      </c>
      <c r="F1992" s="5" t="str">
        <f t="shared" si="64"/>
        <v/>
      </c>
      <c r="G1992" s="5" t="str">
        <f>IF(F1992="", "", IF(B1992&lt;&gt;"", MATCH(B1992, params!$B$2:$R$2, 0), G1991))</f>
        <v/>
      </c>
      <c r="H1992" s="5" t="str">
        <f t="shared" ca="1" si="63"/>
        <v/>
      </c>
      <c r="M1992" s="2"/>
    </row>
    <row r="1993" spans="2:13" ht="15.6" x14ac:dyDescent="0.3">
      <c r="B1993" s="5" t="str">
        <f>IF(COUNTIF(data_val!$E$3:$E$5, sample_log!$E1993), sample_log!$C1993 &amp; "_" &amp; sample_log!$D1993, "")</f>
        <v/>
      </c>
      <c r="C1993" s="5" t="str">
        <f>IF(B1993="", IF(F1993="", "", C1992), IF(sample_log!E1993="Triennial SASS", "tri_params", "params"))</f>
        <v/>
      </c>
      <c r="D1993" s="5" t="str">
        <f>IF(B1993="", "", C1993 &amp; "!" &amp; CHAR(65+MATCH(B1993, params!$B$2:$R$2, 0)))</f>
        <v/>
      </c>
      <c r="E1993" s="5" t="str">
        <f ca="1">IF(B1993="", "", COUNTA(INDIRECT(D1993 &amp; 3):INDIRECT(D1993 &amp; 24)))</f>
        <v/>
      </c>
      <c r="F1993" s="5" t="str">
        <f t="shared" si="64"/>
        <v/>
      </c>
      <c r="G1993" s="5" t="str">
        <f>IF(F1993="", "", IF(B1993&lt;&gt;"", MATCH(B1993, params!$B$2:$R$2, 0), G1992))</f>
        <v/>
      </c>
      <c r="H1993" s="5" t="str">
        <f t="shared" ca="1" si="63"/>
        <v/>
      </c>
      <c r="M1993" s="2"/>
    </row>
    <row r="1994" spans="2:13" ht="15.6" x14ac:dyDescent="0.3">
      <c r="B1994" s="5" t="str">
        <f>IF(COUNTIF(data_val!$E$3:$E$5, sample_log!$E1994), sample_log!$C1994 &amp; "_" &amp; sample_log!$D1994, "")</f>
        <v/>
      </c>
      <c r="C1994" s="5" t="str">
        <f>IF(B1994="", IF(F1994="", "", C1993), IF(sample_log!E1994="Triennial SASS", "tri_params", "params"))</f>
        <v/>
      </c>
      <c r="D1994" s="5" t="str">
        <f>IF(B1994="", "", C1994 &amp; "!" &amp; CHAR(65+MATCH(B1994, params!$B$2:$R$2, 0)))</f>
        <v/>
      </c>
      <c r="E1994" s="5" t="str">
        <f ca="1">IF(B1994="", "", COUNTA(INDIRECT(D1994 &amp; 3):INDIRECT(D1994 &amp; 24)))</f>
        <v/>
      </c>
      <c r="F1994" s="5" t="str">
        <f t="shared" si="64"/>
        <v/>
      </c>
      <c r="G1994" s="5" t="str">
        <f>IF(F1994="", "", IF(B1994&lt;&gt;"", MATCH(B1994, params!$B$2:$R$2, 0), G1993))</f>
        <v/>
      </c>
      <c r="H1994" s="5" t="str">
        <f t="shared" ca="1" si="63"/>
        <v/>
      </c>
      <c r="M1994" s="2"/>
    </row>
    <row r="1995" spans="2:13" ht="15.6" x14ac:dyDescent="0.3">
      <c r="B1995" s="5" t="str">
        <f>IF(COUNTIF(data_val!$E$3:$E$5, sample_log!$E1995), sample_log!$C1995 &amp; "_" &amp; sample_log!$D1995, "")</f>
        <v/>
      </c>
      <c r="C1995" s="5" t="str">
        <f>IF(B1995="", IF(F1995="", "", C1994), IF(sample_log!E1995="Triennial SASS", "tri_params", "params"))</f>
        <v/>
      </c>
      <c r="D1995" s="5" t="str">
        <f>IF(B1995="", "", C1995 &amp; "!" &amp; CHAR(65+MATCH(B1995, params!$B$2:$R$2, 0)))</f>
        <v/>
      </c>
      <c r="E1995" s="5" t="str">
        <f ca="1">IF(B1995="", "", COUNTA(INDIRECT(D1995 &amp; 3):INDIRECT(D1995 &amp; 24)))</f>
        <v/>
      </c>
      <c r="F1995" s="5" t="str">
        <f t="shared" si="64"/>
        <v/>
      </c>
      <c r="G1995" s="5" t="str">
        <f>IF(F1995="", "", IF(B1995&lt;&gt;"", MATCH(B1995, params!$B$2:$R$2, 0), G1994))</f>
        <v/>
      </c>
      <c r="H1995" s="5" t="str">
        <f t="shared" ca="1" si="63"/>
        <v/>
      </c>
      <c r="M1995" s="2"/>
    </row>
    <row r="1996" spans="2:13" ht="15.6" x14ac:dyDescent="0.3">
      <c r="B1996" s="5" t="str">
        <f>IF(COUNTIF(data_val!$E$3:$E$5, sample_log!$E1996), sample_log!$C1996 &amp; "_" &amp; sample_log!$D1996, "")</f>
        <v/>
      </c>
      <c r="C1996" s="5" t="str">
        <f>IF(B1996="", IF(F1996="", "", C1995), IF(sample_log!E1996="Triennial SASS", "tri_params", "params"))</f>
        <v/>
      </c>
      <c r="D1996" s="5" t="str">
        <f>IF(B1996="", "", C1996 &amp; "!" &amp; CHAR(65+MATCH(B1996, params!$B$2:$R$2, 0)))</f>
        <v/>
      </c>
      <c r="E1996" s="5" t="str">
        <f ca="1">IF(B1996="", "", COUNTA(INDIRECT(D1996 &amp; 3):INDIRECT(D1996 &amp; 24)))</f>
        <v/>
      </c>
      <c r="F1996" s="5" t="str">
        <f t="shared" si="64"/>
        <v/>
      </c>
      <c r="G1996" s="5" t="str">
        <f>IF(F1996="", "", IF(B1996&lt;&gt;"", MATCH(B1996, params!$B$2:$R$2, 0), G1995))</f>
        <v/>
      </c>
      <c r="H1996" s="5" t="str">
        <f t="shared" ca="1" si="63"/>
        <v/>
      </c>
      <c r="M1996" s="2"/>
    </row>
    <row r="1997" spans="2:13" ht="15.6" x14ac:dyDescent="0.3">
      <c r="B1997" s="5" t="str">
        <f>IF(COUNTIF(data_val!$E$3:$E$5, sample_log!$E1997), sample_log!$C1997 &amp; "_" &amp; sample_log!$D1997, "")</f>
        <v/>
      </c>
      <c r="C1997" s="5" t="str">
        <f>IF(B1997="", IF(F1997="", "", C1996), IF(sample_log!E1997="Triennial SASS", "tri_params", "params"))</f>
        <v/>
      </c>
      <c r="D1997" s="5" t="str">
        <f>IF(B1997="", "", C1997 &amp; "!" &amp; CHAR(65+MATCH(B1997, params!$B$2:$R$2, 0)))</f>
        <v/>
      </c>
      <c r="E1997" s="5" t="str">
        <f ca="1">IF(B1997="", "", COUNTA(INDIRECT(D1997 &amp; 3):INDIRECT(D1997 &amp; 24)))</f>
        <v/>
      </c>
      <c r="F1997" s="5" t="str">
        <f t="shared" si="64"/>
        <v/>
      </c>
      <c r="G1997" s="5" t="str">
        <f>IF(F1997="", "", IF(B1997&lt;&gt;"", MATCH(B1997, params!$B$2:$R$2, 0), G1996))</f>
        <v/>
      </c>
      <c r="H1997" s="5" t="str">
        <f t="shared" ca="1" si="63"/>
        <v/>
      </c>
      <c r="M1997" s="2"/>
    </row>
    <row r="1998" spans="2:13" ht="15.6" x14ac:dyDescent="0.3">
      <c r="B1998" s="5" t="str">
        <f>IF(COUNTIF(data_val!$E$3:$E$5, sample_log!$E1998), sample_log!$C1998 &amp; "_" &amp; sample_log!$D1998, "")</f>
        <v/>
      </c>
      <c r="C1998" s="5" t="str">
        <f>IF(B1998="", IF(F1998="", "", C1997), IF(sample_log!E1998="Triennial SASS", "tri_params", "params"))</f>
        <v/>
      </c>
      <c r="D1998" s="5" t="str">
        <f>IF(B1998="", "", C1998 &amp; "!" &amp; CHAR(65+MATCH(B1998, params!$B$2:$R$2, 0)))</f>
        <v/>
      </c>
      <c r="E1998" s="5" t="str">
        <f ca="1">IF(B1998="", "", COUNTA(INDIRECT(D1998 &amp; 3):INDIRECT(D1998 &amp; 24)))</f>
        <v/>
      </c>
      <c r="F1998" s="5" t="str">
        <f t="shared" si="64"/>
        <v/>
      </c>
      <c r="G1998" s="5" t="str">
        <f>IF(F1998="", "", IF(B1998&lt;&gt;"", MATCH(B1998, params!$B$2:$R$2, 0), G1997))</f>
        <v/>
      </c>
      <c r="H1998" s="5" t="str">
        <f t="shared" ca="1" si="63"/>
        <v/>
      </c>
      <c r="M1998" s="2"/>
    </row>
    <row r="1999" spans="2:13" ht="15.6" x14ac:dyDescent="0.3">
      <c r="B1999" s="5" t="str">
        <f>IF(COUNTIF(data_val!$E$3:$E$5, sample_log!$E1999), sample_log!$C1999 &amp; "_" &amp; sample_log!$D1999, "")</f>
        <v/>
      </c>
      <c r="C1999" s="5" t="str">
        <f>IF(B1999="", IF(F1999="", "", C1998), IF(sample_log!E1999="Triennial SASS", "tri_params", "params"))</f>
        <v/>
      </c>
      <c r="D1999" s="5" t="str">
        <f>IF(B1999="", "", C1999 &amp; "!" &amp; CHAR(65+MATCH(B1999, params!$B$2:$R$2, 0)))</f>
        <v/>
      </c>
      <c r="E1999" s="5" t="str">
        <f ca="1">IF(B1999="", "", COUNTA(INDIRECT(D1999 &amp; 3):INDIRECT(D1999 &amp; 24)))</f>
        <v/>
      </c>
      <c r="F1999" s="5" t="str">
        <f t="shared" si="64"/>
        <v/>
      </c>
      <c r="G1999" s="5" t="str">
        <f>IF(F1999="", "", IF(B1999&lt;&gt;"", MATCH(B1999, params!$B$2:$R$2, 0), G1998))</f>
        <v/>
      </c>
      <c r="H1999" s="5" t="str">
        <f t="shared" ca="1" si="63"/>
        <v/>
      </c>
      <c r="M1999" s="2"/>
    </row>
    <row r="2000" spans="2:13" ht="15.6" x14ac:dyDescent="0.3">
      <c r="B2000" s="32" t="s">
        <v>46</v>
      </c>
      <c r="C2000" s="32" t="s">
        <v>46</v>
      </c>
      <c r="D2000" s="32" t="s">
        <v>46</v>
      </c>
      <c r="E2000" s="32" t="s">
        <v>46</v>
      </c>
      <c r="F2000" s="32" t="s">
        <v>46</v>
      </c>
      <c r="G2000" s="32" t="s">
        <v>46</v>
      </c>
      <c r="H2000" s="32" t="s">
        <v>46</v>
      </c>
      <c r="M2000" s="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50"/>
  <sheetViews>
    <sheetView workbookViewId="0">
      <selection activeCell="K16" sqref="K16"/>
    </sheetView>
  </sheetViews>
  <sheetFormatPr defaultColWidth="9.109375" defaultRowHeight="15" x14ac:dyDescent="0.25"/>
  <cols>
    <col min="1" max="1" width="4" style="2" customWidth="1"/>
    <col min="2" max="2" width="14.88671875" style="2" bestFit="1" customWidth="1"/>
    <col min="3" max="3" width="17" style="2" bestFit="1" customWidth="1"/>
    <col min="4" max="4" width="12.6640625" style="2" bestFit="1" customWidth="1"/>
    <col min="5" max="5" width="21" style="2" bestFit="1" customWidth="1"/>
    <col min="6" max="6" width="18.6640625" style="2" bestFit="1" customWidth="1"/>
    <col min="7" max="7" width="9.109375" style="2"/>
    <col min="8" max="8" width="4.88671875" style="2" customWidth="1"/>
    <col min="9" max="9" width="3.6640625" style="2" customWidth="1"/>
    <col min="10" max="10" width="4" style="2" customWidth="1"/>
    <col min="11" max="11" width="85.44140625" style="2" bestFit="1" customWidth="1"/>
    <col min="12" max="12" width="25" style="2" customWidth="1"/>
    <col min="13" max="16384" width="9.109375" style="2"/>
  </cols>
  <sheetData>
    <row r="1" spans="1:11" s="9" customFormat="1" x14ac:dyDescent="0.25">
      <c r="A1" s="15"/>
      <c r="B1" s="15" t="s">
        <v>114</v>
      </c>
      <c r="C1" s="15"/>
      <c r="D1" s="15"/>
      <c r="E1" s="15"/>
      <c r="F1" s="15"/>
      <c r="G1" s="15"/>
    </row>
    <row r="2" spans="1:11" ht="15.6" x14ac:dyDescent="0.3">
      <c r="A2" s="11"/>
      <c r="B2" s="1" t="s">
        <v>5</v>
      </c>
      <c r="C2" s="1" t="s">
        <v>0</v>
      </c>
      <c r="D2" s="1" t="s">
        <v>4</v>
      </c>
      <c r="E2" s="1" t="s">
        <v>3</v>
      </c>
      <c r="F2" s="1" t="s">
        <v>2</v>
      </c>
      <c r="G2" s="1" t="s">
        <v>1</v>
      </c>
      <c r="K2" s="1" t="s">
        <v>49</v>
      </c>
    </row>
    <row r="3" spans="1:11" x14ac:dyDescent="0.25">
      <c r="A3" s="11"/>
      <c r="B3" s="11"/>
      <c r="C3" s="5" t="s">
        <v>30</v>
      </c>
      <c r="D3" s="5">
        <v>1</v>
      </c>
      <c r="E3" s="5" t="s">
        <v>39</v>
      </c>
      <c r="F3" s="8" t="s">
        <v>45</v>
      </c>
      <c r="G3" s="5"/>
    </row>
    <row r="4" spans="1:11" x14ac:dyDescent="0.25">
      <c r="A4" s="11"/>
      <c r="B4" s="11"/>
      <c r="C4" s="5" t="s">
        <v>26</v>
      </c>
      <c r="D4" s="5">
        <v>2</v>
      </c>
      <c r="E4" s="5" t="s">
        <v>40</v>
      </c>
      <c r="F4" s="8" t="s">
        <v>65</v>
      </c>
      <c r="G4" s="5"/>
      <c r="K4" s="2" t="s">
        <v>67</v>
      </c>
    </row>
    <row r="5" spans="1:11" x14ac:dyDescent="0.25">
      <c r="A5" s="11"/>
      <c r="B5" s="11"/>
      <c r="C5" s="5" t="s">
        <v>35</v>
      </c>
      <c r="D5" s="5"/>
      <c r="E5" s="5" t="s">
        <v>64</v>
      </c>
      <c r="F5" s="8" t="s">
        <v>24</v>
      </c>
      <c r="G5" s="5"/>
      <c r="K5" s="2" t="s">
        <v>129</v>
      </c>
    </row>
    <row r="6" spans="1:11" x14ac:dyDescent="0.25">
      <c r="A6" s="11"/>
      <c r="B6" s="11"/>
      <c r="C6" s="5" t="s">
        <v>36</v>
      </c>
      <c r="D6" s="5"/>
      <c r="E6" s="5" t="s">
        <v>69</v>
      </c>
      <c r="F6" s="8" t="s">
        <v>7</v>
      </c>
      <c r="G6" s="5"/>
      <c r="K6" s="2" t="s">
        <v>124</v>
      </c>
    </row>
    <row r="7" spans="1:11" x14ac:dyDescent="0.25">
      <c r="A7" s="11"/>
      <c r="B7" s="11"/>
      <c r="C7" s="5" t="s">
        <v>31</v>
      </c>
      <c r="D7" s="5"/>
      <c r="E7" s="5" t="s">
        <v>41</v>
      </c>
      <c r="F7" s="8" t="s">
        <v>8</v>
      </c>
      <c r="G7" s="5"/>
      <c r="K7" s="2" t="s">
        <v>117</v>
      </c>
    </row>
    <row r="8" spans="1:11" x14ac:dyDescent="0.25">
      <c r="A8" s="11"/>
      <c r="B8" s="11"/>
      <c r="C8" s="5" t="s">
        <v>34</v>
      </c>
      <c r="D8" s="5"/>
      <c r="E8" s="5" t="s">
        <v>42</v>
      </c>
      <c r="F8" s="8" t="s">
        <v>9</v>
      </c>
      <c r="G8" s="5"/>
      <c r="K8" s="2" t="s">
        <v>118</v>
      </c>
    </row>
    <row r="9" spans="1:11" x14ac:dyDescent="0.25">
      <c r="A9" s="11"/>
      <c r="B9" s="11"/>
      <c r="C9" s="5" t="s">
        <v>37</v>
      </c>
      <c r="D9" s="5"/>
      <c r="F9" s="8" t="s">
        <v>10</v>
      </c>
      <c r="G9" s="5"/>
      <c r="K9" s="2" t="s">
        <v>125</v>
      </c>
    </row>
    <row r="10" spans="1:11" x14ac:dyDescent="0.25">
      <c r="A10" s="11"/>
      <c r="B10" s="11"/>
      <c r="C10" s="5" t="s">
        <v>28</v>
      </c>
      <c r="D10" s="5"/>
      <c r="E10" s="5"/>
      <c r="F10" s="8" t="s">
        <v>6</v>
      </c>
      <c r="G10" s="5"/>
      <c r="K10" s="2" t="s">
        <v>130</v>
      </c>
    </row>
    <row r="11" spans="1:11" x14ac:dyDescent="0.25">
      <c r="A11" s="11"/>
      <c r="B11" s="11"/>
      <c r="C11" s="5" t="s">
        <v>29</v>
      </c>
      <c r="D11" s="5"/>
      <c r="E11" s="5"/>
      <c r="F11" s="8" t="s">
        <v>11</v>
      </c>
      <c r="G11" s="5"/>
      <c r="K11" s="2" t="s">
        <v>132</v>
      </c>
    </row>
    <row r="12" spans="1:11" x14ac:dyDescent="0.25">
      <c r="A12" s="11"/>
      <c r="B12" s="11"/>
      <c r="C12" s="5" t="s">
        <v>33</v>
      </c>
      <c r="D12" s="5"/>
      <c r="E12" s="5"/>
      <c r="F12" s="8" t="s">
        <v>12</v>
      </c>
      <c r="G12" s="5"/>
    </row>
    <row r="13" spans="1:11" x14ac:dyDescent="0.25">
      <c r="A13" s="11"/>
      <c r="B13" s="11"/>
      <c r="C13" s="5" t="s">
        <v>38</v>
      </c>
      <c r="D13" s="5"/>
      <c r="E13" s="5"/>
      <c r="F13" s="2" t="s">
        <v>116</v>
      </c>
      <c r="G13" s="5"/>
    </row>
    <row r="14" spans="1:11" x14ac:dyDescent="0.25">
      <c r="A14" s="11"/>
      <c r="B14" s="11"/>
      <c r="C14" s="5" t="s">
        <v>48</v>
      </c>
      <c r="D14" s="5"/>
      <c r="E14" s="5"/>
      <c r="F14" s="8" t="s">
        <v>71</v>
      </c>
      <c r="G14" s="5"/>
    </row>
    <row r="15" spans="1:11" x14ac:dyDescent="0.25">
      <c r="A15" s="11"/>
      <c r="B15" s="11"/>
      <c r="C15" s="5" t="s">
        <v>27</v>
      </c>
      <c r="D15" s="5"/>
      <c r="E15" s="11"/>
      <c r="F15" s="8" t="s">
        <v>13</v>
      </c>
      <c r="G15" s="5"/>
    </row>
    <row r="16" spans="1:11" x14ac:dyDescent="0.25">
      <c r="A16" s="11"/>
      <c r="B16" s="11"/>
      <c r="C16" s="5" t="s">
        <v>32</v>
      </c>
      <c r="D16" s="5"/>
      <c r="E16" s="5"/>
      <c r="F16" s="8" t="s">
        <v>14</v>
      </c>
      <c r="G16" s="5"/>
    </row>
    <row r="17" spans="1:11" x14ac:dyDescent="0.25">
      <c r="A17" s="11"/>
      <c r="B17" s="11"/>
      <c r="C17" s="5"/>
      <c r="D17" s="5"/>
      <c r="E17" s="5"/>
      <c r="F17" s="8" t="s">
        <v>15</v>
      </c>
      <c r="G17" s="5"/>
      <c r="K17" s="2" t="s">
        <v>119</v>
      </c>
    </row>
    <row r="18" spans="1:11" x14ac:dyDescent="0.25">
      <c r="A18" s="11"/>
      <c r="B18" s="11"/>
      <c r="C18" s="5"/>
      <c r="D18" s="5"/>
      <c r="E18" s="5"/>
      <c r="F18" s="16" t="s">
        <v>44</v>
      </c>
      <c r="G18" s="5"/>
      <c r="K18" s="2" t="s">
        <v>115</v>
      </c>
    </row>
    <row r="19" spans="1:11" x14ac:dyDescent="0.25">
      <c r="A19" s="11"/>
      <c r="B19" s="11"/>
      <c r="C19" s="5"/>
      <c r="D19" s="5"/>
      <c r="E19" s="5"/>
      <c r="F19" s="8" t="s">
        <v>16</v>
      </c>
      <c r="G19" s="5"/>
      <c r="K19" s="2" t="s">
        <v>68</v>
      </c>
    </row>
    <row r="20" spans="1:11" x14ac:dyDescent="0.25">
      <c r="A20" s="11"/>
      <c r="B20" s="11"/>
      <c r="C20" s="5"/>
      <c r="D20" s="5"/>
      <c r="E20" s="5"/>
      <c r="F20" s="8" t="s">
        <v>17</v>
      </c>
      <c r="G20" s="14"/>
    </row>
    <row r="21" spans="1:11" x14ac:dyDescent="0.25">
      <c r="A21" s="11"/>
      <c r="B21" s="11"/>
      <c r="C21" s="5"/>
      <c r="D21" s="5"/>
      <c r="E21" s="5"/>
      <c r="F21" s="8" t="s">
        <v>72</v>
      </c>
      <c r="G21" s="14"/>
    </row>
    <row r="22" spans="1:11" x14ac:dyDescent="0.25">
      <c r="A22" s="11"/>
      <c r="B22" s="11"/>
      <c r="C22" s="5"/>
      <c r="D22" s="5"/>
      <c r="E22" s="5"/>
      <c r="F22" s="8" t="s">
        <v>18</v>
      </c>
      <c r="G22" s="14"/>
    </row>
    <row r="23" spans="1:11" x14ac:dyDescent="0.25">
      <c r="A23" s="11"/>
      <c r="B23" s="11"/>
      <c r="C23" s="5"/>
      <c r="D23" s="5"/>
      <c r="E23" s="5"/>
      <c r="F23" s="8" t="s">
        <v>19</v>
      </c>
      <c r="G23" s="14"/>
    </row>
    <row r="24" spans="1:11" x14ac:dyDescent="0.25">
      <c r="A24" s="11"/>
      <c r="B24" s="11"/>
      <c r="C24" s="5"/>
      <c r="D24" s="5"/>
      <c r="E24" s="5"/>
      <c r="F24" s="8" t="s">
        <v>20</v>
      </c>
      <c r="G24" s="14"/>
    </row>
    <row r="25" spans="1:11" x14ac:dyDescent="0.25">
      <c r="A25" s="11"/>
      <c r="B25" s="11"/>
      <c r="C25" s="5"/>
      <c r="D25" s="5"/>
      <c r="E25" s="5"/>
      <c r="F25" s="8" t="s">
        <v>51</v>
      </c>
      <c r="G25" s="14"/>
    </row>
    <row r="26" spans="1:11" x14ac:dyDescent="0.25">
      <c r="A26" s="11"/>
      <c r="B26" s="11"/>
      <c r="C26" s="5"/>
      <c r="D26" s="5"/>
      <c r="E26" s="5"/>
      <c r="F26" s="16" t="s">
        <v>43</v>
      </c>
      <c r="G26" s="14"/>
    </row>
    <row r="27" spans="1:11" x14ac:dyDescent="0.25">
      <c r="A27" s="11"/>
      <c r="B27" s="11"/>
      <c r="C27" s="5"/>
      <c r="D27" s="5"/>
      <c r="E27" s="5"/>
      <c r="F27" s="8" t="s">
        <v>25</v>
      </c>
      <c r="G27" s="14"/>
    </row>
    <row r="28" spans="1:11" x14ac:dyDescent="0.25">
      <c r="A28" s="11"/>
      <c r="B28" s="11"/>
      <c r="C28" s="5"/>
      <c r="D28" s="5"/>
      <c r="E28" s="5"/>
      <c r="F28" s="8" t="s">
        <v>21</v>
      </c>
      <c r="G28" s="14"/>
    </row>
    <row r="29" spans="1:11" x14ac:dyDescent="0.25">
      <c r="A29" s="11"/>
      <c r="B29" s="11"/>
      <c r="C29" s="11"/>
      <c r="D29" s="11"/>
      <c r="E29" s="11"/>
      <c r="F29" s="8" t="s">
        <v>22</v>
      </c>
      <c r="G29" s="14"/>
    </row>
    <row r="30" spans="1:11" ht="15.6" x14ac:dyDescent="0.3">
      <c r="F30" s="8" t="s">
        <v>23</v>
      </c>
      <c r="K30" s="25"/>
    </row>
    <row r="31" spans="1:11" ht="15.6" x14ac:dyDescent="0.3">
      <c r="K31" s="24"/>
    </row>
    <row r="34" spans="11:11" ht="15.6" x14ac:dyDescent="0.3">
      <c r="K34" s="24"/>
    </row>
    <row r="38" spans="11:11" ht="15.6" x14ac:dyDescent="0.3">
      <c r="K38" s="24"/>
    </row>
    <row r="42" spans="11:11" ht="15.6" x14ac:dyDescent="0.3">
      <c r="K42" s="24"/>
    </row>
    <row r="46" spans="11:11" ht="15.6" x14ac:dyDescent="0.3">
      <c r="K46" s="24"/>
    </row>
    <row r="50" spans="11:11" ht="15.6" x14ac:dyDescent="0.3">
      <c r="K50" s="2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Button1_Click">
                <anchor>
                  <from>
                    <xdr:col>10</xdr:col>
                    <xdr:colOff>4297680</xdr:colOff>
                    <xdr:row>22</xdr:row>
                    <xdr:rowOff>83820</xdr:rowOff>
                  </from>
                  <to>
                    <xdr:col>11</xdr:col>
                    <xdr:colOff>541020</xdr:colOff>
                    <xdr:row>24</xdr:row>
                    <xdr:rowOff>68580</xdr:rowOff>
                  </to>
                </anchor>
              </controlPr>
            </control>
          </mc:Choice>
        </mc:AlternateContent>
        <mc:AlternateContent xmlns:mc="http://schemas.openxmlformats.org/markup-compatibility/2006">
          <mc:Choice Requires="x14">
            <control shapeId="2050" r:id="rId5" name="Button 2">
              <controlPr defaultSize="0" print="0" autoFill="0" autoPict="0" macro="[0]!Button2_Click">
                <anchor>
                  <from>
                    <xdr:col>10</xdr:col>
                    <xdr:colOff>4305300</xdr:colOff>
                    <xdr:row>25</xdr:row>
                    <xdr:rowOff>106680</xdr:rowOff>
                  </from>
                  <to>
                    <xdr:col>11</xdr:col>
                    <xdr:colOff>548640</xdr:colOff>
                    <xdr:row>27</xdr:row>
                    <xdr:rowOff>91440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sample_log</vt:lpstr>
      <vt:lpstr>mon_p</vt:lpstr>
      <vt:lpstr>params</vt:lpstr>
      <vt:lpstr>tri_params</vt:lpstr>
      <vt:lpstr>auto_pop</vt:lpstr>
      <vt:lpstr>data_val</vt:lpstr>
      <vt:lpstr>chapin_mon</vt:lpstr>
      <vt:lpstr>cm</vt:lpstr>
      <vt:lpstr>iu_param_list</vt:lpstr>
      <vt:lpstr>oatka_mon</vt:lpstr>
      <vt:lpstr>one</vt:lpstr>
      <vt:lpstr>one_two</vt:lpstr>
      <vt:lpstr>seneca_mon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Schiffler</dc:creator>
  <cp:lastModifiedBy>Joseph Schiffler</cp:lastModifiedBy>
  <cp:lastPrinted>2021-10-08T14:36:10Z</cp:lastPrinted>
  <dcterms:created xsi:type="dcterms:W3CDTF">2020-10-17T18:25:44Z</dcterms:created>
  <dcterms:modified xsi:type="dcterms:W3CDTF">2021-12-31T15:43:25Z</dcterms:modified>
</cp:coreProperties>
</file>